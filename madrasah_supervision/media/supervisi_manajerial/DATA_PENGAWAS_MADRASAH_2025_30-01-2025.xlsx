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 tabRatio="891" activeTab="8"/>
  </bookViews>
  <sheets>
    <sheet name="PETA-KAB_PROB" sheetId="20" r:id="rId1"/>
    <sheet name="RA DATA" sheetId="5" r:id="rId2"/>
    <sheet name="MI DATA" sheetId="7" r:id="rId3"/>
    <sheet name="MTs DATA" sheetId="8" r:id="rId4"/>
    <sheet name="MA DATA" sheetId="9" r:id="rId5"/>
    <sheet name="Data Pengawas RA-MI" sheetId="15" r:id="rId6"/>
    <sheet name="Data Pengawas MTS-MA" sheetId="16" r:id="rId7"/>
    <sheet name="PETA-PENGAWAS" sheetId="21" r:id="rId8"/>
    <sheet name="PETA_WAS_RA-MI" sheetId="23" r:id="rId9"/>
    <sheet name="PETA-WAS_MTs-MA" sheetId="25" r:id="rId10"/>
    <sheet name="Data Pengawas Madrasah" sheetId="2" r:id="rId11"/>
    <sheet name="Pengawas Madrasah" sheetId="1" r:id="rId12"/>
    <sheet name="Sheet2 (2)" sheetId="4" state="hidden" r:id="rId13"/>
    <sheet name="Sheet3" sheetId="26" state="hidden" r:id="rId14"/>
  </sheets>
  <definedNames>
    <definedName name="_xlnm._FilterDatabase" localSheetId="10" hidden="1">'Data Pengawas Madrasah'!$A$4:$O$82</definedName>
    <definedName name="_xlnm._FilterDatabase" localSheetId="6" hidden="1">'Data Pengawas MTS-MA'!$A$4:$P$24</definedName>
    <definedName name="_xlnm._FilterDatabase" localSheetId="5" hidden="1">'Data Pengawas RA-MI'!$A$4:$Q$62</definedName>
    <definedName name="_xlnm._FilterDatabase" localSheetId="4" hidden="1">'MA DATA'!$B$2:$J$136</definedName>
    <definedName name="_xlnm._FilterDatabase" localSheetId="2" hidden="1">'MI DATA'!$B$2:$J$417</definedName>
    <definedName name="_xlnm._FilterDatabase" localSheetId="3" hidden="1">'MTs DATA'!$B$2:$J$224</definedName>
    <definedName name="_xlnm._FilterDatabase" localSheetId="1" hidden="1">'RA DATA'!$C$2:$K$421</definedName>
    <definedName name="_xlnm._FilterDatabase" localSheetId="12" hidden="1">'Sheet2 (2)'!$A$2:$H$72</definedName>
    <definedName name="_xlnm.Print_Area" localSheetId="8">'PETA_WAS_RA-MI'!$B$1:$I$66,'PETA_WAS_RA-MI'!$J$1:$Q$67</definedName>
    <definedName name="_xlnm.Print_Area" localSheetId="9">'PETA-WAS_MTs-MA'!$A$1:$G$35,'PETA-WAS_MTs-MA'!$I$1:$P$36</definedName>
  </definedNames>
  <calcPr calcId="144525"/>
</workbook>
</file>

<file path=xl/calcChain.xml><?xml version="1.0" encoding="utf-8"?>
<calcChain xmlns="http://schemas.openxmlformats.org/spreadsheetml/2006/main">
  <c r="C2" i="16" l="1"/>
  <c r="C2" i="15"/>
  <c r="B3" i="21"/>
  <c r="A1" i="9"/>
  <c r="B1" i="8"/>
  <c r="A1" i="7"/>
  <c r="B1" i="5"/>
  <c r="P34" i="21" l="1"/>
  <c r="W30" i="25"/>
  <c r="K30" i="25"/>
  <c r="M30" i="25"/>
  <c r="N30" i="25"/>
  <c r="P30" i="25"/>
  <c r="W23" i="25"/>
  <c r="K23" i="25"/>
  <c r="M23" i="25"/>
  <c r="N23" i="25"/>
  <c r="P23" i="25"/>
  <c r="W17" i="25"/>
  <c r="K17" i="25"/>
  <c r="M17" i="25"/>
  <c r="N17" i="25"/>
  <c r="P17" i="25"/>
  <c r="W15" i="25"/>
  <c r="M15" i="25"/>
  <c r="N15" i="25"/>
  <c r="P15" i="25"/>
  <c r="K15" i="25"/>
  <c r="G14" i="25"/>
  <c r="O23" i="25" l="1"/>
  <c r="O30" i="25"/>
  <c r="O17" i="25"/>
  <c r="O15" i="25"/>
  <c r="G8" i="25" l="1"/>
  <c r="G16" i="25" l="1"/>
  <c r="I34" i="21" l="1"/>
  <c r="H16" i="23"/>
  <c r="W17" i="23"/>
  <c r="P17" i="23" s="1"/>
  <c r="Q17" i="23"/>
  <c r="O17" i="23"/>
  <c r="N17" i="23"/>
  <c r="L17" i="23"/>
  <c r="J6" i="23"/>
  <c r="J10" i="23"/>
  <c r="J11" i="23" s="1"/>
  <c r="K13" i="25"/>
  <c r="M13" i="25"/>
  <c r="N13" i="25"/>
  <c r="P13" i="25"/>
  <c r="K11" i="25"/>
  <c r="M11" i="25"/>
  <c r="N11" i="25"/>
  <c r="P11" i="25"/>
  <c r="K14" i="25"/>
  <c r="M14" i="25"/>
  <c r="N14" i="25"/>
  <c r="P14" i="25"/>
  <c r="K18" i="25"/>
  <c r="M18" i="25"/>
  <c r="N18" i="25"/>
  <c r="P18" i="25"/>
  <c r="K16" i="25"/>
  <c r="M16" i="25"/>
  <c r="N16" i="25"/>
  <c r="P16" i="25"/>
  <c r="K21" i="25"/>
  <c r="M21" i="25"/>
  <c r="N21" i="25"/>
  <c r="P21" i="25"/>
  <c r="K22" i="25"/>
  <c r="M22" i="25"/>
  <c r="N22" i="25"/>
  <c r="P22" i="25"/>
  <c r="K19" i="25"/>
  <c r="M19" i="25"/>
  <c r="N19" i="25"/>
  <c r="P19" i="25"/>
  <c r="K20" i="25"/>
  <c r="M20" i="25"/>
  <c r="N20" i="25"/>
  <c r="P20" i="25"/>
  <c r="K24" i="25"/>
  <c r="M24" i="25"/>
  <c r="N24" i="25"/>
  <c r="P24" i="25"/>
  <c r="K25" i="25"/>
  <c r="M25" i="25"/>
  <c r="N25" i="25"/>
  <c r="P25" i="25"/>
  <c r="K26" i="25"/>
  <c r="M26" i="25"/>
  <c r="N26" i="25"/>
  <c r="P26" i="25"/>
  <c r="K27" i="25"/>
  <c r="M27" i="25"/>
  <c r="N27" i="25"/>
  <c r="P27" i="25"/>
  <c r="K28" i="25"/>
  <c r="M28" i="25"/>
  <c r="N28" i="25"/>
  <c r="P28" i="25"/>
  <c r="K29" i="25"/>
  <c r="M29" i="25"/>
  <c r="N29" i="25"/>
  <c r="P29" i="25"/>
  <c r="K31" i="25"/>
  <c r="M31" i="25"/>
  <c r="N31" i="25"/>
  <c r="P31" i="25"/>
  <c r="K32" i="25"/>
  <c r="M32" i="25"/>
  <c r="N32" i="25"/>
  <c r="P32" i="25"/>
  <c r="P8" i="25"/>
  <c r="N8" i="25"/>
  <c r="M8" i="25"/>
  <c r="K8" i="25"/>
  <c r="L11" i="23"/>
  <c r="N11" i="23"/>
  <c r="O11" i="23"/>
  <c r="Q11" i="23"/>
  <c r="L9" i="23"/>
  <c r="N9" i="23"/>
  <c r="O9" i="23"/>
  <c r="Q9" i="23"/>
  <c r="L12" i="23"/>
  <c r="N12" i="23"/>
  <c r="O12" i="23"/>
  <c r="Q12" i="23"/>
  <c r="L13" i="23"/>
  <c r="N13" i="23"/>
  <c r="O13" i="23"/>
  <c r="Q13" i="23"/>
  <c r="L14" i="23"/>
  <c r="N14" i="23"/>
  <c r="O14" i="23"/>
  <c r="Q14" i="23"/>
  <c r="L15" i="23"/>
  <c r="N15" i="23"/>
  <c r="O15" i="23"/>
  <c r="Q15" i="23"/>
  <c r="L16" i="23"/>
  <c r="N16" i="23"/>
  <c r="O16" i="23"/>
  <c r="Q16" i="23"/>
  <c r="L18" i="23"/>
  <c r="N18" i="23"/>
  <c r="O18" i="23"/>
  <c r="Q18" i="23"/>
  <c r="L19" i="23"/>
  <c r="N19" i="23"/>
  <c r="O19" i="23"/>
  <c r="Q19" i="23"/>
  <c r="L20" i="23"/>
  <c r="N20" i="23"/>
  <c r="O20" i="23"/>
  <c r="Q20" i="23"/>
  <c r="L21" i="23"/>
  <c r="N21" i="23"/>
  <c r="O21" i="23"/>
  <c r="Q21" i="23"/>
  <c r="L22" i="23"/>
  <c r="N22" i="23"/>
  <c r="O22" i="23"/>
  <c r="Q22" i="23"/>
  <c r="L23" i="23"/>
  <c r="N23" i="23"/>
  <c r="O23" i="23"/>
  <c r="Q23" i="23"/>
  <c r="L24" i="23"/>
  <c r="N24" i="23"/>
  <c r="O24" i="23"/>
  <c r="Q24" i="23"/>
  <c r="L25" i="23"/>
  <c r="N25" i="23"/>
  <c r="O25" i="23"/>
  <c r="Q25" i="23"/>
  <c r="L26" i="23"/>
  <c r="N26" i="23"/>
  <c r="O26" i="23"/>
  <c r="Q26" i="23"/>
  <c r="L27" i="23"/>
  <c r="N27" i="23"/>
  <c r="O27" i="23"/>
  <c r="Q27" i="23"/>
  <c r="L28" i="23"/>
  <c r="N28" i="23"/>
  <c r="O28" i="23"/>
  <c r="Q28" i="23"/>
  <c r="L29" i="23"/>
  <c r="N29" i="23"/>
  <c r="O29" i="23"/>
  <c r="Q29" i="23"/>
  <c r="L30" i="23"/>
  <c r="N30" i="23"/>
  <c r="O30" i="23"/>
  <c r="Q30" i="23"/>
  <c r="L31" i="23"/>
  <c r="N31" i="23"/>
  <c r="O31" i="23"/>
  <c r="Q31" i="23"/>
  <c r="L32" i="23"/>
  <c r="N32" i="23"/>
  <c r="O32" i="23"/>
  <c r="Q32" i="23"/>
  <c r="L33" i="23"/>
  <c r="N33" i="23"/>
  <c r="O33" i="23"/>
  <c r="Q33" i="23"/>
  <c r="L34" i="23"/>
  <c r="N34" i="23"/>
  <c r="O34" i="23"/>
  <c r="Q34" i="23"/>
  <c r="L35" i="23"/>
  <c r="N35" i="23"/>
  <c r="O35" i="23"/>
  <c r="Q35" i="23"/>
  <c r="L36" i="23"/>
  <c r="N36" i="23"/>
  <c r="O36" i="23"/>
  <c r="Q36" i="23"/>
  <c r="L37" i="23"/>
  <c r="N37" i="23"/>
  <c r="O37" i="23"/>
  <c r="Q37" i="23"/>
  <c r="L38" i="23"/>
  <c r="N38" i="23"/>
  <c r="O38" i="23"/>
  <c r="Q38" i="23"/>
  <c r="L39" i="23"/>
  <c r="N39" i="23"/>
  <c r="O39" i="23"/>
  <c r="Q39" i="23"/>
  <c r="L40" i="23"/>
  <c r="N40" i="23"/>
  <c r="O40" i="23"/>
  <c r="Q40" i="23"/>
  <c r="L41" i="23"/>
  <c r="N41" i="23"/>
  <c r="O41" i="23"/>
  <c r="Q41" i="23"/>
  <c r="L42" i="23"/>
  <c r="N42" i="23"/>
  <c r="O42" i="23"/>
  <c r="Q42" i="23"/>
  <c r="L43" i="23"/>
  <c r="N43" i="23"/>
  <c r="O43" i="23"/>
  <c r="Q43" i="23"/>
  <c r="L44" i="23"/>
  <c r="N44" i="23"/>
  <c r="O44" i="23"/>
  <c r="Q44" i="23"/>
  <c r="L45" i="23"/>
  <c r="N45" i="23"/>
  <c r="O45" i="23"/>
  <c r="Q45" i="23"/>
  <c r="L46" i="23"/>
  <c r="N46" i="23"/>
  <c r="O46" i="23"/>
  <c r="Q46" i="23"/>
  <c r="L47" i="23"/>
  <c r="N47" i="23"/>
  <c r="O47" i="23"/>
  <c r="Q47" i="23"/>
  <c r="L48" i="23"/>
  <c r="N48" i="23"/>
  <c r="O48" i="23"/>
  <c r="Q48" i="23"/>
  <c r="L49" i="23"/>
  <c r="N49" i="23"/>
  <c r="O49" i="23"/>
  <c r="Q49" i="23"/>
  <c r="L50" i="23"/>
  <c r="N50" i="23"/>
  <c r="O50" i="23"/>
  <c r="Q50" i="23"/>
  <c r="L51" i="23"/>
  <c r="N51" i="23"/>
  <c r="O51" i="23"/>
  <c r="Q51" i="23"/>
  <c r="L52" i="23"/>
  <c r="N52" i="23"/>
  <c r="O52" i="23"/>
  <c r="Q52" i="23"/>
  <c r="L53" i="23"/>
  <c r="N53" i="23"/>
  <c r="O53" i="23"/>
  <c r="Q53" i="23"/>
  <c r="L54" i="23"/>
  <c r="N54" i="23"/>
  <c r="O54" i="23"/>
  <c r="Q54" i="23"/>
  <c r="L55" i="23"/>
  <c r="N55" i="23"/>
  <c r="O55" i="23"/>
  <c r="Q55" i="23"/>
  <c r="L56" i="23"/>
  <c r="N56" i="23"/>
  <c r="O56" i="23"/>
  <c r="Q56" i="23"/>
  <c r="L57" i="23"/>
  <c r="N57" i="23"/>
  <c r="O57" i="23"/>
  <c r="Q57" i="23"/>
  <c r="L58" i="23"/>
  <c r="N58" i="23"/>
  <c r="O58" i="23"/>
  <c r="Q58" i="23"/>
  <c r="L59" i="23"/>
  <c r="N59" i="23"/>
  <c r="O59" i="23"/>
  <c r="Q59" i="23"/>
  <c r="L60" i="23"/>
  <c r="N60" i="23"/>
  <c r="O60" i="23"/>
  <c r="Q60" i="23"/>
  <c r="L61" i="23"/>
  <c r="N61" i="23"/>
  <c r="O61" i="23"/>
  <c r="Q61" i="23"/>
  <c r="L62" i="23"/>
  <c r="N62" i="23"/>
  <c r="O62" i="23"/>
  <c r="Q62" i="23"/>
  <c r="L63" i="23"/>
  <c r="N63" i="23"/>
  <c r="O63" i="23"/>
  <c r="Q63" i="23"/>
  <c r="L64" i="23"/>
  <c r="N64" i="23"/>
  <c r="O64" i="23"/>
  <c r="Q64" i="23"/>
  <c r="L65" i="23"/>
  <c r="N65" i="23"/>
  <c r="O65" i="23"/>
  <c r="Q65" i="23"/>
  <c r="Q10" i="23"/>
  <c r="O10" i="23"/>
  <c r="N10" i="23"/>
  <c r="L10" i="23"/>
  <c r="L6" i="23"/>
  <c r="O6" i="23"/>
  <c r="H39" i="23"/>
  <c r="W34" i="23"/>
  <c r="P34" i="23" s="1"/>
  <c r="J9" i="23" l="1"/>
  <c r="J12" i="23"/>
  <c r="L67" i="23"/>
  <c r="L66" i="23"/>
  <c r="J13" i="23" l="1"/>
  <c r="J14" i="23" s="1"/>
  <c r="J15" i="23" s="1"/>
  <c r="J16" i="23" s="1"/>
  <c r="J17" i="23" s="1"/>
  <c r="J18" i="23" s="1"/>
  <c r="J19" i="23" s="1"/>
  <c r="J20" i="23" s="1"/>
  <c r="J21" i="23" s="1"/>
  <c r="J22" i="23" s="1"/>
  <c r="J23" i="23" s="1"/>
  <c r="J24" i="23" s="1"/>
  <c r="J25" i="23" s="1"/>
  <c r="J26" i="23" s="1"/>
  <c r="J27" i="23" s="1"/>
  <c r="J28" i="23" s="1"/>
  <c r="J29" i="23" s="1"/>
  <c r="J30" i="23" s="1"/>
  <c r="J31" i="23" s="1"/>
  <c r="J32" i="23" s="1"/>
  <c r="J33" i="23" s="1"/>
  <c r="J34" i="23" s="1"/>
  <c r="J35" i="23" s="1"/>
  <c r="J36" i="23" s="1"/>
  <c r="J37" i="23" s="1"/>
  <c r="J38" i="23" s="1"/>
  <c r="J39" i="23" s="1"/>
  <c r="J40" i="23" s="1"/>
  <c r="J41" i="23" s="1"/>
  <c r="J42" i="23" s="1"/>
  <c r="J43" i="23" s="1"/>
  <c r="J44" i="23" s="1"/>
  <c r="J45" i="23" s="1"/>
  <c r="J46" i="23" s="1"/>
  <c r="J47" i="23" s="1"/>
  <c r="J48" i="23" s="1"/>
  <c r="J49" i="23" s="1"/>
  <c r="J50" i="23" s="1"/>
  <c r="J51" i="23" s="1"/>
  <c r="J52" i="23" s="1"/>
  <c r="J53" i="23" s="1"/>
  <c r="J54" i="23" s="1"/>
  <c r="J55" i="23" s="1"/>
  <c r="J56" i="23" s="1"/>
  <c r="J57" i="23" s="1"/>
  <c r="J58" i="23" s="1"/>
  <c r="J59" i="23" s="1"/>
  <c r="J60" i="23" s="1"/>
  <c r="J61" i="23" s="1"/>
  <c r="J62" i="23" s="1"/>
  <c r="J63" i="23" s="1"/>
  <c r="J64" i="23" s="1"/>
  <c r="J65" i="23" s="1"/>
  <c r="M66" i="23"/>
  <c r="C8" i="21"/>
  <c r="W7" i="25"/>
  <c r="W8" i="25"/>
  <c r="O8" i="25" s="1"/>
  <c r="W9" i="25"/>
  <c r="W12" i="25"/>
  <c r="W10" i="25"/>
  <c r="W13" i="25"/>
  <c r="O13" i="25" s="1"/>
  <c r="W11" i="25"/>
  <c r="O11" i="25" s="1"/>
  <c r="W14" i="25"/>
  <c r="O14" i="25" s="1"/>
  <c r="W18" i="25"/>
  <c r="O18" i="25" s="1"/>
  <c r="W16" i="25"/>
  <c r="O16" i="25" s="1"/>
  <c r="W21" i="25"/>
  <c r="O21" i="25" s="1"/>
  <c r="W22" i="25"/>
  <c r="O22" i="25" s="1"/>
  <c r="W19" i="25"/>
  <c r="O19" i="25" s="1"/>
  <c r="W20" i="25"/>
  <c r="O20" i="25" s="1"/>
  <c r="W24" i="25"/>
  <c r="O24" i="25" s="1"/>
  <c r="W25" i="25"/>
  <c r="O25" i="25" s="1"/>
  <c r="W26" i="25"/>
  <c r="O26" i="25" s="1"/>
  <c r="W27" i="25"/>
  <c r="O27" i="25" s="1"/>
  <c r="W28" i="25"/>
  <c r="O28" i="25" s="1"/>
  <c r="W29" i="25"/>
  <c r="O29" i="25" s="1"/>
  <c r="W31" i="25"/>
  <c r="O31" i="25" s="1"/>
  <c r="W32" i="25"/>
  <c r="O32" i="25" s="1"/>
  <c r="W33" i="25"/>
  <c r="W34" i="25"/>
  <c r="W6" i="25"/>
  <c r="O6" i="25" s="1"/>
  <c r="P7" i="25"/>
  <c r="P34" i="25"/>
  <c r="P6" i="25"/>
  <c r="M6" i="25"/>
  <c r="N7" i="25"/>
  <c r="N34" i="25"/>
  <c r="N6" i="25"/>
  <c r="M7" i="25"/>
  <c r="M34" i="25"/>
  <c r="L6" i="25"/>
  <c r="L7" i="25"/>
  <c r="K6" i="25"/>
  <c r="K7" i="25"/>
  <c r="K34" i="25"/>
  <c r="O34" i="25" s="1"/>
  <c r="G12" i="25"/>
  <c r="G13" i="25"/>
  <c r="G11" i="25"/>
  <c r="G18" i="25"/>
  <c r="G21" i="25"/>
  <c r="G22" i="25"/>
  <c r="G19" i="25"/>
  <c r="G24" i="25"/>
  <c r="G25" i="25"/>
  <c r="G26" i="25"/>
  <c r="G27" i="25"/>
  <c r="G28" i="25"/>
  <c r="G29" i="25"/>
  <c r="G31" i="25"/>
  <c r="G32" i="25"/>
  <c r="G34" i="25"/>
  <c r="D35" i="25"/>
  <c r="G35" i="25" l="1"/>
  <c r="W11" i="23"/>
  <c r="P11" i="23" s="1"/>
  <c r="W9" i="23"/>
  <c r="P9" i="23" s="1"/>
  <c r="W12" i="23"/>
  <c r="P12" i="23" s="1"/>
  <c r="W13" i="23"/>
  <c r="P13" i="23" s="1"/>
  <c r="W14" i="23"/>
  <c r="P14" i="23" s="1"/>
  <c r="W15" i="23"/>
  <c r="P15" i="23" s="1"/>
  <c r="W18" i="23"/>
  <c r="P18" i="23" s="1"/>
  <c r="W16" i="23"/>
  <c r="P16" i="23" s="1"/>
  <c r="W19" i="23"/>
  <c r="P19" i="23" s="1"/>
  <c r="W20" i="23"/>
  <c r="P20" i="23" s="1"/>
  <c r="W21" i="23"/>
  <c r="P21" i="23" s="1"/>
  <c r="W22" i="23"/>
  <c r="P22" i="23" s="1"/>
  <c r="W23" i="23"/>
  <c r="P23" i="23" s="1"/>
  <c r="W24" i="23"/>
  <c r="P24" i="23" s="1"/>
  <c r="W25" i="23"/>
  <c r="P25" i="23" s="1"/>
  <c r="W26" i="23"/>
  <c r="P26" i="23" s="1"/>
  <c r="W27" i="23"/>
  <c r="P27" i="23" s="1"/>
  <c r="W28" i="23"/>
  <c r="P28" i="23" s="1"/>
  <c r="W29" i="23"/>
  <c r="P29" i="23" s="1"/>
  <c r="W30" i="23"/>
  <c r="P30" i="23" s="1"/>
  <c r="W31" i="23"/>
  <c r="P31" i="23" s="1"/>
  <c r="W32" i="23"/>
  <c r="P32" i="23" s="1"/>
  <c r="W33" i="23"/>
  <c r="P33" i="23" s="1"/>
  <c r="W35" i="23"/>
  <c r="P35" i="23" s="1"/>
  <c r="W36" i="23"/>
  <c r="P36" i="23" s="1"/>
  <c r="W37" i="23"/>
  <c r="P37" i="23" s="1"/>
  <c r="W38" i="23"/>
  <c r="P38" i="23" s="1"/>
  <c r="W39" i="23"/>
  <c r="P39" i="23" s="1"/>
  <c r="W40" i="23"/>
  <c r="P40" i="23" s="1"/>
  <c r="W41" i="23"/>
  <c r="P41" i="23" s="1"/>
  <c r="W42" i="23"/>
  <c r="P42" i="23" s="1"/>
  <c r="W43" i="23"/>
  <c r="P43" i="23" s="1"/>
  <c r="W44" i="23"/>
  <c r="P44" i="23" s="1"/>
  <c r="W45" i="23"/>
  <c r="P45" i="23" s="1"/>
  <c r="W46" i="23"/>
  <c r="P46" i="23" s="1"/>
  <c r="W47" i="23"/>
  <c r="P47" i="23" s="1"/>
  <c r="W48" i="23"/>
  <c r="P48" i="23" s="1"/>
  <c r="W49" i="23"/>
  <c r="P49" i="23" s="1"/>
  <c r="W50" i="23"/>
  <c r="P50" i="23" s="1"/>
  <c r="W51" i="23"/>
  <c r="P51" i="23" s="1"/>
  <c r="W52" i="23"/>
  <c r="P52" i="23" s="1"/>
  <c r="W53" i="23"/>
  <c r="P53" i="23" s="1"/>
  <c r="W54" i="23"/>
  <c r="P54" i="23" s="1"/>
  <c r="W55" i="23"/>
  <c r="P55" i="23" s="1"/>
  <c r="W56" i="23"/>
  <c r="P56" i="23" s="1"/>
  <c r="W57" i="23"/>
  <c r="P57" i="23" s="1"/>
  <c r="W58" i="23"/>
  <c r="P58" i="23" s="1"/>
  <c r="W59" i="23"/>
  <c r="P59" i="23" s="1"/>
  <c r="W60" i="23"/>
  <c r="P60" i="23" s="1"/>
  <c r="W61" i="23"/>
  <c r="P61" i="23" s="1"/>
  <c r="W62" i="23"/>
  <c r="P62" i="23" s="1"/>
  <c r="W63" i="23"/>
  <c r="P63" i="23" s="1"/>
  <c r="W64" i="23"/>
  <c r="P64" i="23" s="1"/>
  <c r="W65" i="23"/>
  <c r="P65" i="23" s="1"/>
  <c r="W10" i="23"/>
  <c r="P10" i="23" s="1"/>
  <c r="W6" i="23"/>
  <c r="P6" i="23" s="1"/>
  <c r="N6" i="23"/>
  <c r="Q6" i="23"/>
  <c r="C6" i="23" l="1"/>
  <c r="H15" i="23" l="1"/>
  <c r="H9" i="23"/>
  <c r="H12" i="23"/>
  <c r="H13" i="23"/>
  <c r="H18" i="23"/>
  <c r="H19" i="23"/>
  <c r="H22" i="23"/>
  <c r="H24" i="23"/>
  <c r="H28" i="23"/>
  <c r="H32" i="23"/>
  <c r="H36" i="23"/>
  <c r="H41" i="23"/>
  <c r="H45" i="23"/>
  <c r="H46" i="23"/>
  <c r="H50" i="23"/>
  <c r="H53" i="23"/>
  <c r="H56" i="23"/>
  <c r="H58" i="23"/>
  <c r="H62" i="23"/>
  <c r="H10" i="23"/>
  <c r="H6" i="23"/>
  <c r="L17" i="21" l="1"/>
  <c r="C18" i="25" s="1"/>
  <c r="H66" i="23"/>
  <c r="F66" i="23"/>
  <c r="D66" i="23"/>
  <c r="E62" i="23"/>
  <c r="C62" i="23"/>
  <c r="E58" i="23"/>
  <c r="C58" i="23"/>
  <c r="E56" i="23"/>
  <c r="C56" i="23"/>
  <c r="E53" i="23"/>
  <c r="C53" i="23"/>
  <c r="E50" i="23"/>
  <c r="C50" i="23"/>
  <c r="E46" i="23"/>
  <c r="C46" i="23"/>
  <c r="E45" i="23"/>
  <c r="C45" i="23"/>
  <c r="E41" i="23"/>
  <c r="C41" i="23"/>
  <c r="E39" i="23"/>
  <c r="C39" i="23"/>
  <c r="E36" i="23"/>
  <c r="C36" i="23"/>
  <c r="E32" i="23"/>
  <c r="C32" i="23"/>
  <c r="E28" i="23"/>
  <c r="C28" i="23"/>
  <c r="E24" i="23"/>
  <c r="C24" i="23"/>
  <c r="E22" i="23"/>
  <c r="C22" i="23"/>
  <c r="E19" i="23"/>
  <c r="C19" i="23"/>
  <c r="E16" i="23"/>
  <c r="C16" i="23"/>
  <c r="E18" i="23"/>
  <c r="C18" i="23"/>
  <c r="E13" i="23"/>
  <c r="C13" i="23"/>
  <c r="E12" i="23"/>
  <c r="C12" i="23"/>
  <c r="E9" i="23"/>
  <c r="C9" i="23"/>
  <c r="E15" i="23"/>
  <c r="C15" i="23"/>
  <c r="E10" i="23"/>
  <c r="C10" i="23"/>
  <c r="E8" i="23"/>
  <c r="C8" i="23"/>
  <c r="E7" i="23"/>
  <c r="C7" i="23"/>
  <c r="E6" i="23"/>
  <c r="L9" i="21"/>
  <c r="C7" i="25" s="1"/>
  <c r="N9" i="21"/>
  <c r="E7" i="25" s="1"/>
  <c r="L10" i="21"/>
  <c r="C8" i="25" s="1"/>
  <c r="N10" i="21"/>
  <c r="E8" i="25" s="1"/>
  <c r="L11" i="21"/>
  <c r="C9" i="25" s="1"/>
  <c r="N11" i="21"/>
  <c r="E9" i="25" s="1"/>
  <c r="L15" i="21"/>
  <c r="C11" i="25" s="1"/>
  <c r="N15" i="21"/>
  <c r="E11" i="25" s="1"/>
  <c r="L12" i="21"/>
  <c r="C12" i="25" s="1"/>
  <c r="N12" i="21"/>
  <c r="E12" i="25" s="1"/>
  <c r="L14" i="21"/>
  <c r="C13" i="25" s="1"/>
  <c r="N14" i="21"/>
  <c r="E13" i="25" s="1"/>
  <c r="L13" i="21"/>
  <c r="C10" i="25" s="1"/>
  <c r="N13" i="21"/>
  <c r="E10" i="25" s="1"/>
  <c r="N17" i="21"/>
  <c r="E18" i="25" s="1"/>
  <c r="L16" i="21"/>
  <c r="C14" i="25" s="1"/>
  <c r="N16" i="21"/>
  <c r="E14" i="25" s="1"/>
  <c r="L18" i="21"/>
  <c r="C16" i="25" s="1"/>
  <c r="N18" i="21"/>
  <c r="E16" i="25" s="1"/>
  <c r="L19" i="21"/>
  <c r="C21" i="25" s="1"/>
  <c r="N19" i="21"/>
  <c r="E21" i="25" s="1"/>
  <c r="L20" i="21"/>
  <c r="C22" i="25" s="1"/>
  <c r="N20" i="21"/>
  <c r="E22" i="25" s="1"/>
  <c r="L21" i="21"/>
  <c r="C19" i="25" s="1"/>
  <c r="N21" i="21"/>
  <c r="E19" i="25" s="1"/>
  <c r="L22" i="21"/>
  <c r="C24" i="25" s="1"/>
  <c r="N22" i="21"/>
  <c r="E24" i="25" s="1"/>
  <c r="L23" i="21"/>
  <c r="C25" i="25" s="1"/>
  <c r="N23" i="21"/>
  <c r="E25" i="25" s="1"/>
  <c r="L24" i="21"/>
  <c r="N24" i="21"/>
  <c r="L25" i="21"/>
  <c r="N25" i="21"/>
  <c r="L26" i="21"/>
  <c r="C26" i="25" s="1"/>
  <c r="N26" i="21"/>
  <c r="E26" i="25" s="1"/>
  <c r="L27" i="21"/>
  <c r="C27" i="25" s="1"/>
  <c r="N27" i="21"/>
  <c r="E27" i="25" s="1"/>
  <c r="L28" i="21"/>
  <c r="C28" i="25" s="1"/>
  <c r="N28" i="21"/>
  <c r="E28" i="25" s="1"/>
  <c r="L29" i="21"/>
  <c r="C29" i="25" s="1"/>
  <c r="N29" i="21"/>
  <c r="E29" i="25" s="1"/>
  <c r="L30" i="21"/>
  <c r="C31" i="25" s="1"/>
  <c r="N30" i="21"/>
  <c r="E31" i="25" s="1"/>
  <c r="L31" i="21"/>
  <c r="C32" i="25" s="1"/>
  <c r="N31" i="21"/>
  <c r="E32" i="25" s="1"/>
  <c r="L32" i="21"/>
  <c r="C33" i="25" s="1"/>
  <c r="N32" i="21"/>
  <c r="E33" i="25" s="1"/>
  <c r="L33" i="21"/>
  <c r="C34" i="25" s="1"/>
  <c r="N33" i="21"/>
  <c r="E34" i="25" s="1"/>
  <c r="N8" i="21"/>
  <c r="E6" i="25" s="1"/>
  <c r="L8" i="21"/>
  <c r="C6" i="25" s="1"/>
  <c r="M34" i="21"/>
  <c r="D34" i="21"/>
  <c r="F34" i="21"/>
  <c r="H34" i="21"/>
  <c r="E33" i="21"/>
  <c r="C33" i="21"/>
  <c r="E32" i="21"/>
  <c r="C32" i="21"/>
  <c r="E31" i="21"/>
  <c r="C31" i="21"/>
  <c r="E30" i="21"/>
  <c r="C30" i="21"/>
  <c r="E29" i="21"/>
  <c r="C29" i="21"/>
  <c r="E28" i="21"/>
  <c r="C28" i="21"/>
  <c r="E27" i="21"/>
  <c r="C27" i="21"/>
  <c r="E26" i="21"/>
  <c r="C26" i="21"/>
  <c r="E25" i="21"/>
  <c r="C25" i="21"/>
  <c r="E24" i="21"/>
  <c r="C24" i="21"/>
  <c r="E23" i="21"/>
  <c r="C23" i="21"/>
  <c r="E22" i="21"/>
  <c r="C22" i="21"/>
  <c r="O21" i="21"/>
  <c r="E21" i="21"/>
  <c r="C21" i="21"/>
  <c r="E20" i="21"/>
  <c r="C20" i="21"/>
  <c r="E19" i="21"/>
  <c r="C19" i="21"/>
  <c r="E16" i="21"/>
  <c r="C16" i="21"/>
  <c r="E17" i="21"/>
  <c r="C17" i="21"/>
  <c r="E18" i="21"/>
  <c r="C18" i="21"/>
  <c r="O13" i="21"/>
  <c r="E13" i="21"/>
  <c r="C13" i="21"/>
  <c r="E14" i="21"/>
  <c r="C14" i="21"/>
  <c r="E12" i="21"/>
  <c r="C12" i="21"/>
  <c r="E15" i="21"/>
  <c r="C15" i="21"/>
  <c r="E11" i="21"/>
  <c r="C11" i="21"/>
  <c r="E10" i="21"/>
  <c r="C10" i="21"/>
  <c r="E9" i="21"/>
  <c r="C9" i="21"/>
  <c r="E8" i="21"/>
  <c r="O4" i="21"/>
  <c r="G4" i="21"/>
  <c r="G2" i="23" s="1"/>
  <c r="O3" i="21"/>
  <c r="G3" i="21"/>
  <c r="O2" i="21"/>
  <c r="G2" i="21"/>
  <c r="O16" i="21" l="1"/>
  <c r="C35" i="25"/>
  <c r="O19" i="21"/>
  <c r="O9" i="21"/>
  <c r="O11" i="21"/>
  <c r="O12" i="21"/>
  <c r="F13" i="25"/>
  <c r="F11" i="25"/>
  <c r="F8" i="25"/>
  <c r="O18" i="21"/>
  <c r="O15" i="21"/>
  <c r="O24" i="21"/>
  <c r="F10" i="25"/>
  <c r="O29" i="21"/>
  <c r="F34" i="25"/>
  <c r="F32" i="25"/>
  <c r="F29" i="25"/>
  <c r="F27" i="25"/>
  <c r="O25" i="21"/>
  <c r="F25" i="25"/>
  <c r="F19" i="25"/>
  <c r="F21" i="25"/>
  <c r="F14" i="25"/>
  <c r="E35" i="25"/>
  <c r="G9" i="21"/>
  <c r="O23" i="21"/>
  <c r="O22" i="21"/>
  <c r="F6" i="25"/>
  <c r="F33" i="25"/>
  <c r="F31" i="25"/>
  <c r="F28" i="25"/>
  <c r="F26" i="25"/>
  <c r="F24" i="25"/>
  <c r="F22" i="25"/>
  <c r="F16" i="25"/>
  <c r="F12" i="25"/>
  <c r="F9" i="25"/>
  <c r="F7" i="25"/>
  <c r="F18" i="25"/>
  <c r="N34" i="21"/>
  <c r="L34" i="21"/>
  <c r="O10" i="21"/>
  <c r="O20" i="21"/>
  <c r="O27" i="21"/>
  <c r="E34" i="21"/>
  <c r="C66" i="23"/>
  <c r="O32" i="21"/>
  <c r="O30" i="21"/>
  <c r="O28" i="21"/>
  <c r="O26" i="21"/>
  <c r="G15" i="23"/>
  <c r="G12" i="23"/>
  <c r="G18" i="23"/>
  <c r="G19" i="23"/>
  <c r="G24" i="23"/>
  <c r="G32" i="23"/>
  <c r="G6" i="23"/>
  <c r="G8" i="23"/>
  <c r="G36" i="23"/>
  <c r="G41" i="23"/>
  <c r="G46" i="23"/>
  <c r="G7" i="23"/>
  <c r="G10" i="23"/>
  <c r="G9" i="23"/>
  <c r="G13" i="23"/>
  <c r="G16" i="23"/>
  <c r="G22" i="23"/>
  <c r="G28" i="23"/>
  <c r="G39" i="23"/>
  <c r="G45" i="23"/>
  <c r="G50" i="23"/>
  <c r="G56" i="23"/>
  <c r="G62" i="23"/>
  <c r="C34" i="21"/>
  <c r="O33" i="21"/>
  <c r="O31" i="21"/>
  <c r="O17" i="21"/>
  <c r="E66" i="23"/>
  <c r="G53" i="23"/>
  <c r="G58" i="23"/>
  <c r="G12" i="21"/>
  <c r="G18" i="21"/>
  <c r="G20" i="21"/>
  <c r="G24" i="21"/>
  <c r="G27" i="21"/>
  <c r="G8" i="21"/>
  <c r="G11" i="21"/>
  <c r="G16" i="21"/>
  <c r="G22" i="21"/>
  <c r="G26" i="21"/>
  <c r="G31" i="21"/>
  <c r="G32" i="21"/>
  <c r="P2" i="21"/>
  <c r="E2" i="25" s="1"/>
  <c r="G10" i="21"/>
  <c r="G14" i="21"/>
  <c r="G17" i="21"/>
  <c r="G21" i="21"/>
  <c r="G25" i="21"/>
  <c r="G33" i="21"/>
  <c r="G15" i="21"/>
  <c r="G13" i="21"/>
  <c r="G23" i="21"/>
  <c r="G29" i="21"/>
  <c r="O8" i="21"/>
  <c r="G19" i="21"/>
  <c r="G28" i="21"/>
  <c r="G30" i="21"/>
  <c r="O14" i="21"/>
  <c r="F35" i="25" l="1"/>
  <c r="G34" i="21"/>
  <c r="G66" i="23"/>
  <c r="O34" i="21"/>
  <c r="M24" i="16" l="1"/>
  <c r="K24" i="16"/>
  <c r="M23" i="16"/>
  <c r="K23" i="16"/>
  <c r="M22" i="16"/>
  <c r="K22" i="16"/>
  <c r="M21" i="16"/>
  <c r="K21" i="16"/>
  <c r="M20" i="16"/>
  <c r="K20" i="16"/>
  <c r="M19" i="16"/>
  <c r="K19" i="16"/>
  <c r="M18" i="16"/>
  <c r="K18" i="16"/>
  <c r="M17" i="16"/>
  <c r="K17" i="16"/>
  <c r="M16" i="16"/>
  <c r="K16" i="16"/>
  <c r="M15" i="16"/>
  <c r="K15" i="16"/>
  <c r="M14" i="16"/>
  <c r="K14" i="16"/>
  <c r="M13" i="16"/>
  <c r="K13" i="16"/>
  <c r="M12" i="16"/>
  <c r="K12" i="16"/>
  <c r="M11" i="16"/>
  <c r="K11" i="16"/>
  <c r="M10" i="16"/>
  <c r="K10" i="16"/>
  <c r="M9" i="16"/>
  <c r="K9" i="16"/>
  <c r="M8" i="16"/>
  <c r="K8" i="16"/>
  <c r="M7" i="16"/>
  <c r="K7" i="16"/>
  <c r="M6" i="16"/>
  <c r="K6" i="16"/>
  <c r="M5" i="16"/>
  <c r="K5" i="16"/>
  <c r="N62" i="15"/>
  <c r="L62" i="15"/>
  <c r="N61" i="15"/>
  <c r="L61" i="15"/>
  <c r="N60" i="15"/>
  <c r="L60" i="15"/>
  <c r="N59" i="15"/>
  <c r="L59" i="15"/>
  <c r="N58" i="15"/>
  <c r="L58" i="15"/>
  <c r="N57" i="15"/>
  <c r="L57" i="15"/>
  <c r="N56" i="15"/>
  <c r="L56" i="15"/>
  <c r="N55" i="15"/>
  <c r="L55" i="15"/>
  <c r="N54" i="15"/>
  <c r="L54" i="15"/>
  <c r="N53" i="15"/>
  <c r="L53" i="15"/>
  <c r="N52" i="15"/>
  <c r="L52" i="15"/>
  <c r="N51" i="15"/>
  <c r="L51" i="15"/>
  <c r="N50" i="15"/>
  <c r="L50" i="15"/>
  <c r="N49" i="15"/>
  <c r="L49" i="15"/>
  <c r="N48" i="15"/>
  <c r="L48" i="15"/>
  <c r="N47" i="15"/>
  <c r="L47" i="15"/>
  <c r="N46" i="15"/>
  <c r="L46" i="15"/>
  <c r="N45" i="15"/>
  <c r="L45" i="15"/>
  <c r="N44" i="15"/>
  <c r="L44" i="15"/>
  <c r="N43" i="15"/>
  <c r="L43" i="15"/>
  <c r="N42" i="15"/>
  <c r="L42" i="15"/>
  <c r="N41" i="15"/>
  <c r="L41" i="15"/>
  <c r="N40" i="15"/>
  <c r="L40" i="15"/>
  <c r="N39" i="15"/>
  <c r="L39" i="15"/>
  <c r="N38" i="15"/>
  <c r="L38" i="15"/>
  <c r="N37" i="15"/>
  <c r="L37" i="15"/>
  <c r="N36" i="15"/>
  <c r="L36" i="15"/>
  <c r="N35" i="15"/>
  <c r="L35" i="15"/>
  <c r="N34" i="15"/>
  <c r="L34" i="15"/>
  <c r="N33" i="15"/>
  <c r="L33" i="15"/>
  <c r="N32" i="15"/>
  <c r="L32" i="15"/>
  <c r="N31" i="15"/>
  <c r="L31" i="15"/>
  <c r="N30" i="15"/>
  <c r="L30" i="15"/>
  <c r="N29" i="15"/>
  <c r="L29" i="15"/>
  <c r="N28" i="15"/>
  <c r="L28" i="15"/>
  <c r="N27" i="15"/>
  <c r="L27" i="15"/>
  <c r="N26" i="15"/>
  <c r="L26" i="15"/>
  <c r="N25" i="15"/>
  <c r="L25" i="15"/>
  <c r="N24" i="15"/>
  <c r="L24" i="15"/>
  <c r="N23" i="15"/>
  <c r="L23" i="15"/>
  <c r="N22" i="15"/>
  <c r="L22" i="15"/>
  <c r="N21" i="15"/>
  <c r="L21" i="15"/>
  <c r="N20" i="15"/>
  <c r="L20" i="15"/>
  <c r="N19" i="15"/>
  <c r="L19" i="15"/>
  <c r="N18" i="15"/>
  <c r="L18" i="15"/>
  <c r="N17" i="15"/>
  <c r="L17" i="15"/>
  <c r="N16" i="15"/>
  <c r="L16" i="15"/>
  <c r="N15" i="15"/>
  <c r="L15" i="15"/>
  <c r="N14" i="15"/>
  <c r="L14" i="15"/>
  <c r="N13" i="15"/>
  <c r="L13" i="15"/>
  <c r="N12" i="15"/>
  <c r="L12" i="15"/>
  <c r="N11" i="15"/>
  <c r="L11" i="15"/>
  <c r="N10" i="15"/>
  <c r="L10" i="15"/>
  <c r="N9" i="15"/>
  <c r="L9" i="15"/>
  <c r="N8" i="15"/>
  <c r="L8" i="15"/>
  <c r="N7" i="15"/>
  <c r="L7" i="15"/>
  <c r="N6" i="15"/>
  <c r="L6" i="15"/>
  <c r="N5" i="15"/>
  <c r="L5" i="15"/>
  <c r="L15" i="25" l="1"/>
  <c r="L23" i="25"/>
  <c r="L30" i="25"/>
  <c r="L17" i="25"/>
  <c r="L16" i="25"/>
  <c r="L20" i="25"/>
  <c r="L27" i="25"/>
  <c r="L32" i="25"/>
  <c r="L21" i="25"/>
  <c r="L24" i="25"/>
  <c r="L28" i="25"/>
  <c r="L14" i="25"/>
  <c r="L22" i="25"/>
  <c r="L25" i="25"/>
  <c r="L29" i="25"/>
  <c r="L18" i="25"/>
  <c r="L19" i="25"/>
  <c r="L26" i="25"/>
  <c r="L31" i="25"/>
  <c r="L34" i="25"/>
  <c r="L13" i="25"/>
  <c r="L11" i="25"/>
  <c r="L8" i="25"/>
  <c r="M6" i="23"/>
  <c r="M13" i="23"/>
  <c r="M18" i="23"/>
  <c r="M22" i="23"/>
  <c r="M11" i="23"/>
  <c r="M14" i="23"/>
  <c r="M19" i="23"/>
  <c r="M23" i="23"/>
  <c r="M27" i="23"/>
  <c r="M31" i="23"/>
  <c r="M35" i="23"/>
  <c r="M39" i="23"/>
  <c r="M43" i="23"/>
  <c r="M46" i="23"/>
  <c r="M50" i="23"/>
  <c r="M54" i="23"/>
  <c r="M58" i="23"/>
  <c r="M62" i="23"/>
  <c r="M33" i="23"/>
  <c r="M37" i="23"/>
  <c r="M41" i="23"/>
  <c r="M45" i="23"/>
  <c r="M48" i="23"/>
  <c r="M52" i="23"/>
  <c r="M56" i="23"/>
  <c r="M60" i="23"/>
  <c r="M64" i="23"/>
  <c r="M10" i="23"/>
  <c r="M30" i="23"/>
  <c r="M38" i="23"/>
  <c r="M57" i="23"/>
  <c r="M17" i="23"/>
  <c r="M9" i="23"/>
  <c r="M15" i="23"/>
  <c r="M20" i="23"/>
  <c r="M24" i="23"/>
  <c r="M28" i="23"/>
  <c r="M32" i="23"/>
  <c r="M36" i="23"/>
  <c r="M40" i="23"/>
  <c r="M44" i="23"/>
  <c r="M47" i="23"/>
  <c r="M51" i="23"/>
  <c r="M55" i="23"/>
  <c r="M59" i="23"/>
  <c r="M63" i="23"/>
  <c r="M12" i="23"/>
  <c r="M16" i="23"/>
  <c r="M21" i="23"/>
  <c r="M25" i="23"/>
  <c r="M29" i="23"/>
  <c r="M26" i="23"/>
  <c r="M34" i="23"/>
  <c r="M42" i="23"/>
  <c r="M49" i="23"/>
  <c r="M53" i="23"/>
  <c r="M61" i="23"/>
  <c r="M65" i="23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5" i="2"/>
  <c r="J6" i="2" l="1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5" i="2"/>
</calcChain>
</file>

<file path=xl/sharedStrings.xml><?xml version="1.0" encoding="utf-8"?>
<sst xmlns="http://schemas.openxmlformats.org/spreadsheetml/2006/main" count="13734" uniqueCount="5166">
  <si>
    <t>JABATAN</t>
  </si>
  <si>
    <t>TMT</t>
  </si>
  <si>
    <t>GOL</t>
  </si>
  <si>
    <t>SITI AMINAH, S.Ag, MM</t>
  </si>
  <si>
    <t>MARIA ULFAH, S.Pd.I</t>
  </si>
  <si>
    <t>Dra. SUBIHASTUTIK</t>
  </si>
  <si>
    <t>ABD. HALIM, S.Pd.I</t>
  </si>
  <si>
    <t>ABD. WAHID, S.Ag</t>
  </si>
  <si>
    <t>SAMSUL BAHRI, S.Ag</t>
  </si>
  <si>
    <t>Drs. SHOLEHUDDIN</t>
  </si>
  <si>
    <t>Drs. SUBADAR</t>
  </si>
  <si>
    <t>ABDUSSAMAT, S.Ag</t>
  </si>
  <si>
    <t>Drs. MOH. WAHID ILHAM</t>
  </si>
  <si>
    <t>196904151997032003</t>
  </si>
  <si>
    <t>197008112000031001</t>
  </si>
  <si>
    <t>196906122000032001</t>
  </si>
  <si>
    <t>197003102000032002</t>
  </si>
  <si>
    <t>196901142000031002</t>
  </si>
  <si>
    <t>197007102000031005</t>
  </si>
  <si>
    <t>197208162000031002</t>
  </si>
  <si>
    <t>197203062000031005</t>
  </si>
  <si>
    <t>196705022002121001</t>
  </si>
  <si>
    <t>196604082000031001</t>
  </si>
  <si>
    <t>196604211993031002</t>
  </si>
  <si>
    <t>196907112000031001</t>
  </si>
  <si>
    <t>197104042000031007</t>
  </si>
  <si>
    <t>196506121994031001</t>
  </si>
  <si>
    <t>197606182000031005</t>
  </si>
  <si>
    <t>196709071993031003</t>
  </si>
  <si>
    <t>NASRULLAH, S.Pd.I, M.Pd</t>
  </si>
  <si>
    <t>NUNUNG HARNANI, S.Pd</t>
  </si>
  <si>
    <t>NUR HAKIMAH, S.Pd.I</t>
  </si>
  <si>
    <t>IMAM GHOZALI, S.Pd</t>
  </si>
  <si>
    <t>DWI KARTIKO HADISAPUTRO, S.Pd</t>
  </si>
  <si>
    <t>ISHAK, S.Pd</t>
  </si>
  <si>
    <t>SYARIFAH, S.Pd.l</t>
  </si>
  <si>
    <t>DIAN EKO PRASETYONO, S.Pd</t>
  </si>
  <si>
    <t>196903082005012002</t>
  </si>
  <si>
    <t>196904282005012012</t>
  </si>
  <si>
    <t>197206302005011002</t>
  </si>
  <si>
    <t>197607052005011004</t>
  </si>
  <si>
    <t>198101032005011003</t>
  </si>
  <si>
    <t>198212242005012003</t>
  </si>
  <si>
    <t>198301122005012002</t>
  </si>
  <si>
    <t>197705052005011008</t>
  </si>
  <si>
    <t>196704072005012001</t>
  </si>
  <si>
    <t>197303072005011004</t>
  </si>
  <si>
    <t>197105062005012004</t>
  </si>
  <si>
    <t>IV/a</t>
  </si>
  <si>
    <t>III/d</t>
  </si>
  <si>
    <t>III/c</t>
  </si>
  <si>
    <t xml:space="preserve">III/d </t>
  </si>
  <si>
    <t xml:space="preserve">III/c </t>
  </si>
  <si>
    <t>SOPAN SAURI, S.Pd.I</t>
  </si>
  <si>
    <t>Dra. NUR SYAMSIAH ROHWENI</t>
  </si>
  <si>
    <t>196906262005012001</t>
  </si>
  <si>
    <t>197604222003122003</t>
  </si>
  <si>
    <t xml:space="preserve">SULISTYOWATI,S.Pd </t>
  </si>
  <si>
    <t>198204272005012004</t>
  </si>
  <si>
    <t>R. ACH. CHOIRUL FATAH, S.Pd</t>
  </si>
  <si>
    <t>197808042005011002</t>
  </si>
  <si>
    <t>DWI HALIMA TUTRIYANTI, S.Pd</t>
  </si>
  <si>
    <t>198110132009012006</t>
  </si>
  <si>
    <t>196805071997031003</t>
  </si>
  <si>
    <t>197412312005012001</t>
  </si>
  <si>
    <t>198307132005011001</t>
  </si>
  <si>
    <t>DIDIK IRAWAN, S.Pd</t>
  </si>
  <si>
    <t>VERY HIMAWAN, S.Pd</t>
  </si>
  <si>
    <t>MU'ALIMAH, S. Pd</t>
  </si>
  <si>
    <t>ASNITI, S.Pd</t>
  </si>
  <si>
    <t>198404112005011002</t>
  </si>
  <si>
    <t>197806242005011002</t>
  </si>
  <si>
    <t>196810072005012001</t>
  </si>
  <si>
    <t>Dra. ERNY KURNIAWATI</t>
  </si>
  <si>
    <t>196911232005012002</t>
  </si>
  <si>
    <t>DIYAH TRI WAHTU UTAMI, S Pd</t>
  </si>
  <si>
    <t>197606162005011004</t>
  </si>
  <si>
    <t>HERU KISWANTO, S.Pd</t>
  </si>
  <si>
    <t>NURUSSHOBAH AINUL LISZHA, S.Pd.SD</t>
  </si>
  <si>
    <t>YUYUN NASROHAH, S.Pd</t>
  </si>
  <si>
    <t>MUHAMMAD ZUHDI HASAN, S.Pd</t>
  </si>
  <si>
    <t>197002152005011003</t>
  </si>
  <si>
    <t>198112242005012002</t>
  </si>
  <si>
    <t>SITI FARIDA, S.PdI</t>
  </si>
  <si>
    <t>KARIMUL HUDA, S.Pd</t>
  </si>
  <si>
    <t>Drs. SAIFUL</t>
  </si>
  <si>
    <t>196906092005011001</t>
  </si>
  <si>
    <t>198208182005011004</t>
  </si>
  <si>
    <t>ABD. GHANI, S.Ag</t>
  </si>
  <si>
    <t>A. SULHAN, S.Ag</t>
  </si>
  <si>
    <t>NURUL LATIFAH, S.Pd.I</t>
  </si>
  <si>
    <t>M. MUSHLIH, S.Pd.I</t>
  </si>
  <si>
    <t>NUR KILAT ANDIONO , S.Pd.I</t>
  </si>
  <si>
    <t>BAKRI , S.Pd</t>
  </si>
  <si>
    <t>ENY SULISTIANA, S.Pd</t>
  </si>
  <si>
    <t>198001022005011003</t>
  </si>
  <si>
    <t>197211092005011004</t>
  </si>
  <si>
    <t>197407102005012002</t>
  </si>
  <si>
    <t>198111122005011003</t>
  </si>
  <si>
    <t>197808052005011004</t>
  </si>
  <si>
    <t>198103152005012003</t>
  </si>
  <si>
    <t>197304152005012004</t>
  </si>
  <si>
    <t>197602162005011005</t>
  </si>
  <si>
    <t>198004272005012004</t>
  </si>
  <si>
    <t>197609272005011002</t>
  </si>
  <si>
    <t>198306152005011006</t>
  </si>
  <si>
    <t>198007212005011003</t>
  </si>
  <si>
    <t>197406252000032003</t>
  </si>
  <si>
    <t>198207152005011002</t>
  </si>
  <si>
    <t>196806062005011003</t>
  </si>
  <si>
    <t>197503232005011005</t>
  </si>
  <si>
    <t>197803172005012002</t>
  </si>
  <si>
    <t>196707202005011004</t>
  </si>
  <si>
    <t>197209122005012001</t>
  </si>
  <si>
    <t>198304042005012004</t>
  </si>
  <si>
    <t>197107172005011006</t>
  </si>
  <si>
    <t>197309042005011001</t>
  </si>
  <si>
    <t>197101172005011001</t>
  </si>
  <si>
    <t>197811172005011002</t>
  </si>
  <si>
    <t>196706102005011004</t>
  </si>
  <si>
    <t>197104212005012002</t>
  </si>
  <si>
    <t>JUHAIRIYAH, S.Ag</t>
  </si>
  <si>
    <t>AGUS SOLEH, S.Pd</t>
  </si>
  <si>
    <t>PIPIN FAJAR YUNIANTO, S Pd</t>
  </si>
  <si>
    <t>197112291997032005</t>
  </si>
  <si>
    <t>IV/b</t>
  </si>
  <si>
    <t>ANGGRE AFREANDINA, S.Pd.SD</t>
  </si>
  <si>
    <t>196611252005012003</t>
  </si>
  <si>
    <t>197910152005012004</t>
  </si>
  <si>
    <t>196712102005011002</t>
  </si>
  <si>
    <t>196904082005011002</t>
  </si>
  <si>
    <t>No</t>
  </si>
  <si>
    <t>NAMA</t>
  </si>
  <si>
    <t>NIP</t>
  </si>
  <si>
    <t>Drs. ZAINUL HASAN, M.Pd.I</t>
  </si>
  <si>
    <t xml:space="preserve">IV/a </t>
  </si>
  <si>
    <t>01 April 2016</t>
  </si>
  <si>
    <t>UMU SALMA, S.Pd, M.Pd</t>
  </si>
  <si>
    <t>RACHMAWATI, S.Pd</t>
  </si>
  <si>
    <t>HUSNAN ABRORI, S.Pd</t>
  </si>
  <si>
    <t>HARIANTO, S.Pd</t>
  </si>
  <si>
    <t>lll/d</t>
  </si>
  <si>
    <t xml:space="preserve">HOSNAN, S.Pd.SD </t>
  </si>
  <si>
    <t>YULIYATI, S.Pd.I</t>
  </si>
  <si>
    <t>DIANA DWI RAHAYU, S.Pd.SD,M.Pd</t>
  </si>
  <si>
    <t>AMIR MAHMUD, S.Pd,M.Pd.I</t>
  </si>
  <si>
    <t>KHOLID MUSTOFA, S.Pd.I,M.Pd</t>
  </si>
  <si>
    <t>ST. NURTAMAMI, S.Pd.I,M.Pd.I</t>
  </si>
  <si>
    <t>NETY MERY YASMIN, S.Pd,M.Pd</t>
  </si>
  <si>
    <t>ISMAWATI, S.Pd,M.Pd</t>
  </si>
  <si>
    <t xml:space="preserve">IV/b </t>
  </si>
  <si>
    <t>NURHOIRIYAH, M.Pd.I</t>
  </si>
  <si>
    <t>01 Oktober 2019</t>
  </si>
  <si>
    <t>MUSYAFI', S.Ag, SH, M.Pd</t>
  </si>
  <si>
    <t>ABDUL HAMID, S.Pd, M.Pd</t>
  </si>
  <si>
    <t>SUPRIADI, S.Pd.SD,M.Pd</t>
  </si>
  <si>
    <t>196907272005012002</t>
  </si>
  <si>
    <t>197302041995032001</t>
  </si>
  <si>
    <t>LUKMANUL HAKIM, M.Pd</t>
  </si>
  <si>
    <t xml:space="preserve">RINI YUPINTA, S.Pd </t>
  </si>
  <si>
    <t>IKA CANDRA DEWI, S.Pd</t>
  </si>
  <si>
    <t>01 Oktober 2020</t>
  </si>
  <si>
    <t>Pengawas MA Kec. Kraksaan, Krejengan</t>
  </si>
  <si>
    <t>Pengawas MA Kec. Banyuanyar, Gending, Maron</t>
  </si>
  <si>
    <t>Pengawas MTs Kec. Paiton</t>
  </si>
  <si>
    <t>Pengawas MTs Kec. Banyuanyar, Maron</t>
  </si>
  <si>
    <t>Pengawas MA Kec. Kotaanyar, Pakuniran, Paiton</t>
  </si>
  <si>
    <t>19771014 2005011003</t>
  </si>
  <si>
    <t>Drs. SYAMSUL KHOLIQ,</t>
  </si>
  <si>
    <t>SITI NURFADILA, S.Pd, M.Pd</t>
  </si>
  <si>
    <t>SOLEHODIN, S.Ag, M.Pd</t>
  </si>
  <si>
    <t>01 April 2021</t>
  </si>
  <si>
    <t>01 Oktober 2021</t>
  </si>
  <si>
    <t>Pengawas MA Kec.Besuk, Gading, Pajarakan,Krucil</t>
  </si>
  <si>
    <t>Pengawas MTs Kec. Besuk, Krejengan</t>
  </si>
  <si>
    <t>Pengawas MTs Kec. Kotaanyar,Pakuniran,Krucil</t>
  </si>
  <si>
    <t>Penagawas RA,MI Kec. Sumberasih</t>
  </si>
  <si>
    <t>Pengawas RA,MI Kec. Tegalsiwalan</t>
  </si>
  <si>
    <t>Pengawas RA,MI Kec. Tongas</t>
  </si>
  <si>
    <t>Pengawas RA,MI Kec. Bantaran</t>
  </si>
  <si>
    <t>Pengawas RA,MI Kec. Krucil</t>
  </si>
  <si>
    <t>Pengawas RA,MI Kec. Leces</t>
  </si>
  <si>
    <t>Pengawas RA,MI Kec. Kraksaan</t>
  </si>
  <si>
    <t>Pengawas RA,MI Kec. Gending</t>
  </si>
  <si>
    <t>Pengawas RA,MI Kec. Pakuniran</t>
  </si>
  <si>
    <t>Pengawas RA,MI Kec. Lumbang, Sukapura</t>
  </si>
  <si>
    <t>Pengawas RA,MI Kec. Paiton</t>
  </si>
  <si>
    <t>Pengawas RA,MI Kec. Krejengan</t>
  </si>
  <si>
    <t>Pengawas RA,MI Kec. Maron</t>
  </si>
  <si>
    <t>Pengawas RA,MI Kec. Pajarakan</t>
  </si>
  <si>
    <t>Pengawas RA,MI Kec. Krejenagan</t>
  </si>
  <si>
    <t>Pengawas RA,MI Kec. Gading</t>
  </si>
  <si>
    <t>Pengawas RA,MI Kec. Banyuanyar</t>
  </si>
  <si>
    <t>Pengawas RA,MI Kec. Tiris ( barat )</t>
  </si>
  <si>
    <t>LASTRIASIH, S.Pd</t>
  </si>
  <si>
    <t>Pengawas MTs Kec. Leces</t>
  </si>
  <si>
    <t>196701032005012002</t>
  </si>
  <si>
    <t>Pengawas RA,MI Kec. Besuk</t>
  </si>
  <si>
    <t>Pengawas RA,MI Kec. Tiris Barat</t>
  </si>
  <si>
    <t>PUGUH STYA NUGRAHA, S.Pd</t>
  </si>
  <si>
    <t>Pengawas MTs,MA Kec. Bantaran</t>
  </si>
  <si>
    <t>01 Oktober 2022</t>
  </si>
  <si>
    <t>SAIFUR RASYID, S.PdI, M.Pd</t>
  </si>
  <si>
    <t>Pengawas RA,MI Kec. Wonomerto, Tongas</t>
  </si>
  <si>
    <t>Pengawas RA,MI Kec. Dringu, Gending</t>
  </si>
  <si>
    <t>Pengawas MTs,MA Kec. Leces, Dringu</t>
  </si>
  <si>
    <t>Pengawas MTs,MA Kec. Wonomerto, Bantaran</t>
  </si>
  <si>
    <t>Pengawas MTs,MA Kec. Krejengan</t>
  </si>
  <si>
    <t>Pengawas MTs,MA Kec. Gending</t>
  </si>
  <si>
    <t>Pengawas MTs,MA Kec. Gending,Sumberasih, Tongas, Kuripan, Lumbang</t>
  </si>
  <si>
    <t>Pengawas MTs,MA Kec. Tongas,Lumbang,Sumberasih</t>
  </si>
  <si>
    <t>IV/c</t>
  </si>
  <si>
    <t>SUPARMAN , S.Pd.I,M.Pd.I</t>
  </si>
  <si>
    <t>HASAN, S.Pd.SD,M.Pd.I</t>
  </si>
  <si>
    <t>ABDUL AZIS, S.Ag, M.Pd</t>
  </si>
  <si>
    <t>SAIFUL ULUM, S.Pd,MA</t>
  </si>
  <si>
    <t>Pengawas MTs, MA Kec. Tiris</t>
  </si>
  <si>
    <t>Pengawas RA, MI Kec. Tiris Timur</t>
  </si>
  <si>
    <t>Pengawas RA,MI Kotaanyar</t>
  </si>
  <si>
    <t>Pengawas RA,MI Kec. Tegalsiwalan, kuripan</t>
  </si>
  <si>
    <t>Pengawas MA Kec. Bantaran,Tegalsiwalan,Wonomerto</t>
  </si>
  <si>
    <t>Pengawas MTs Kec. Gading, Krejengan</t>
  </si>
  <si>
    <t>Pengawas MTs, MA Kec. Tegalsiwalan,  Banyuanyar</t>
  </si>
  <si>
    <t>Pengawas MTs Kec. Kuripan, Lumbang, Bantaran</t>
  </si>
  <si>
    <t>Pengawas RA,MI Kec. Onomerto</t>
  </si>
  <si>
    <t>ISWANTO, S.Pd, M.Pd</t>
  </si>
  <si>
    <t>MANSUR, S.PdI, M.Pd</t>
  </si>
  <si>
    <t>PERIODE 1 JANUARI 2025</t>
  </si>
  <si>
    <t>DATA PENGAWAS MADRASAH KANKEMENAG KAB. PROBOLINGGO</t>
  </si>
  <si>
    <t>SOLEHODIN</t>
  </si>
  <si>
    <t>MARIA ULFAH</t>
  </si>
  <si>
    <t>SITI AMINAH</t>
  </si>
  <si>
    <t>MUSYAFI'</t>
  </si>
  <si>
    <t>SHOLEHUDDIN</t>
  </si>
  <si>
    <t>SUBIHASTUTIK</t>
  </si>
  <si>
    <t>NUR SYAMSIAH ROHWENI</t>
  </si>
  <si>
    <t>SUBADAR</t>
  </si>
  <si>
    <t>MOH. WAHID ILHAM</t>
  </si>
  <si>
    <t>RACHMAWATI</t>
  </si>
  <si>
    <t>LUKMANUL HAKIM</t>
  </si>
  <si>
    <t>YULIYATI</t>
  </si>
  <si>
    <t>NURHOIRIYAH</t>
  </si>
  <si>
    <t>NASRULLAH</t>
  </si>
  <si>
    <t>JUHAIRIYAH</t>
  </si>
  <si>
    <t>SAMSUL BAHRI</t>
  </si>
  <si>
    <t>NETY MERY YASMIN</t>
  </si>
  <si>
    <t>ISMAWATI</t>
  </si>
  <si>
    <t>ZAINUL HASAN</t>
  </si>
  <si>
    <t>ABDUL AZIS</t>
  </si>
  <si>
    <t>SAIFUL</t>
  </si>
  <si>
    <t>SULISTYOWATI</t>
  </si>
  <si>
    <t>SITI FARIDA</t>
  </si>
  <si>
    <t>MU'ALIMAH</t>
  </si>
  <si>
    <t>SOPAN SAURI</t>
  </si>
  <si>
    <t>ABD. WAHID</t>
  </si>
  <si>
    <t>ABD. HALIM</t>
  </si>
  <si>
    <t>M. MUSHLIH</t>
  </si>
  <si>
    <t>ST. NURTAMAMI</t>
  </si>
  <si>
    <t>ABDUL HAMID</t>
  </si>
  <si>
    <t>NUNUNG HARNANI</t>
  </si>
  <si>
    <t>SYAMSUL KHOLIQ,</t>
  </si>
  <si>
    <t>AMIR MAHMUD</t>
  </si>
  <si>
    <t>KHOLID MUSTOFA</t>
  </si>
  <si>
    <t>ERNY KURNIAWATI</t>
  </si>
  <si>
    <t>ASNITI</t>
  </si>
  <si>
    <t>SUPRIADI</t>
  </si>
  <si>
    <t>IMAM GHOZALI</t>
  </si>
  <si>
    <t>DIAN EKO PRASETYONO</t>
  </si>
  <si>
    <t>NUR HAKIMAH</t>
  </si>
  <si>
    <t>RINI YUPINTA</t>
  </si>
  <si>
    <t>DIDIK IRAWAN</t>
  </si>
  <si>
    <t>SAIFUL ULUM</t>
  </si>
  <si>
    <t>PIPIN FAJAR YUNIANTO</t>
  </si>
  <si>
    <t>ANGGRE AFREANDINA</t>
  </si>
  <si>
    <t>SYARIFAH</t>
  </si>
  <si>
    <t>BAKRI</t>
  </si>
  <si>
    <t>SITI NURFADILA</t>
  </si>
  <si>
    <t>ENY SULISTIANA</t>
  </si>
  <si>
    <t>A. SULHAN</t>
  </si>
  <si>
    <t>DWI KARTIKO HADISAPUTRO</t>
  </si>
  <si>
    <t>ISHAK</t>
  </si>
  <si>
    <t>YUYUN NASROHAH</t>
  </si>
  <si>
    <t>MANSUR</t>
  </si>
  <si>
    <t>ISWANTO</t>
  </si>
  <si>
    <t>MUHAMMAD ZUHDI HASAN</t>
  </si>
  <si>
    <t>DWI HALIMA TUTRIYANTI</t>
  </si>
  <si>
    <t>ABD. GHANI</t>
  </si>
  <si>
    <t>R. ACH. CHOIRUL FATAH</t>
  </si>
  <si>
    <t>SAIFUR RASYID</t>
  </si>
  <si>
    <t>AGUS SOLEH</t>
  </si>
  <si>
    <t>LASTRIASIH</t>
  </si>
  <si>
    <t>HUSNAN ABRORI</t>
  </si>
  <si>
    <t>HOSNAN</t>
  </si>
  <si>
    <t>HARIANTO</t>
  </si>
  <si>
    <t>VERY HIMAWAN</t>
  </si>
  <si>
    <t>HERU KISWANTO</t>
  </si>
  <si>
    <t>DIYAH TRI WAHTU UTAMI</t>
  </si>
  <si>
    <t>NURUL LATIFAH</t>
  </si>
  <si>
    <t>UMU SALMA</t>
  </si>
  <si>
    <t>SUPARMAN</t>
  </si>
  <si>
    <t>HASAN</t>
  </si>
  <si>
    <t>IKA CANDRA DEWI</t>
  </si>
  <si>
    <t>PUGUH STYA NUGRAHA</t>
  </si>
  <si>
    <t>NUR KILAT ANDIONO</t>
  </si>
  <si>
    <t>DIANA DWI RAHAYU</t>
  </si>
  <si>
    <t>NURUSSHOBAH AINUL LISZHA</t>
  </si>
  <si>
    <t>KARIMUL HUDA</t>
  </si>
  <si>
    <t>NAMA PENGAWAS</t>
  </si>
  <si>
    <r>
      <rPr>
        <b/>
        <sz val="10"/>
        <color theme="1"/>
        <rFont val="Arial"/>
        <family val="2"/>
      </rPr>
      <t xml:space="preserve">NUPTK </t>
    </r>
    <r>
      <rPr>
        <sz val="10"/>
        <color theme="1"/>
        <rFont val="Arial"/>
        <family val="2"/>
      </rPr>
      <t>(NOMOR UNIK PENDIDIK DAN TENAGA KEPENDIDIKAN)</t>
    </r>
  </si>
  <si>
    <r>
      <rPr>
        <b/>
        <sz val="10"/>
        <color theme="1"/>
        <rFont val="Arial"/>
        <family val="2"/>
      </rPr>
      <t>NIK</t>
    </r>
    <r>
      <rPr>
        <sz val="10"/>
        <color theme="1"/>
        <rFont val="Arial"/>
        <family val="2"/>
      </rPr>
      <t xml:space="preserve"> (NOMOR INDUK KEPENDUDUKAN)</t>
    </r>
  </si>
  <si>
    <t>JENJANG KEPENGAWASAN</t>
  </si>
  <si>
    <t>TMT  SP TERAKHIR SEBAGAI PENGAWAS</t>
  </si>
  <si>
    <t>EMAIL AKTIF PENGAWAS</t>
  </si>
  <si>
    <r>
      <rPr>
        <b/>
        <i/>
        <sz val="10"/>
        <color theme="1"/>
        <rFont val="Arial"/>
        <family val="2"/>
      </rPr>
      <t>UPLOAD</t>
    </r>
    <r>
      <rPr>
        <b/>
        <sz val="10"/>
        <color theme="1"/>
        <rFont val="Arial"/>
        <family val="2"/>
      </rPr>
      <t xml:space="preserve"> EXCEL TERLAMPIR (DATA BINAAN)</t>
    </r>
  </si>
  <si>
    <t>1556759661300043</t>
  </si>
  <si>
    <t>3513166412810002</t>
  </si>
  <si>
    <t>RA/MI</t>
  </si>
  <si>
    <t>yuyunfinza@gmail.com</t>
  </si>
  <si>
    <t>2536751651300002</t>
  </si>
  <si>
    <t>3513054402730003</t>
  </si>
  <si>
    <t>ulfah1maria@gmail.com</t>
  </si>
  <si>
    <t>2938746648200022</t>
  </si>
  <si>
    <t>3513050606680001</t>
  </si>
  <si>
    <t>MTS</t>
  </si>
  <si>
    <t>ahmad01saiful@gmail.com</t>
  </si>
  <si>
    <t>9640747650300002</t>
  </si>
  <si>
    <t>3513174803690001</t>
  </si>
  <si>
    <t>nurhakimah754@gmail.com</t>
  </si>
  <si>
    <t>https://drive.google.com/open?id=1V8Sr3gVfzmE1o_W2d5JRVogW94GqiMSj</t>
  </si>
  <si>
    <t>5740747651200002</t>
  </si>
  <si>
    <t>3513140804690003</t>
  </si>
  <si>
    <t>spdimansur69@gmail.com</t>
  </si>
  <si>
    <t>6743762663200022</t>
  </si>
  <si>
    <t>3513211104840003</t>
  </si>
  <si>
    <t>iswantowawan.205@gmail.com</t>
  </si>
  <si>
    <t>https://drive.google.com/open?id=1Fs8O7AyoCSTTC0DdPWJKltQe6Bd1YlZJ</t>
  </si>
  <si>
    <t>6638750651200002</t>
  </si>
  <si>
    <t>3513050603720004</t>
  </si>
  <si>
    <t>samsul4119@gmail.com</t>
  </si>
  <si>
    <t>https://drive.google.com/open?id=1LnLUa2GHsdw9gh2qoIYqkvqNeFdMg_7U</t>
  </si>
  <si>
    <t>4944747649300072</t>
  </si>
  <si>
    <t>3513215206690002</t>
  </si>
  <si>
    <t>yuliyati.kemenag@gmail.com</t>
  </si>
  <si>
    <t>https://drive.google.com/open?id=1iQdvpi09hQ219bQwCCOlJqNvv_0-OZtQ</t>
  </si>
  <si>
    <t>https://drive.google.com/open?id=1oebmlybFeZKBPXYAxiVtyj-q7Dy8Bsg_</t>
  </si>
  <si>
    <t>2740744649200001</t>
  </si>
  <si>
    <t>3513200804660001</t>
  </si>
  <si>
    <t>MA</t>
  </si>
  <si>
    <t>kaksyafik@gmail.com</t>
  </si>
  <si>
    <t>https://drive.google.com/open?id=1t2_uMY1wl0LMyRE1h1qBK1ie17146WrQ</t>
  </si>
  <si>
    <t>9958747648300012</t>
  </si>
  <si>
    <t>3513056606690002</t>
  </si>
  <si>
    <t>nursyamsiahrohweni26@gmail.com</t>
  </si>
  <si>
    <t>https://drive.google.com/open?id=11DHO2wfD9RlNteVHT6wgCIFWR4mBPZMp</t>
  </si>
  <si>
    <t>9047760661200003</t>
  </si>
  <si>
    <t>3513031507820003</t>
  </si>
  <si>
    <t>karimulhuda157@gmail.com</t>
  </si>
  <si>
    <t>https://drive.google.com/open?id=1WE5vaGp--KPzTVCNigNg4uAkMoM6vkrB</t>
  </si>
  <si>
    <t>5446747650200012</t>
  </si>
  <si>
    <t>3513151401690002</t>
  </si>
  <si>
    <t>anasnasrul31@gmail.com</t>
  </si>
  <si>
    <t>https://drive.google.com/open?id=1awtsqaIVsDH6IKdQK1CU_G-HZiUgUAkH</t>
  </si>
  <si>
    <t>6455747649300033</t>
  </si>
  <si>
    <t>3513086311690002</t>
  </si>
  <si>
    <t>diyahtriwahyuutami@gmail.com</t>
  </si>
  <si>
    <t>https://drive.google.com/open?id=1UUyNrUHbqeQwExG0WwhUJOPt1FvI-gWy</t>
  </si>
  <si>
    <t>9759760661300042</t>
  </si>
  <si>
    <t>3513196704820004</t>
  </si>
  <si>
    <t>MTS/MA</t>
  </si>
  <si>
    <t>sulistyowati957@gmail.com</t>
  </si>
  <si>
    <t>https://drive.google.com/open?id=1txluyWuAZlM4ZRMhxQEJcTvx5BUbYLdl</t>
  </si>
  <si>
    <t>3345759660300043</t>
  </si>
  <si>
    <t>3513055310810001</t>
  </si>
  <si>
    <t>dwihalima@gmail.com</t>
  </si>
  <si>
    <t>https://drive.google.com/open?id=1m9ck-pg-BSHpq0ovi2AsWQcS0fU9Cwk4</t>
  </si>
  <si>
    <t>7052745648200043</t>
  </si>
  <si>
    <t>3513120711070014</t>
  </si>
  <si>
    <t>asulhanhanafi@gmail.com</t>
  </si>
  <si>
    <t>1434758658200002</t>
  </si>
  <si>
    <t>3513170201800001</t>
  </si>
  <si>
    <t>didikira1@gmail.com</t>
  </si>
  <si>
    <t>https://drive.google.com/open?id=1o8b1Uci2lLrtAT7REnp5p2uRo93ewTvG</t>
  </si>
  <si>
    <t>5838749651300022</t>
  </si>
  <si>
    <t>3513214605710001</t>
  </si>
  <si>
    <t>nurhoiriyahyusuf@gmail.com</t>
  </si>
  <si>
    <t>https://drive.google.com/open?id=1Gx6Cb__JRGBrZ-3r577t4x4yUc35Xha4</t>
  </si>
  <si>
    <t>9143748650200003</t>
  </si>
  <si>
    <t>3513121108700002</t>
  </si>
  <si>
    <t>Sophansauri@gmail.com</t>
  </si>
  <si>
    <t>https://drive.google.com/open?id=1srSbu20y-mo_gAbd-XGZOdS-q_MCV9n9</t>
  </si>
  <si>
    <t>8736749652200022</t>
  </si>
  <si>
    <t>3513130404710003</t>
  </si>
  <si>
    <t>solehodin@gmail.com</t>
  </si>
  <si>
    <t>https://drive.google.com/open?id=1HcACCVv-5VhE8JvDO9mLxWUf13cUYy7Y</t>
  </si>
  <si>
    <t>https://drive.google.com/open?id=1XemrNok5v0HPhiVi8C2l27tXPzDYKjf4</t>
  </si>
  <si>
    <t>9042752653300013</t>
  </si>
  <si>
    <t>3513205007740002</t>
  </si>
  <si>
    <t>umusalma74@gmail.com</t>
  </si>
  <si>
    <t>https://drive.google.com/open?id=1fK5FtrN7SZlIgTEERshXy9APvrh7dAyW</t>
  </si>
  <si>
    <t>8942745648200012</t>
  </si>
  <si>
    <t>3513111006670002</t>
  </si>
  <si>
    <t>bakrispd9@gmail.com</t>
  </si>
  <si>
    <t>https://drive.google.com/open?id=15wsFh4tMnrbRK8CzRfCJVSLdopTDQsrZ</t>
  </si>
  <si>
    <t>2150760660200003</t>
  </si>
  <si>
    <t>3513111808820003</t>
  </si>
  <si>
    <t>husnan.abrori45@gmail.com</t>
  </si>
  <si>
    <t>https://drive.google.com/open?id=1ThbWvyvOeYm2QthDqMk6nDmi3OW0GRN-</t>
  </si>
  <si>
    <t>0839746648200022</t>
  </si>
  <si>
    <t>3513140705680005</t>
  </si>
  <si>
    <t>elha3w@gmail.com</t>
  </si>
  <si>
    <t>https://drive.google.com/open?id=1mzPRAYdWnY8QEID_vKuCLuDScRRULaFC</t>
  </si>
  <si>
    <t>9747751652300002</t>
  </si>
  <si>
    <t>3513055504730001</t>
  </si>
  <si>
    <t>asnitiasniti122@gmail.com</t>
  </si>
  <si>
    <t>https://drive.google.com/open?id=1y0ntkSNPVe6SbMSUGhxLOGVCKNAcaN9e</t>
  </si>
  <si>
    <t>"197604222003122003</t>
  </si>
  <si>
    <t>4754754656300032</t>
  </si>
  <si>
    <t>3574026204760001</t>
  </si>
  <si>
    <t>MTS, MA</t>
  </si>
  <si>
    <t>ismawatirahman76@gmail.com</t>
  </si>
  <si>
    <t>https://drive.google.com/open?id=1rafi2DGGyF1JwlySnmZfa2c5cG6Z9LVk</t>
  </si>
  <si>
    <t>3339746648300053</t>
  </si>
  <si>
    <t>3513084710680001</t>
  </si>
  <si>
    <t>ninikerni27@gmail.com</t>
  </si>
  <si>
    <t>https://drive.google.com/open?id=1IUyiuJXeotKggSDm49yeDzCCxxbg1SpR</t>
  </si>
  <si>
    <t>9042748650200003</t>
  </si>
  <si>
    <t>3513091007700002</t>
  </si>
  <si>
    <t>abd.halim2008@gmail.com</t>
  </si>
  <si>
    <t>https://drive.google.com/open?id=1rGvxPQUsPv6gfZmrW9kMVWFtFCT-YPyi</t>
  </si>
  <si>
    <t>3556760662300013</t>
  </si>
  <si>
    <t>3513176412820002</t>
  </si>
  <si>
    <t>dianarahayu66@gmail.com</t>
  </si>
  <si>
    <t>https://drive.google.com/open?id=1nk53vNIsGTBwcRWNcNzzqP1TLxahJrhJ</t>
  </si>
  <si>
    <t>2655753655200012</t>
  </si>
  <si>
    <t>3513132303750002</t>
  </si>
  <si>
    <t>cakghani@gmail.com4</t>
  </si>
  <si>
    <t>https://drive.google.com/open?id=1Qj-gpJp2wTwFmC8NpNMEqqueYX6SszLM</t>
  </si>
  <si>
    <t>9547759660300012</t>
  </si>
  <si>
    <t>3513185503810001</t>
  </si>
  <si>
    <t>sitinurfadila47@gmail.com95477</t>
  </si>
  <si>
    <t>https://drive.google.com/open?id=1ptrlg-TJ9JCDq-NLv2qpSwvsNBgf0BR5</t>
  </si>
  <si>
    <t>1051743649300003</t>
  </si>
  <si>
    <t>3513106707690001</t>
  </si>
  <si>
    <t>datasyarifahbaru@gmail.com</t>
  </si>
  <si>
    <t>https://drive.google.com/open?id=1MoI3P7GBFjInhfXo0nF0544Mmub3w32Q</t>
  </si>
  <si>
    <t>0649756658300012</t>
  </si>
  <si>
    <t>3513145703780002</t>
  </si>
  <si>
    <t>netymeryyasmin78@gmail.com</t>
  </si>
  <si>
    <t>https://drive.google.com/open?id=1ktUD9HhaUzR_7od8FpC6JzzSbG8sr_CH</t>
  </si>
  <si>
    <t>7736761662300013</t>
  </si>
  <si>
    <t>3513154404830003</t>
  </si>
  <si>
    <t>umikcabali@gmail.com</t>
  </si>
  <si>
    <t>https://drive.google.com/open?id=1iNJ5SxSjXRg3EkSMMzfnqhYdibAPuG1W</t>
  </si>
  <si>
    <t>197710142005011003</t>
  </si>
  <si>
    <t>6346755656200003</t>
  </si>
  <si>
    <t>3513151410770002</t>
  </si>
  <si>
    <t>supri6781@gmail.com</t>
  </si>
  <si>
    <t>https://drive.google.com/open?id=1RhW0JVNAMPEux6pJUE-ssg6xYpv0OL_w</t>
  </si>
  <si>
    <t>2642748650300022</t>
  </si>
  <si>
    <t>3574045003700007</t>
  </si>
  <si>
    <t>subihastutik_gmail.com</t>
  </si>
  <si>
    <t>https://drive.google.com/open?id=1OT8cU6UjmKqMJvnFrlcPdMVFOxmvFkyc</t>
  </si>
  <si>
    <t>9548754655200012</t>
  </si>
  <si>
    <t>3513091602760001</t>
  </si>
  <si>
    <t>kiss.one.to.76@gmail.com</t>
  </si>
  <si>
    <t>https://drive.google.com/open?id=1nyxmGQEqYgHqH8mn11HbG_q6ff-pb0B5</t>
  </si>
  <si>
    <t>4957752653300012</t>
  </si>
  <si>
    <t>3574016506740006</t>
  </si>
  <si>
    <t>1974sitifarida@gmail.com</t>
  </si>
  <si>
    <t>https://drive.google.com/open?id=1AZ4XaIfYHq_491SukJnxHnSInYlA28Pc</t>
  </si>
  <si>
    <t>3941747650200042</t>
  </si>
  <si>
    <t>3513110906690001</t>
  </si>
  <si>
    <t>hariantopengamad@gmail.com</t>
  </si>
  <si>
    <t>https://drive.google.com/open?id=1dLe9Azh85ue6VcdhFIPpG4xJbsjyphUp</t>
  </si>
  <si>
    <t>1950754654200002</t>
  </si>
  <si>
    <t>3513131806760001</t>
  </si>
  <si>
    <t>samatabdussamat@gmail.com</t>
  </si>
  <si>
    <t>https://drive.google.com/open?id=1kP3V_2r4f0dDn5__yLrK4IQxjImX2uLp</t>
  </si>
  <si>
    <t>3944743646200022</t>
  </si>
  <si>
    <t>3513061206650004</t>
  </si>
  <si>
    <t>pengawasmimaron2015@gmail.com</t>
  </si>
  <si>
    <t>https://drive.google.com/open?id=1GbTMHjGs6pZ8YaSeW9WAoLm9qenxK092</t>
  </si>
  <si>
    <t>https://drive.google.com/open?id=1PzQqhW2RrHv72PYN0hhzw7bEQXJv5byF</t>
  </si>
  <si>
    <t>2435759660200012</t>
  </si>
  <si>
    <t>3513170301810001</t>
  </si>
  <si>
    <t>dwikartiko95@gmail.com</t>
  </si>
  <si>
    <t>https://drive.google.com/open?id=1HMwMqp_1pcO0MN48lHGrvlnYYV-3QT0I</t>
  </si>
  <si>
    <t>0544749652200012</t>
  </si>
  <si>
    <t>3574016511660001</t>
  </si>
  <si>
    <t>mualimah2511@gmail.com</t>
  </si>
  <si>
    <t>https://drive.google.com/open?id=1FC4shLeaJLvb0Nj6u6IXa8yzbMdDCnbu</t>
  </si>
  <si>
    <t>0834745647200022</t>
  </si>
  <si>
    <t>3513110205670002</t>
  </si>
  <si>
    <t>azishusnol@gmail.com</t>
  </si>
  <si>
    <t>https://drive.google.com/open?id=1wigmELPrKq4MDauE3_dwAauxsf6V7Hgv</t>
  </si>
  <si>
    <t>5043747649200013</t>
  </si>
  <si>
    <t>3513061107690002</t>
  </si>
  <si>
    <t>syamsulkholiq6@gmail.com</t>
  </si>
  <si>
    <t>https://drive.google.com/open?id=1pp4bs_UOq3VeLzF3voGCl7asgp2JzhVx</t>
  </si>
  <si>
    <t>3513054301670001</t>
  </si>
  <si>
    <t>lastriasih67@gmail.com</t>
  </si>
  <si>
    <t>https://drive.google.com/open?id=1eLuC1lDCdVLnfmAsehKCtWkCtKZxTuDU</t>
  </si>
  <si>
    <t>2236751653200013</t>
  </si>
  <si>
    <t>3513210409730002</t>
  </si>
  <si>
    <t>suparmanardi@gmail.com</t>
  </si>
  <si>
    <t>https://drive.google.com/open?id=1Yy3hD8g7z0Joll6IeR1UXwNZWi4nOKeN</t>
  </si>
  <si>
    <t>3513142107800004</t>
  </si>
  <si>
    <t>zuhdi.miza@gmail.com</t>
  </si>
  <si>
    <t>https://drive.google.com/open?id=1zJBN1Ymf9s7gG7ze1_HivDYMcSEvB7N-</t>
  </si>
  <si>
    <t>8759758659300032</t>
  </si>
  <si>
    <t>3513166704800002</t>
  </si>
  <si>
    <t>azzamqory2710@gmail.com</t>
  </si>
  <si>
    <t>19811112200501003</t>
  </si>
  <si>
    <t>5444759660200003</t>
  </si>
  <si>
    <t>3513061211810002</t>
  </si>
  <si>
    <t>veryhimawan6@gmail.com</t>
  </si>
  <si>
    <t>https://drive.google.com/open?id=12BhGEwk8aWHulWDUrfiK29_OcBWYmyps</t>
  </si>
  <si>
    <t>3244750652300023</t>
  </si>
  <si>
    <t>3513145209720004</t>
  </si>
  <si>
    <t>latifahnurul06@gmail.com</t>
  </si>
  <si>
    <t>https://drive.google.com/open?id=1gAqAi8S_7vHQaTik-iHSMwe7arImbfDN</t>
  </si>
  <si>
    <t>1547748649200022</t>
  </si>
  <si>
    <t>3513101502700002</t>
  </si>
  <si>
    <t>saifurrasyid12@gmail.com</t>
  </si>
  <si>
    <t>https://drive.google.com/open?id=1sQGklXquexxhTQeP31mJhGp7bhP8pPT4</t>
  </si>
  <si>
    <t>2045761662200023</t>
  </si>
  <si>
    <t>3513121307830004</t>
  </si>
  <si>
    <t>puguh.stya13@gmail.com</t>
  </si>
  <si>
    <t>https://drive.google.com/open?id=1Yb0XJ5sKzA8eSlaTwWDG61cNdGhVpf1Z</t>
  </si>
  <si>
    <t>3444761662300042</t>
  </si>
  <si>
    <t>3513075201830003</t>
  </si>
  <si>
    <t>i.candradewi12@gmail.com</t>
  </si>
  <si>
    <t>https://drive.google.com/open?id=1X8D41zwdiDa8mMxrGlhcMK6PJK_tPMy0</t>
  </si>
  <si>
    <t>3956756658200022</t>
  </si>
  <si>
    <t>3513202406780002</t>
  </si>
  <si>
    <t>selamanyaromis5@gmail.com</t>
  </si>
  <si>
    <t>https://drive.google.com/open?id=1OxiB4LeyjEw1F2wT_bHOj5bxuNuS-nrU</t>
  </si>
  <si>
    <t>6948754656200022</t>
  </si>
  <si>
    <t>3513081606760001</t>
  </si>
  <si>
    <t>pfyfajar36@gmail.com</t>
  </si>
  <si>
    <t>https://drive.google.com/open?id=1yS2nItO702kHF6oGIGynGdrh5Ra0ctdi</t>
  </si>
  <si>
    <t>8753749651300032</t>
  </si>
  <si>
    <t>3513126104710005</t>
  </si>
  <si>
    <t>enylistiana21@gmail.com</t>
  </si>
  <si>
    <t>https://drive.google.com/open?id=1waITdvPpzXQRmAqBHrAiCItdA6R-u6dA</t>
  </si>
  <si>
    <t>4837755656200012</t>
  </si>
  <si>
    <t>3513060505770002</t>
  </si>
  <si>
    <t>dianekoprast@gmail.com</t>
  </si>
  <si>
    <t>https://drive.google.com/open?id=1pr0H2AcErcDjv3OlIdWeJ8vBXojEhNcd</t>
  </si>
  <si>
    <t>9739745646300022</t>
  </si>
  <si>
    <t>3513094704670001</t>
  </si>
  <si>
    <t>nurtamami6499@gmail.com</t>
  </si>
  <si>
    <t>https://drive.google.com/open?id=1eubDvHroivhalaN4XNCEr_Ge9h69oQAu</t>
  </si>
  <si>
    <t>197307032005011004</t>
  </si>
  <si>
    <t>6639751652200022</t>
  </si>
  <si>
    <t>3513090703730001</t>
  </si>
  <si>
    <t>abdulhamidwangkal@gmail.com</t>
  </si>
  <si>
    <t>https://drive.google.com/open?id=1uvVMbGZCzO7u-wo9BW8XI2VlccWXbZH1</t>
  </si>
  <si>
    <t>1259754658200003</t>
  </si>
  <si>
    <t>3513152709760002</t>
  </si>
  <si>
    <t>hasanali1976718@gmail.com</t>
  </si>
  <si>
    <t>https://drive.google.com/open?id=1OAmM03LmMvcMdFjTgD3p9bJr2mt4pAva</t>
  </si>
  <si>
    <t>7347757658300043</t>
  </si>
  <si>
    <t>3513175510790001</t>
  </si>
  <si>
    <t>nunungharnani501@gmail.com</t>
  </si>
  <si>
    <t>https://drive.google.com/open?id=1M2fvXr82pxecLqcdDISI5HImKv34o5_j</t>
  </si>
  <si>
    <t>https://drive.google.com/open?id=10MlZovJL5AnyBeac6QrEZTMDGafktJSm</t>
  </si>
  <si>
    <t>https://drive.google.com/open?id=13wCvfWWJ0XmDX2Lhe_jkzfcSCyY1kPRX</t>
  </si>
  <si>
    <t>1449756656200003</t>
  </si>
  <si>
    <t>3513121711780002</t>
  </si>
  <si>
    <t>zainulvarey@gmail.com</t>
  </si>
  <si>
    <t>https://drive.google.com/open?id=1999A8ITDTz_YXSmEV1xQSbfbdT5_IoPi</t>
  </si>
  <si>
    <t>1449749651200012</t>
  </si>
  <si>
    <t>3513141701730002</t>
  </si>
  <si>
    <t>pengawasmuda165@gmail.com</t>
  </si>
  <si>
    <t>https://drive.google.com/open?id=1q7trGauhk1yIXgvMwl8zwleL5bo3gGCW</t>
  </si>
  <si>
    <t>2049749650200003</t>
  </si>
  <si>
    <t>3513221707710001</t>
  </si>
  <si>
    <t>mushlih.pm@gmail.com</t>
  </si>
  <si>
    <t>https://drive.google.com/open?id=1akhcTVWQlMYV1fzf54Ye7RttzhbpvCB8</t>
  </si>
  <si>
    <t>0747747650300012</t>
  </si>
  <si>
    <t>3513095504690003</t>
  </si>
  <si>
    <t>aminahzarin@gmail.com</t>
  </si>
  <si>
    <t>2753744648200012</t>
  </si>
  <si>
    <t>3513162104660001</t>
  </si>
  <si>
    <t>sholehuddinpajarakan@gmai.com</t>
  </si>
  <si>
    <t>https://drive.google.com/open?id=1TR8svft04LUadEepGrKAsqUAcvzwgx6O</t>
  </si>
  <si>
    <t>27607476493000223513</t>
  </si>
  <si>
    <t>3513176804690002</t>
  </si>
  <si>
    <t>mama.jhr2000@gmail.com</t>
  </si>
  <si>
    <t>https://drive.google.com/open?id=1JaY1AjQohyCvo-XwOr4X7SVpGGXjtZkM</t>
  </si>
  <si>
    <t>https://drive.google.com/open?id=1IivF7qjRsMlr4wxbwR8hiAmLryV8UmcH</t>
  </si>
  <si>
    <t>8037754655200003</t>
  </si>
  <si>
    <t>3513180507760002</t>
  </si>
  <si>
    <t>alfinugi@gmail.com</t>
  </si>
  <si>
    <t>https://drive.google.com/open?id=113usGc2IIktosAhdoD2TodlV6yRQaSrO</t>
  </si>
  <si>
    <t>https://drive.google.com/open?id=1YiM7UA8GdfYLUw8M6Vy_VQ-EQpUiKEmA</t>
  </si>
  <si>
    <t>DIYAH TRI WAHYU UTAMI</t>
  </si>
  <si>
    <t>ABDUS SAMAT</t>
  </si>
  <si>
    <t>SYAMSUL KHOLIQ</t>
  </si>
  <si>
    <t>JENJANG</t>
  </si>
  <si>
    <t>MTs</t>
  </si>
  <si>
    <t>MTs/MA</t>
  </si>
  <si>
    <t>TMT SP TERBARU</t>
  </si>
  <si>
    <t>Pengawas MTs Kec. Kotaanyar, Pakuniran, Krucil</t>
  </si>
  <si>
    <t>Pengawas RA,MI Kec. Tiris Timur</t>
  </si>
  <si>
    <t>ALAMAT LENGKAP</t>
  </si>
  <si>
    <t>Jl. H. Mansur Tanjung lor RT. 25 RW. 12, Desa/Kel. Karanganyar, Kec. Paiton</t>
  </si>
  <si>
    <t>Dusun Prasi Selatan RT. 17 RW. 07, Desa/Kel. Prasi, Kec. Gading</t>
  </si>
  <si>
    <t>Dusun Krajan RT. 01 RW. 01, Desa/Kel. Sentul, Kec. Gading</t>
  </si>
  <si>
    <t>Dusun I Krajan RT. 04 RW. 10, Desa/Kel. Sambirampak Kidul, Kec. Kota Anyar</t>
  </si>
  <si>
    <t>Jl. Dimas Kanjeng No.135 RT. 20 RW. 08, Desa/Kel. Wangkal, Kec. Gading</t>
  </si>
  <si>
    <t>Dusun Jukoan RT. 03 RW. 12, Desa/Kel. Kecik, Kec. Besuk</t>
  </si>
  <si>
    <t>Dusun Bengkingan RT. 01 RW. 01, Desa/Kel. Kalirejo, Kec. Dringu</t>
  </si>
  <si>
    <t>Dusun Tambak Rejo RT. 02 RW. 03, Desa/Kel. Kedungcaluk, Kec. Krejengan</t>
  </si>
  <si>
    <t>Dusun Krajan RT. 13 RW. 04, Desa/Kel. Kotaanyar, Kec. Kota Anyar</t>
  </si>
  <si>
    <t>Dusun Sukun RT. 02 RW. 01, Desa/Kel. Pendil, Kec. Banyu Anyar</t>
  </si>
  <si>
    <t>Jl. DKA RT. 04 RW. 02, Desa/Kel. Brabe, Kec. Maron</t>
  </si>
  <si>
    <t>Dusun Krajan 2 RT. 9 RW. 2, Desa/Kel. Maron Wetan, Kec. Maron</t>
  </si>
  <si>
    <t>Krucil RT. 3 RW. 13, Desa/Kel. Krucil, Kec. Krucil</t>
  </si>
  <si>
    <t>Dusun Krajan I RT. 17 RW. 06, Desa/Kel. Pesawahan, Kec. Tiris</t>
  </si>
  <si>
    <t>Dusun Gapur RT. 09 RW. 03, Desa/Kel. Brumbungan Lor, Kec. Gending</t>
  </si>
  <si>
    <t>Dusun Krajan RT. 01 RW. 02, Desa/Kel. Bulujaran Kidul, Kec. Tegal Siwalan</t>
  </si>
  <si>
    <t>Jl. Taman Bougenvil II No 7 RT. 06 RW. 07, Desa/Kel. Sumbertaman, Kec. Wonoasih</t>
  </si>
  <si>
    <t>DUSUN ASEM LURUS RT. 19 RW. 05, Desa/Kel. Muneng, Kec. Sumber Asih</t>
  </si>
  <si>
    <t>Dusun Kramat RT. 03 RW. 02, Desa/Kel. Puspan, Kec. Maron</t>
  </si>
  <si>
    <t>Dusun Krasak RT. 09 RW. 02, Desa/Kel. Menyono, Kec. Kuripan</t>
  </si>
  <si>
    <t>Dusun Paleran RT. 11 RW. 03, Desa/Kel. Maron Wetan, Kec. Maron</t>
  </si>
  <si>
    <t>Jl. Sunan Kudus No.42 RT. 02 RW. 07, Desa/Kel. Kraksaan Wetan, Kec. Kraksaan</t>
  </si>
  <si>
    <t>Jln. Kyai wangi Dusun Bindung RT. 01 RW. 03, Desa/Kel. Tunggak Cerme, Kec. Wonomerto</t>
  </si>
  <si>
    <t>Dusun Skanan RT. 03 RW. 02, Desa/Kel. Rondokuning, Kec. Kraksaan</t>
  </si>
  <si>
    <t>Jl.Indragiri Gg.1 RT. 01 RW. 04, Desa/Kel. Jrebeng Wetan, Kec. Kedopok</t>
  </si>
  <si>
    <t>JL. PROF. DR. HAMKA RT. 001 RW. 02, Desa/Kel. Triwung Kidul, Kec. Kademangan</t>
  </si>
  <si>
    <t>Dusun Krajan RT. 03 RW. 01, Desa/Kel. Kandangjati Wetan, Kec. Kraksaan</t>
  </si>
  <si>
    <t>Dusun Grintingan RT. 019 RW. 03, Desa/Kel. Blado Kulon, Kec. Tegal Siwalan</t>
  </si>
  <si>
    <t>Dusun Brukan RT. 02 RW. 08, Desa/Kel. Maron Kidul, Kec. Maron</t>
  </si>
  <si>
    <t>Perum Melati Indah No 21 RT. 9 RW. 1, Desa/Kel. Sumberkedawung, Kec. Leces</t>
  </si>
  <si>
    <t>Dusun Asem Lurus RT. 005 RW. 20, Desa/Kel. Muneng, Kec. Sumber Asih</t>
  </si>
  <si>
    <t>Jl. kampung Madura 14 RT. 03 RW. 02, Desa/Kel. Kandangjati Kulon, Kec. Kraksaan</t>
  </si>
  <si>
    <t>Jl. Dr. Sutomo No. 48 RT. 6 RW. 1, Desa/Kel. Kandangjati Kulon, Kec. Kraksaan</t>
  </si>
  <si>
    <t>Dsn Bermi Tengah RT. 07 RW. 02, Desa/Kel. Bermi, Kec. Krucil</t>
  </si>
  <si>
    <t>Jl. Samudera Intan RT. 13 RW. 07, Desa/Kel. Pondok Kelor, Kec. Paiton</t>
  </si>
  <si>
    <t>Jl. KH Hasan Bisri gang 1 No. 11 RT. 07 RW. 01, Desa/Kel. Sumbertaman, Kec. Wonoasih</t>
  </si>
  <si>
    <t>Jl. Raya no.08 Rt 01/Rw 01 Bantaran RT. 01 RW. 01, Desa/Kel. Bantaran, Kec. Bantaran</t>
  </si>
  <si>
    <t>Dusun Pao RT. 27 RW. 04, Desa/Kel. Liprak Wetan, Kec. Banyu Anyar</t>
  </si>
  <si>
    <t>Dusun Krajan RT. 1 RW. 1, Desa/Kel. Bucor Wetan, Kec. Pakuniran</t>
  </si>
  <si>
    <t>Perum Permai Blok K 13 RT. 06 RW. 04, Desa/Kel. Leces, Kec. Leces</t>
  </si>
  <si>
    <t>Dusun Bukol RT. 15 RW. 05, Desa/Kel. Karangbong, Kec. Pajarakan</t>
  </si>
  <si>
    <t>Dusun Blimbing RT 005 RW 001 RT. 01 RW. 05, Desa/Kel. Gadingwetan, Kec. Gading</t>
  </si>
  <si>
    <t>Jl Arjuno 1 No. 28 RT. 03 RW. 13, Desa/Kel. Triwung Kidul, Kec. Kademangan</t>
  </si>
  <si>
    <t>Dusun Banjar RT. 004 RW. 02, Desa/Kel. Randupitu, Kec. Gending</t>
  </si>
  <si>
    <t>Dusun Krajan RT. 01 RW. 01, Desa/Kel. Jambangan, Kec. Besuk</t>
  </si>
  <si>
    <t>Pondok Kelor RT. 05 RW. 09, Desa/Kel. Pondok Kelor, Kec. Paiton</t>
  </si>
  <si>
    <t>Klenang Lor RT. 03 RW. 11, Desa/Kel. Klenang Lor, Kec. Banyu Anyar</t>
  </si>
  <si>
    <t>Dusun Pandean RT. 03 RW. 04, Desa/Kel. Pabean, Kec. Dringu</t>
  </si>
  <si>
    <t>Dusun Krajan RT. 01 RW. 01, Desa/Kel. Alassapi, Kec. Banyu Anyar</t>
  </si>
  <si>
    <t>Dusun Gerintingan RT. 09 RW. 15, Desa/Kel. Blado Kulon, Kec. Tegal Siwalan</t>
  </si>
  <si>
    <t>Desa Sumberbendo Dusun Kresek RT. 04 RW. 18, Desa/Kel. Sumberbendo, Kec. Sumber Asih</t>
  </si>
  <si>
    <t>Dusun Sukunan RT 001 RW 005 RT. 05 RW. 01, Desa/Kel. Sukokerto, Kec. Pajarakan</t>
  </si>
  <si>
    <t>Pondok Pabean Indah V 16 RT. 06 RW. 04 Pabean</t>
  </si>
  <si>
    <t>USIA</t>
  </si>
  <si>
    <t>TANGGAL LAHIR</t>
  </si>
  <si>
    <t>TANGGAL PANSIUN</t>
  </si>
  <si>
    <t>L</t>
  </si>
  <si>
    <t>P</t>
  </si>
  <si>
    <t>L/P</t>
  </si>
  <si>
    <t>NO.</t>
  </si>
  <si>
    <t>NSM</t>
  </si>
  <si>
    <t>NPSN</t>
  </si>
  <si>
    <t>Nama Madrasah</t>
  </si>
  <si>
    <t>Jenjang</t>
  </si>
  <si>
    <t>Status</t>
  </si>
  <si>
    <t>Provinsi</t>
  </si>
  <si>
    <t>Kabupaten</t>
  </si>
  <si>
    <t>Kecamatan</t>
  </si>
  <si>
    <t>Alamat</t>
  </si>
  <si>
    <t>101235130004</t>
  </si>
  <si>
    <t>69745685</t>
  </si>
  <si>
    <t>RA MIFTAHUL ULUM</t>
  </si>
  <si>
    <t>Raudhatul Athfal</t>
  </si>
  <si>
    <t>swasta</t>
  </si>
  <si>
    <t>JAWA TIMUR</t>
  </si>
  <si>
    <t>PROBOLINGGO</t>
  </si>
  <si>
    <t>BANTARAN</t>
  </si>
  <si>
    <t>JL. RAYA WONOASIH-BANTARAN KM03 RT. 01 RW. 02</t>
  </si>
  <si>
    <t>101235130005</t>
  </si>
  <si>
    <t>69745683</t>
  </si>
  <si>
    <t>RA BUSTANUL ULUM</t>
  </si>
  <si>
    <t>JL. TRIWUNG NO. 51 TEMPURAN</t>
  </si>
  <si>
    <t>101235130006</t>
  </si>
  <si>
    <t>69745684</t>
  </si>
  <si>
    <t>RA DARUL ULUM BANTARAN</t>
  </si>
  <si>
    <t>JLN RAYA 02 BANTARAN</t>
  </si>
  <si>
    <t>101235130007</t>
  </si>
  <si>
    <t>69745969</t>
  </si>
  <si>
    <t>RA NURUL ULUM AL-ARIEF</t>
  </si>
  <si>
    <t>DUSUN KRAJAN</t>
  </si>
  <si>
    <t>101235130008</t>
  </si>
  <si>
    <t>69887637</t>
  </si>
  <si>
    <t>RA DARUL MA'ARIF</t>
  </si>
  <si>
    <t>JALAN KRAMAT DESA KRAMATAGUNG</t>
  </si>
  <si>
    <t>101235130009</t>
  </si>
  <si>
    <t>69745682</t>
  </si>
  <si>
    <t>RA NURUL HUDA</t>
  </si>
  <si>
    <t>JL. KH. MAS SHOLEH MUDZAKKIR KRAMATAGUNG</t>
  </si>
  <si>
    <t>101235130010</t>
  </si>
  <si>
    <t>69745686</t>
  </si>
  <si>
    <t>RA NURUL HIKMAH</t>
  </si>
  <si>
    <t>JL.MASJID AZIZURROHIM DUSUN SUMUR RT007 RW 003</t>
  </si>
  <si>
    <t>101235130332</t>
  </si>
  <si>
    <t>69898093</t>
  </si>
  <si>
    <t>RA NURUL YAQIN BANTARAN</t>
  </si>
  <si>
    <t>JLN DUSUN PENGUMBIN RT021 RW006 KRAMATAGUNG</t>
  </si>
  <si>
    <t>101235130335</t>
  </si>
  <si>
    <t>69745681</t>
  </si>
  <si>
    <t>RA MIFTAHUL HUDA</t>
  </si>
  <si>
    <t>DUSUN TENGAH A</t>
  </si>
  <si>
    <t>101235130396</t>
  </si>
  <si>
    <t>69941128</t>
  </si>
  <si>
    <t>RA NURUR ROHMAH</t>
  </si>
  <si>
    <t>JL.KAPURAN RT.17/05</t>
  </si>
  <si>
    <t>101235130813</t>
  </si>
  <si>
    <t>70034839</t>
  </si>
  <si>
    <t>RA UMMUL QURO AL JAUHARI</t>
  </si>
  <si>
    <t>DUSUN TIMBANGAN RT 15 RW 03</t>
  </si>
  <si>
    <t>101235130818</t>
  </si>
  <si>
    <t>70036455</t>
  </si>
  <si>
    <t>RA AL HIDAYAH</t>
  </si>
  <si>
    <t>DSN. NANGKA</t>
  </si>
  <si>
    <t>101235130820</t>
  </si>
  <si>
    <t>70034481</t>
  </si>
  <si>
    <t>RA TARUNA MULIA</t>
  </si>
  <si>
    <t>Dusun Krajan, RT/RW : 03/01</t>
  </si>
  <si>
    <t>101235130027</t>
  </si>
  <si>
    <t>69745706</t>
  </si>
  <si>
    <t>RA THORIQOTUL HASAN</t>
  </si>
  <si>
    <t>BANYUANYAR</t>
  </si>
  <si>
    <t>JL. RAYA KLENANG LOR.NO. 02</t>
  </si>
  <si>
    <t>101235130028</t>
  </si>
  <si>
    <t>69745710</t>
  </si>
  <si>
    <t>RA TARBIYATUL HASAN</t>
  </si>
  <si>
    <t>JL. KY. JAMAL HASIBI DUSUN PAO RT/RW. 23/04 LIPRAK WETAN</t>
  </si>
  <si>
    <t>101235130029</t>
  </si>
  <si>
    <t>69745709</t>
  </si>
  <si>
    <t>RA SYAFI'IYAH NU</t>
  </si>
  <si>
    <t>JL. KH.AHSAN DAHLAN</t>
  </si>
  <si>
    <t>101235130030</t>
  </si>
  <si>
    <t>69745698</t>
  </si>
  <si>
    <t>RA TANWIRUL MUBTADIIN</t>
  </si>
  <si>
    <t>JL. JEMBATAN BARU H.MOH DAHLAN</t>
  </si>
  <si>
    <t>101235130031</t>
  </si>
  <si>
    <t>69745701</t>
  </si>
  <si>
    <t>DUSUN KARANG ANYAR</t>
  </si>
  <si>
    <t>101235130032</t>
  </si>
  <si>
    <t>69745696</t>
  </si>
  <si>
    <t>RA SIROJUL ULUM</t>
  </si>
  <si>
    <t>101235130033</t>
  </si>
  <si>
    <t>69745691</t>
  </si>
  <si>
    <t>RA NAZHATUT THOLIBIN</t>
  </si>
  <si>
    <t>JL. KY.JAMAL HASIBI</t>
  </si>
  <si>
    <t>101235130034</t>
  </si>
  <si>
    <t>69745700</t>
  </si>
  <si>
    <t>RA WALI SANGA II</t>
  </si>
  <si>
    <t>DUSUN PANDI 2, RT/RW : 006/002</t>
  </si>
  <si>
    <t>101235130035</t>
  </si>
  <si>
    <t>69887638</t>
  </si>
  <si>
    <t>RA WALI SONGO I</t>
  </si>
  <si>
    <t>DUSUN SEKOLAHAN</t>
  </si>
  <si>
    <t>101235130037</t>
  </si>
  <si>
    <t>69745690</t>
  </si>
  <si>
    <t>RA MIRQATUL ULUM</t>
  </si>
  <si>
    <t>Dusun Kramat RT. 009 RW. 003</t>
  </si>
  <si>
    <t>101235130038</t>
  </si>
  <si>
    <t>69745708</t>
  </si>
  <si>
    <t>RA SYAFI'IYAH</t>
  </si>
  <si>
    <t>JL. MADRASAH NO. 11</t>
  </si>
  <si>
    <t>101235130039</t>
  </si>
  <si>
    <t>69745693</t>
  </si>
  <si>
    <t>RA HIDAYATUL ULUM</t>
  </si>
  <si>
    <t>DUSUN RUNGGENG</t>
  </si>
  <si>
    <t>101235130040</t>
  </si>
  <si>
    <t>69887639</t>
  </si>
  <si>
    <t>RA AL HASANIYAH</t>
  </si>
  <si>
    <t>DUSUN SUMUR LEPAAN RT. 26/RW. 02</t>
  </si>
  <si>
    <t>101235130041</t>
  </si>
  <si>
    <t>69745705</t>
  </si>
  <si>
    <t>RA SUNAN MURIA</t>
  </si>
  <si>
    <t>DSN KAMBENGAN RT28 RW. 02</t>
  </si>
  <si>
    <t>101235130042</t>
  </si>
  <si>
    <t>69745702</t>
  </si>
  <si>
    <t>RA ISLAMIYAH</t>
  </si>
  <si>
    <t>JL. MASJID NURUL HUDA Rt32 Rw02</t>
  </si>
  <si>
    <t>101235130043</t>
  </si>
  <si>
    <t>69745695</t>
  </si>
  <si>
    <t>DUSUN MANGGA</t>
  </si>
  <si>
    <t>101235130044</t>
  </si>
  <si>
    <t>69745697</t>
  </si>
  <si>
    <t>RA SUNAN GIRI</t>
  </si>
  <si>
    <t>101235130045</t>
  </si>
  <si>
    <t>69745704</t>
  </si>
  <si>
    <t>RA SUNAN DRAJAT</t>
  </si>
  <si>
    <t>DUSUN KRAJAN 1 RT. 6 RW. 3 GADING KULON</t>
  </si>
  <si>
    <t>101235130046</t>
  </si>
  <si>
    <t>69887640</t>
  </si>
  <si>
    <t>RA TUNAS HARAPAN</t>
  </si>
  <si>
    <t>DUSUN TEKONG</t>
  </si>
  <si>
    <t>101235130047</t>
  </si>
  <si>
    <t>69745703</t>
  </si>
  <si>
    <t>RA NURUL MUQORROBIN</t>
  </si>
  <si>
    <t>ASEM MANIS RT/RW. 19/06</t>
  </si>
  <si>
    <t>101235130048</t>
  </si>
  <si>
    <t>69745688</t>
  </si>
  <si>
    <t>DUSUN NANGGER 1 RT26 RW. 09 LIPRAK KIDUL</t>
  </si>
  <si>
    <t>101235130049</t>
  </si>
  <si>
    <t>69745694</t>
  </si>
  <si>
    <t>RA KHADIJAH</t>
  </si>
  <si>
    <t>Dusun Kokon RT. 015 RW. 002</t>
  </si>
  <si>
    <t>101235130050</t>
  </si>
  <si>
    <t>69745687</t>
  </si>
  <si>
    <t>RA AL KHODIJAH</t>
  </si>
  <si>
    <t>JL. LAPANGAN RT.03/RW. 01 DUSUN PENGUMBEN</t>
  </si>
  <si>
    <t>101235130051</t>
  </si>
  <si>
    <t>69745707</t>
  </si>
  <si>
    <t>RA RAUDLATUL ULUM</t>
  </si>
  <si>
    <t>Dusun Sumur Paing</t>
  </si>
  <si>
    <t>101235130052</t>
  </si>
  <si>
    <t>69745689</t>
  </si>
  <si>
    <t>RT. 22/RW. 02 DSN GLINTONGAN</t>
  </si>
  <si>
    <t>101235130053</t>
  </si>
  <si>
    <t>69745699</t>
  </si>
  <si>
    <t>RA THORIQOTUL ISLAMIYAH</t>
  </si>
  <si>
    <t>DUSUN ALAS RT. 15 /RW. 05</t>
  </si>
  <si>
    <t>101235130369</t>
  </si>
  <si>
    <t>69887641</t>
  </si>
  <si>
    <t>RA BAHRUL ULUM</t>
  </si>
  <si>
    <t>DUSUN DARUNGAN RT 18 RW 06</t>
  </si>
  <si>
    <t>101235130370</t>
  </si>
  <si>
    <t>69898094</t>
  </si>
  <si>
    <t>DUSUN KRAJAN RT/RW. 09/03</t>
  </si>
  <si>
    <t>101235130400</t>
  </si>
  <si>
    <t>69941130</t>
  </si>
  <si>
    <t>RA HIDAYATUN NAJAH</t>
  </si>
  <si>
    <t>DUSUN GUMUK BANG RT. 10 RW. 05 DESA GADING KULON BANYUANYAR</t>
  </si>
  <si>
    <t>101235130536</t>
  </si>
  <si>
    <t>69887642</t>
  </si>
  <si>
    <t>DUSUN SUKUN</t>
  </si>
  <si>
    <t>101235130830</t>
  </si>
  <si>
    <t>70045498</t>
  </si>
  <si>
    <t>RA AR RAUDHAH</t>
  </si>
  <si>
    <t>DUSUN MASJID RT.02 RW. 01</t>
  </si>
  <si>
    <t>101235130190</t>
  </si>
  <si>
    <t>69745724</t>
  </si>
  <si>
    <t>RA TARBIYATUL ISLAM</t>
  </si>
  <si>
    <t>BESUK</t>
  </si>
  <si>
    <t>JL.CEMPAKA PUTIH NO.495</t>
  </si>
  <si>
    <t>101235130191</t>
  </si>
  <si>
    <t>69745716</t>
  </si>
  <si>
    <t>RA IHYAUDDINIYAH</t>
  </si>
  <si>
    <t>JL. MASJID DARUSSALAM</t>
  </si>
  <si>
    <t>101235130192</t>
  </si>
  <si>
    <t>69745713</t>
  </si>
  <si>
    <t>RA BAHJATUSSIBYAN</t>
  </si>
  <si>
    <t>JL. KEDUNG 11/03</t>
  </si>
  <si>
    <t>101235130193</t>
  </si>
  <si>
    <t>69745711</t>
  </si>
  <si>
    <t>RA AL-HIDAYAH</t>
  </si>
  <si>
    <t>DUSUN KOLOR RT. 008 RW. 003</t>
  </si>
  <si>
    <t>101235130195</t>
  </si>
  <si>
    <t>69745717</t>
  </si>
  <si>
    <t>RA KHOLAFIYAH SYAFIIYAH</t>
  </si>
  <si>
    <t>JL. K.H. ABD JALIL RT/RW. 01/01 DS. MATEKAN KEC. BESUK KAB. PROBOLINGGO</t>
  </si>
  <si>
    <t>101235130196</t>
  </si>
  <si>
    <t>69745722</t>
  </si>
  <si>
    <t>RA RAUDLATUL ISTIQOMAH 2</t>
  </si>
  <si>
    <t>DUSUN TENGAH RT. 005 RW. 004</t>
  </si>
  <si>
    <t>101235130197</t>
  </si>
  <si>
    <t>69745719</t>
  </si>
  <si>
    <t>RA NURUL HIDAYAH</t>
  </si>
  <si>
    <t>DUSUN UTARA  RT. 09 RW. 03</t>
  </si>
  <si>
    <t>101235130198</t>
  </si>
  <si>
    <t>69745723</t>
  </si>
  <si>
    <t>RA RAUDLATUSSALAM</t>
  </si>
  <si>
    <t>JL. RAYA BESUK NO. 242</t>
  </si>
  <si>
    <t>101235130199</t>
  </si>
  <si>
    <t>69745720</t>
  </si>
  <si>
    <t>RA NURUL IMAN</t>
  </si>
  <si>
    <t>JL. RAYA BESUK BUCOR KM. 02</t>
  </si>
  <si>
    <t>101235130200</t>
  </si>
  <si>
    <t>69745712</t>
  </si>
  <si>
    <t>RA AL HASANAH</t>
  </si>
  <si>
    <t>DUSUN BEDIAN</t>
  </si>
  <si>
    <t>101235130201</t>
  </si>
  <si>
    <t>69745718</t>
  </si>
  <si>
    <t>RA MIFTAHUL KHAIR</t>
  </si>
  <si>
    <t>ALASTENGAH</t>
  </si>
  <si>
    <t>101235130202</t>
  </si>
  <si>
    <t>69745714</t>
  </si>
  <si>
    <t>RA BUSTANUL HASAN</t>
  </si>
  <si>
    <t>Jl. Kamboja 174 Dusun Gentengan RT 05 RW 02</t>
  </si>
  <si>
    <t>101235130203</t>
  </si>
  <si>
    <t>69745715</t>
  </si>
  <si>
    <t>RA HIDMATUL HIKAM</t>
  </si>
  <si>
    <t>JL. BOR ALASSUMUR LOR KEC. BESUK KAB. PROBOLINGGO</t>
  </si>
  <si>
    <t>101235130204</t>
  </si>
  <si>
    <t>69745721</t>
  </si>
  <si>
    <t>RA NURUL WAHID</t>
  </si>
  <si>
    <t>JL. K.KATSIR DUSUN TALAR 2</t>
  </si>
  <si>
    <t>101235130794</t>
  </si>
  <si>
    <t>69898095</t>
  </si>
  <si>
    <t>JL. RAYA BESUKKIDUL NO. 247</t>
  </si>
  <si>
    <t>101235130831</t>
  </si>
  <si>
    <t>70045168</t>
  </si>
  <si>
    <t>RA ASSUNNIYYAH</t>
  </si>
  <si>
    <t>DUSUN NANGGER RT.14 RW.05</t>
  </si>
  <si>
    <t>101235130285</t>
  </si>
  <si>
    <t>69745726</t>
  </si>
  <si>
    <t>RA NURUL ISLAM</t>
  </si>
  <si>
    <t>DRINGU</t>
  </si>
  <si>
    <t>Jl. Masjid Dusun Krajan Desa Tegalrejo Kecamatan dringu</t>
  </si>
  <si>
    <t>101235130361</t>
  </si>
  <si>
    <t>69941138</t>
  </si>
  <si>
    <t>RA IT PERMATA</t>
  </si>
  <si>
    <t>JL. RAYA DRINGU GG. KERINCI NO.21</t>
  </si>
  <si>
    <t>101235130113</t>
  </si>
  <si>
    <t>69745742</t>
  </si>
  <si>
    <t>RA MAMBAUL HASAN</t>
  </si>
  <si>
    <t>GADING</t>
  </si>
  <si>
    <t>DSN RABUNAN</t>
  </si>
  <si>
    <t>101235130114</t>
  </si>
  <si>
    <t>69745730</t>
  </si>
  <si>
    <t>DUSUN JANTI</t>
  </si>
  <si>
    <t>101235130115</t>
  </si>
  <si>
    <t>69745731</t>
  </si>
  <si>
    <t>RA MIFTAHUL JANNAH</t>
  </si>
  <si>
    <t>JL. PESANTREN NO. 72 WANGKAL</t>
  </si>
  <si>
    <t>101235130116</t>
  </si>
  <si>
    <t>69745741</t>
  </si>
  <si>
    <t>RA KHOLAFIYAH HASANIYAH</t>
  </si>
  <si>
    <t>Jl. R. Sidharta No. 45 Dusun Bimbing Rt: 05 Rw: 03</t>
  </si>
  <si>
    <t>101235130117</t>
  </si>
  <si>
    <t>69745757</t>
  </si>
  <si>
    <t>DUSUN SERREH RT. 004/ RW. 002</t>
  </si>
  <si>
    <t>101235130118</t>
  </si>
  <si>
    <t>69745738</t>
  </si>
  <si>
    <t>RA DINIYATUL ISLAM</t>
  </si>
  <si>
    <t>DSN SUMBERWATU</t>
  </si>
  <si>
    <t>101235130119</t>
  </si>
  <si>
    <t>69745734</t>
  </si>
  <si>
    <t>RA AL HANIFIYAH</t>
  </si>
  <si>
    <t>DSN RAMAH</t>
  </si>
  <si>
    <t>101235130120</t>
  </si>
  <si>
    <t>69745749</t>
  </si>
  <si>
    <t>RA NURUL HASAN</t>
  </si>
  <si>
    <t>JL. PANJI LARAS DUSUN KLITIK RT. 013 RW. 004</t>
  </si>
  <si>
    <t>101235130121</t>
  </si>
  <si>
    <t>69745747</t>
  </si>
  <si>
    <t>RA NURANIYAH</t>
  </si>
  <si>
    <t>JL. MASJID NURUL HASAN RT. 04 RW. 02</t>
  </si>
  <si>
    <t>101235130122</t>
  </si>
  <si>
    <t>69745756</t>
  </si>
  <si>
    <t>RA HUSNUL KHIITAM</t>
  </si>
  <si>
    <t>JL. KH.ISA IDRIS</t>
  </si>
  <si>
    <t>101235130123</t>
  </si>
  <si>
    <t>69745753</t>
  </si>
  <si>
    <t>RA TARBIYATUL MUTAALLIMIN</t>
  </si>
  <si>
    <t>JL. GEDANGAN DSN. KRAJAN RT/RW. 010/005</t>
  </si>
  <si>
    <t>101235130124</t>
  </si>
  <si>
    <t>69745729</t>
  </si>
  <si>
    <t>RA IHYAUL IMAN</t>
  </si>
  <si>
    <t>DSN KRAJAN</t>
  </si>
  <si>
    <t>101235130125</t>
  </si>
  <si>
    <t>69745755</t>
  </si>
  <si>
    <t>RA FATIHUL ULUM</t>
  </si>
  <si>
    <t>DESA CONDONG SELATAN</t>
  </si>
  <si>
    <t>101235130126</t>
  </si>
  <si>
    <t>69745735</t>
  </si>
  <si>
    <t>RA ALFATAH</t>
  </si>
  <si>
    <t>Dusun Mangaran Desa Ranuwurung gading Probolinggo</t>
  </si>
  <si>
    <t>101235130127</t>
  </si>
  <si>
    <t>69745732</t>
  </si>
  <si>
    <t>DUSUN LEDUK KEBEN</t>
  </si>
  <si>
    <t>101235130128</t>
  </si>
  <si>
    <t>69745748</t>
  </si>
  <si>
    <t>DS TANAH MERAH</t>
  </si>
  <si>
    <t>101235130129</t>
  </si>
  <si>
    <t>69745745</t>
  </si>
  <si>
    <t>JL. Thamrin No 01 Dusun Jumitro</t>
  </si>
  <si>
    <t>101235130130</t>
  </si>
  <si>
    <t>69745750</t>
  </si>
  <si>
    <t>DSN RANON</t>
  </si>
  <si>
    <t>101235130131</t>
  </si>
  <si>
    <t>69745737</t>
  </si>
  <si>
    <t>RA DARUSSALAM</t>
  </si>
  <si>
    <t>JL. ASAM KOONG</t>
  </si>
  <si>
    <t>101235130132</t>
  </si>
  <si>
    <t>69745728</t>
  </si>
  <si>
    <t>RA HAYATUL ISLAM</t>
  </si>
  <si>
    <t>Dusun Kleppo</t>
  </si>
  <si>
    <t>101235130133</t>
  </si>
  <si>
    <t>69745740</t>
  </si>
  <si>
    <t>RA IHYAUL ISLAM</t>
  </si>
  <si>
    <t>JL. ARGOPURO</t>
  </si>
  <si>
    <t>101235130134</t>
  </si>
  <si>
    <t>69745751</t>
  </si>
  <si>
    <t>RA RADLATUL HASANIAH</t>
  </si>
  <si>
    <t>JL. KH. MOH. HASAN NO. 09</t>
  </si>
  <si>
    <t>101235130135</t>
  </si>
  <si>
    <t>69745758</t>
  </si>
  <si>
    <t>RA MIFTAHUL HASAN</t>
  </si>
  <si>
    <t>JL. R. SIDHARTA</t>
  </si>
  <si>
    <t>101235130136</t>
  </si>
  <si>
    <t>69745733</t>
  </si>
  <si>
    <t>RA AL BAROKAH</t>
  </si>
  <si>
    <t>JL. SEKARSARI</t>
  </si>
  <si>
    <t>101235130137</t>
  </si>
  <si>
    <t>69745754</t>
  </si>
  <si>
    <t>RA ZAINUL ANWAR</t>
  </si>
  <si>
    <t>JL. MASJID DARUN NAIM DESA</t>
  </si>
  <si>
    <t>101235130138</t>
  </si>
  <si>
    <t>69745743</t>
  </si>
  <si>
    <t>RA MAMBAUL HIKAM</t>
  </si>
  <si>
    <t>101235130139</t>
  </si>
  <si>
    <t>69745746</t>
  </si>
  <si>
    <t>RA NU DARUSSALAM</t>
  </si>
  <si>
    <t>JL. BATU TULIS</t>
  </si>
  <si>
    <t>101235130140</t>
  </si>
  <si>
    <t>69745752</t>
  </si>
  <si>
    <t>RA RAUDLATUL HASANIYAH</t>
  </si>
  <si>
    <t>DUREN</t>
  </si>
  <si>
    <t>101235130141</t>
  </si>
  <si>
    <t>69745744</t>
  </si>
  <si>
    <t>RA MAMBAUL ULUM</t>
  </si>
  <si>
    <t>JL. KH ASYARI</t>
  </si>
  <si>
    <t>101235130142</t>
  </si>
  <si>
    <t>69941132</t>
  </si>
  <si>
    <t>RA RAUDLATUL HASAN</t>
  </si>
  <si>
    <t>JL. KH. HASAN SAIFOURRIDZALL RT. 04 RW. 02 CONDONG</t>
  </si>
  <si>
    <t>101235130144</t>
  </si>
  <si>
    <t>69941133</t>
  </si>
  <si>
    <t>Kaliacar</t>
  </si>
  <si>
    <t>101235130145</t>
  </si>
  <si>
    <t>69745736</t>
  </si>
  <si>
    <t>RA BAITUL HIKMAH</t>
  </si>
  <si>
    <t>DSN GUNUNG KENIK</t>
  </si>
  <si>
    <t>101235130804</t>
  </si>
  <si>
    <t>69993478</t>
  </si>
  <si>
    <t>RA DARUL ULUM</t>
  </si>
  <si>
    <t>JL. SEKARMA</t>
  </si>
  <si>
    <t>101235130832</t>
  </si>
  <si>
    <t>70042436</t>
  </si>
  <si>
    <t>RA MANAP SHODIQIYAH</t>
  </si>
  <si>
    <t>DUSUN KRAJAN III RT 014 RW 004</t>
  </si>
  <si>
    <t>101235130271</t>
  </si>
  <si>
    <t>69745764</t>
  </si>
  <si>
    <t>RA KHOIRIYAH</t>
  </si>
  <si>
    <t>GENDING</t>
  </si>
  <si>
    <t>DUSUN TOGUR II RT 16 RW 8 BULANG</t>
  </si>
  <si>
    <t>101235130272</t>
  </si>
  <si>
    <t>69745770</t>
  </si>
  <si>
    <t>RA RAUDLATUL KHOIR</t>
  </si>
  <si>
    <t>Dusun Krandon Wetan RT 018 RW 008</t>
  </si>
  <si>
    <t>101235130273</t>
  </si>
  <si>
    <t>69753464</t>
  </si>
  <si>
    <t>DUSUN PESISIR RT. 11 RW. 01 PAJURANGAN</t>
  </si>
  <si>
    <t>101235130274</t>
  </si>
  <si>
    <t>69745759</t>
  </si>
  <si>
    <t>RA DLAUUL ISLAM</t>
  </si>
  <si>
    <t>JL. MASJID AL HIDAYAH DUSUN KRAMAT RT. 04 RW. 02</t>
  </si>
  <si>
    <t>101235130275</t>
  </si>
  <si>
    <t>69745761</t>
  </si>
  <si>
    <t>Dusun 2 Sumur 2</t>
  </si>
  <si>
    <t>101235130276</t>
  </si>
  <si>
    <t>69745765</t>
  </si>
  <si>
    <t>RA MADINATUL ULUM</t>
  </si>
  <si>
    <t>JL. Muara Dusun Mudinan I</t>
  </si>
  <si>
    <t>101235130277</t>
  </si>
  <si>
    <t>69745766</t>
  </si>
  <si>
    <t>JL. YOS SUDARSO DUSUN BUYUT</t>
  </si>
  <si>
    <t>101235130278</t>
  </si>
  <si>
    <t>69753465</t>
  </si>
  <si>
    <t>Jl. Banyubiru Dusun Pasar</t>
  </si>
  <si>
    <t>101235130279</t>
  </si>
  <si>
    <t>69745768</t>
  </si>
  <si>
    <t>RA SUNAN AMPEL</t>
  </si>
  <si>
    <t>JL. Raya Panglima Sudirman NO. 26</t>
  </si>
  <si>
    <t>101235130280</t>
  </si>
  <si>
    <t>69745760</t>
  </si>
  <si>
    <t>RA KHODIJAH II</t>
  </si>
  <si>
    <t>JL. OLAH RAGA PG GENDING</t>
  </si>
  <si>
    <t>101235130281</t>
  </si>
  <si>
    <t>69745762</t>
  </si>
  <si>
    <t>RA KHODIJAH III</t>
  </si>
  <si>
    <t>JL. MASJID AN-NUR DUSUN TAMAN</t>
  </si>
  <si>
    <t>101235130282</t>
  </si>
  <si>
    <t>69745763</t>
  </si>
  <si>
    <t>RA KHODIJAH IV</t>
  </si>
  <si>
    <t>Jl. Raya Randupitu Dusun Krajan</t>
  </si>
  <si>
    <t>101235130283</t>
  </si>
  <si>
    <t>69745769</t>
  </si>
  <si>
    <t>JL. Banyubiru Dusun Karnin Wetan</t>
  </si>
  <si>
    <t>101235130284</t>
  </si>
  <si>
    <t>69745767</t>
  </si>
  <si>
    <t>Jl. Banyubiru Dusun KrajanRT.03 RW.09</t>
  </si>
  <si>
    <t>101235130391</t>
  </si>
  <si>
    <t>69941137</t>
  </si>
  <si>
    <t>JL. RAYA SEBAUNG GENDING DUSUN KRAJAN</t>
  </si>
  <si>
    <t>101235130162</t>
  </si>
  <si>
    <t>69745778</t>
  </si>
  <si>
    <t>RA QURANI NURUR RAHMAH</t>
  </si>
  <si>
    <t>KOTAANYAR</t>
  </si>
  <si>
    <t>DUSUN KRAJAN RT. 08 RW. 04</t>
  </si>
  <si>
    <t>101235130163</t>
  </si>
  <si>
    <t>69745779</t>
  </si>
  <si>
    <t>RA RAUDLATUL AZHAR</t>
  </si>
  <si>
    <t>JL. WATU GAJAH RT. 018 RW/009</t>
  </si>
  <si>
    <t>101235130164</t>
  </si>
  <si>
    <t>69745772</t>
  </si>
  <si>
    <t>RA RAISUL ANWAR</t>
  </si>
  <si>
    <t>JL. TAMAN-SUMBERCENTENG</t>
  </si>
  <si>
    <t>101235130165</t>
  </si>
  <si>
    <t>69745781</t>
  </si>
  <si>
    <t>RA RAUDLATUL IMAN</t>
  </si>
  <si>
    <t>JL. MALIK IBRAHIM</t>
  </si>
  <si>
    <t>101235130166</t>
  </si>
  <si>
    <t>69745780</t>
  </si>
  <si>
    <t>JL. GONDOSULI DUSUN KRAJAN</t>
  </si>
  <si>
    <t>101235130167</t>
  </si>
  <si>
    <t>69745773</t>
  </si>
  <si>
    <t>RA AL HANAFIYAH</t>
  </si>
  <si>
    <t>JL. GUDANG GARAM-WATUGAJAH. DUSUN KANAL</t>
  </si>
  <si>
    <t>101235130168</t>
  </si>
  <si>
    <t>69745777</t>
  </si>
  <si>
    <t>RA NURUS SALAM</t>
  </si>
  <si>
    <t>JL. GONDOSULI DUSUN 2</t>
  </si>
  <si>
    <t>101235130169</t>
  </si>
  <si>
    <t>69745775</t>
  </si>
  <si>
    <t>JL. KH. HASAN BASHRI  SAMBIRAMPAK LOR</t>
  </si>
  <si>
    <t>101235130170</t>
  </si>
  <si>
    <t>69745774</t>
  </si>
  <si>
    <t>RA NURUL FATA</t>
  </si>
  <si>
    <t>JL. KH FADHLI RT. 013/RW. 003</t>
  </si>
  <si>
    <t>101235130171</t>
  </si>
  <si>
    <t>69898096</t>
  </si>
  <si>
    <t>RA RAUDLATUS SHALIHIN</t>
  </si>
  <si>
    <t>Sumber Centeng</t>
  </si>
  <si>
    <t>101235130172</t>
  </si>
  <si>
    <t>69745776</t>
  </si>
  <si>
    <t>RA NURUL HASANIYAH</t>
  </si>
  <si>
    <t>JL. BLIMBING DUSUN ASEMJAJAR RT/RW. 002/001</t>
  </si>
  <si>
    <t>101235130352</t>
  </si>
  <si>
    <t>69745771</t>
  </si>
  <si>
    <t>RA ISLAMIYAH SYAFI'IYAH</t>
  </si>
  <si>
    <t>JL. GAZAL DUSUN KRAJAN</t>
  </si>
  <si>
    <t>101235130399</t>
  </si>
  <si>
    <t>69941135</t>
  </si>
  <si>
    <t>RA AMANATILLAH</t>
  </si>
  <si>
    <t>DUSUN KOLORAN</t>
  </si>
  <si>
    <t>101235130819</t>
  </si>
  <si>
    <t>70040488</t>
  </si>
  <si>
    <t>RA AL KHAIRAT</t>
  </si>
  <si>
    <t>DUSUN KABUARAN RT/RW 026/007</t>
  </si>
  <si>
    <t>101235130822</t>
  </si>
  <si>
    <t>70034671</t>
  </si>
  <si>
    <t>RA HIDAYATUL MUTTAQIN</t>
  </si>
  <si>
    <t>DUSUN BERINGIN RT 020 RW 007</t>
  </si>
  <si>
    <t>101235130205</t>
  </si>
  <si>
    <t>69745819</t>
  </si>
  <si>
    <t>RA NURUL QUR'AN</t>
  </si>
  <si>
    <t>KRAKSAAN</t>
  </si>
  <si>
    <t>IR.H.JUANDA NO. 41</t>
  </si>
  <si>
    <t>101235130206</t>
  </si>
  <si>
    <t>69745811</t>
  </si>
  <si>
    <t>RA DEWI MASYITHOH</t>
  </si>
  <si>
    <t>JL. DR. SOETOMO NO. 54</t>
  </si>
  <si>
    <t>101235130207</t>
  </si>
  <si>
    <t>69745818</t>
  </si>
  <si>
    <t>RA NURUL ISTIQOMAH</t>
  </si>
  <si>
    <t>DUSUN ASEMKANDANG</t>
  </si>
  <si>
    <t>101235130208</t>
  </si>
  <si>
    <t>69745814</t>
  </si>
  <si>
    <t>RA MIFTAHUL AFKAR</t>
  </si>
  <si>
    <t>JL. WALISONGO DUSUN BUKKOLAN</t>
  </si>
  <si>
    <t>101235130209</t>
  </si>
  <si>
    <t>69745821</t>
  </si>
  <si>
    <t>RA PERWANIDA II</t>
  </si>
  <si>
    <t>JL. DR.SOETOMO</t>
  </si>
  <si>
    <t>101235130210</t>
  </si>
  <si>
    <t>69745808</t>
  </si>
  <si>
    <t>RA AL-FALAH</t>
  </si>
  <si>
    <t>JL. PP.SIROJUL ISLAM RT. 01 RW. 03</t>
  </si>
  <si>
    <t>101235130211</t>
  </si>
  <si>
    <t>69745817</t>
  </si>
  <si>
    <t>PELABUHAN NO. 381</t>
  </si>
  <si>
    <t>101235130213</t>
  </si>
  <si>
    <t>69745825</t>
  </si>
  <si>
    <t>DUSUN MASJID</t>
  </si>
  <si>
    <t>101235130214</t>
  </si>
  <si>
    <t>69745824</t>
  </si>
  <si>
    <t>RA NURUL ABROR</t>
  </si>
  <si>
    <t>DUSUN KARANGANYAR RT. 07 / RW. 04</t>
  </si>
  <si>
    <t>101235130215</t>
  </si>
  <si>
    <t>69745812</t>
  </si>
  <si>
    <t>JL. SENTANA</t>
  </si>
  <si>
    <t>101235130216</t>
  </si>
  <si>
    <t>69745810</t>
  </si>
  <si>
    <t>RA AL IMAN</t>
  </si>
  <si>
    <t>JL. LETJEN SOEPRAPTO</t>
  </si>
  <si>
    <t>101235130217</t>
  </si>
  <si>
    <t>69745809</t>
  </si>
  <si>
    <t>JL. SUNAN KUDUS NO. 22 RT. 01 RW. 07</t>
  </si>
  <si>
    <t>101235130218</t>
  </si>
  <si>
    <t>69745820</t>
  </si>
  <si>
    <t>RA PERWANIDA I</t>
  </si>
  <si>
    <t>JL. IR. H. JUANDA NO. 436 PATOKAN KRAKSAAN PROBOLINGGO</t>
  </si>
  <si>
    <t>101235130219</t>
  </si>
  <si>
    <t>69745823</t>
  </si>
  <si>
    <t>RA UMI SUNDARI</t>
  </si>
  <si>
    <t>JL. KH.ABDURRAHMAN WAHID RT. 02 RW. 03</t>
  </si>
  <si>
    <t>101235130342</t>
  </si>
  <si>
    <t>69745815</t>
  </si>
  <si>
    <t>RA MISBAHUL HASAN</t>
  </si>
  <si>
    <t>JL. SANTANA DSN PUNDEN RT. 002 RW. 002</t>
  </si>
  <si>
    <t>101235130343</t>
  </si>
  <si>
    <t>69745813</t>
  </si>
  <si>
    <t>RA MAMBAUL IRFAN</t>
  </si>
  <si>
    <t>PANGLIMA SUDIRMAN</t>
  </si>
  <si>
    <t>101235130344</t>
  </si>
  <si>
    <t>69745816</t>
  </si>
  <si>
    <t>RA NURUD DZALAM</t>
  </si>
  <si>
    <t>DUSUN WAKAF RT. 003 RW. 007</t>
  </si>
  <si>
    <t>101235130798</t>
  </si>
  <si>
    <t>69963315</t>
  </si>
  <si>
    <t>RA AR ROHMAH</t>
  </si>
  <si>
    <t>JL. MELATI NO. 74</t>
  </si>
  <si>
    <t>101235130812</t>
  </si>
  <si>
    <t>70006725</t>
  </si>
  <si>
    <t>RA INSAN AL KARIM</t>
  </si>
  <si>
    <t>DUSUN NANGGER RT. 02 RW.05</t>
  </si>
  <si>
    <t>101235130817</t>
  </si>
  <si>
    <t>70033904</t>
  </si>
  <si>
    <t>RA DARUL LUGHAH WAL KAROMAH</t>
  </si>
  <si>
    <t>Jl. Mayjen Panjaitan No.12</t>
  </si>
  <si>
    <t>101235130220</t>
  </si>
  <si>
    <t>69745801</t>
  </si>
  <si>
    <t>RA SIRAJUL ULUM</t>
  </si>
  <si>
    <t>KREJENGAN</t>
  </si>
  <si>
    <t>101235130221</t>
  </si>
  <si>
    <t>69745787</t>
  </si>
  <si>
    <t>RA FATHUL ARIFIN</t>
  </si>
  <si>
    <t>JL. DSN.KURIPAN DESA JATIURIP</t>
  </si>
  <si>
    <t>101235130222</t>
  </si>
  <si>
    <t>69745798</t>
  </si>
  <si>
    <t>RA AL HUSNA</t>
  </si>
  <si>
    <t>JL. KH MUH KHAZIN</t>
  </si>
  <si>
    <t>101235130223</t>
  </si>
  <si>
    <t>69745805</t>
  </si>
  <si>
    <t>RA RAUDLATUL MUTA'ALLIMIN</t>
  </si>
  <si>
    <t>DAWUHAN KREJENGAN</t>
  </si>
  <si>
    <t>101235130224</t>
  </si>
  <si>
    <t>69745804</t>
  </si>
  <si>
    <t>101235130225</t>
  </si>
  <si>
    <t>69745796</t>
  </si>
  <si>
    <t>RA NURUL ULUM</t>
  </si>
  <si>
    <t>JL. Kasengan RT 001 RW 002</t>
  </si>
  <si>
    <t>101235130226</t>
  </si>
  <si>
    <t>69745786</t>
  </si>
  <si>
    <t>RA DARUT TAUHID</t>
  </si>
  <si>
    <t>JL. KH. HASAN SAIFURRIDZALL RT 007/ RW 002</t>
  </si>
  <si>
    <t>101235130227</t>
  </si>
  <si>
    <t>69745806</t>
  </si>
  <si>
    <t>DUSUN KASENGAN RT/RW. 002/002</t>
  </si>
  <si>
    <t>101235130228</t>
  </si>
  <si>
    <t>69745802</t>
  </si>
  <si>
    <t>RA RAUDLATUL MUTAALLIMIN</t>
  </si>
  <si>
    <t>JL. PAHLAWAN 212 RT. 03 RW. 02 KREJENGAN</t>
  </si>
  <si>
    <t>101235130229</t>
  </si>
  <si>
    <t>69745800</t>
  </si>
  <si>
    <t>RA RAUDLATUL ISLAMIYAH</t>
  </si>
  <si>
    <t>DUSUN PENANGAN RT. 003, RW. 001</t>
  </si>
  <si>
    <t>101235130230</t>
  </si>
  <si>
    <t>69745793</t>
  </si>
  <si>
    <t>Jl. PP Miftahul Ulum Dsn. Curah Kates</t>
  </si>
  <si>
    <t>101235130231</t>
  </si>
  <si>
    <t>69745799</t>
  </si>
  <si>
    <t>DUSUN KRAJAN RT/RW. 005/001</t>
  </si>
  <si>
    <t>101235130232</t>
  </si>
  <si>
    <t>69745790</t>
  </si>
  <si>
    <t>RA IZZUL ISLAM</t>
  </si>
  <si>
    <t>JL. PP. SUBULUL MAARAIF</t>
  </si>
  <si>
    <t>101235130233</t>
  </si>
  <si>
    <t>69745807</t>
  </si>
  <si>
    <t>RA SYAFIIYAH</t>
  </si>
  <si>
    <t>DUSUN SUKUN WIDORO KREJENGAN</t>
  </si>
  <si>
    <t>101235130234</t>
  </si>
  <si>
    <t>69745791</t>
  </si>
  <si>
    <t>JL. KH. MOH.HASAN RT 04 RW 01</t>
  </si>
  <si>
    <t>101235130235</t>
  </si>
  <si>
    <t>69885100</t>
  </si>
  <si>
    <t>RA MANBAUL ULUM</t>
  </si>
  <si>
    <t>JL. KH.ABD.MUKTHI</t>
  </si>
  <si>
    <t>101235130236</t>
  </si>
  <si>
    <t>69745785</t>
  </si>
  <si>
    <t>RA BAROKATUL HASAN</t>
  </si>
  <si>
    <t>JL. RONDOKUNING RT/RW 02/02</t>
  </si>
  <si>
    <t>101235130237</t>
  </si>
  <si>
    <t>69745794</t>
  </si>
  <si>
    <t>DSN. GUNUNG WURUNG Rt 003 Rw 005</t>
  </si>
  <si>
    <t>101235130238</t>
  </si>
  <si>
    <t>69745784</t>
  </si>
  <si>
    <t>RA AR-RAHMAN</t>
  </si>
  <si>
    <t>JL. KH.ROFII</t>
  </si>
  <si>
    <t>101235130239</t>
  </si>
  <si>
    <t>69745797</t>
  </si>
  <si>
    <t>RA AL AZHAR</t>
  </si>
  <si>
    <t>DUSUN GERDU</t>
  </si>
  <si>
    <t>101235130240</t>
  </si>
  <si>
    <t>69745789</t>
  </si>
  <si>
    <t>RA IRTIQOIYAH</t>
  </si>
  <si>
    <t>JL. BANI QOMARIS ZAMAN</t>
  </si>
  <si>
    <t>101235130241</t>
  </si>
  <si>
    <t>69745795</t>
  </si>
  <si>
    <t>RA NURUL ISTIFADAH</t>
  </si>
  <si>
    <t>DSN.KRAJAN 1 RT/RW 005/002</t>
  </si>
  <si>
    <t>101235130242</t>
  </si>
  <si>
    <t>69745788</t>
  </si>
  <si>
    <t>RA IHYAUS SUNNAH</t>
  </si>
  <si>
    <t>DUSUN OPO-OPO LOR RT. 02 RW. 04</t>
  </si>
  <si>
    <t>101235130320</t>
  </si>
  <si>
    <t>69745792</t>
  </si>
  <si>
    <t>RA MIFTAHUL HASANAIN</t>
  </si>
  <si>
    <t>JL. KH SYADULLAH RAWAN</t>
  </si>
  <si>
    <t>101235130349</t>
  </si>
  <si>
    <t>69885101</t>
  </si>
  <si>
    <t>RA ARROUFI</t>
  </si>
  <si>
    <t>INDRAMAYU RT/RW. 05/03</t>
  </si>
  <si>
    <t>101235130401</t>
  </si>
  <si>
    <t>69941136</t>
  </si>
  <si>
    <t>RA RAUDLATUL FAIZIN</t>
  </si>
  <si>
    <t>JL. KARANGANYAR</t>
  </si>
  <si>
    <t>101235130824</t>
  </si>
  <si>
    <t>70035274</t>
  </si>
  <si>
    <t>RA AL-MUNIR</t>
  </si>
  <si>
    <t>Jl. Masjid Al-Munir No. 05 Rt.014 Rw.005</t>
  </si>
  <si>
    <t>101235130087</t>
  </si>
  <si>
    <t>69745832</t>
  </si>
  <si>
    <t>RA DARUL ULUM SENENG</t>
  </si>
  <si>
    <t>KRUCIL</t>
  </si>
  <si>
    <t>DSN SUKO RT. 16 RW. 04 DESA SENENG</t>
  </si>
  <si>
    <t>101235130088</t>
  </si>
  <si>
    <t>69745831</t>
  </si>
  <si>
    <t>RA DARUL ULUM II</t>
  </si>
  <si>
    <t>DUSUN TIMUR RT.17 RW.03</t>
  </si>
  <si>
    <t>101235130089</t>
  </si>
  <si>
    <t>69958150</t>
  </si>
  <si>
    <t>RA MIRQOTUL ULUM</t>
  </si>
  <si>
    <t>SUMBER KEMBANG RT. 05 RW. 02</t>
  </si>
  <si>
    <t>101235130090</t>
  </si>
  <si>
    <t>69745838</t>
  </si>
  <si>
    <t>RA NURUL ULUM SENENG</t>
  </si>
  <si>
    <t>DSN. SENENG RT. 09 RW. 02</t>
  </si>
  <si>
    <t>101235130091</t>
  </si>
  <si>
    <t>69958147</t>
  </si>
  <si>
    <t>RA RAUDLATUL ISLAM</t>
  </si>
  <si>
    <t>BAGOR RT. 05 RW. 02 Desa Seneng Kecamatan Krucil</t>
  </si>
  <si>
    <t>101235130092</t>
  </si>
  <si>
    <t>69958146</t>
  </si>
  <si>
    <t>RA AL-ISLAM</t>
  </si>
  <si>
    <t>DUSUN PESAPEN</t>
  </si>
  <si>
    <t>101235130093</t>
  </si>
  <si>
    <t>RA HAYATUL ISLAM ROTO</t>
  </si>
  <si>
    <t>Roto Krucil</t>
  </si>
  <si>
    <t>101235130094</t>
  </si>
  <si>
    <t>69745826</t>
  </si>
  <si>
    <t>RA HIDAYATUL MUBTADIIN</t>
  </si>
  <si>
    <t>DSN KALIMANGUK RT 08 RW 02</t>
  </si>
  <si>
    <t>101235130095</t>
  </si>
  <si>
    <t>69745833</t>
  </si>
  <si>
    <t>DUSUN MANDATI RT. 013 RW. 004</t>
  </si>
  <si>
    <t>101235130096</t>
  </si>
  <si>
    <t>69745827</t>
  </si>
  <si>
    <t>DSN PESAPEN RT 07 RW 03</t>
  </si>
  <si>
    <t>101235130097</t>
  </si>
  <si>
    <t>69745829</t>
  </si>
  <si>
    <t>RA AINUL IMAN</t>
  </si>
  <si>
    <t>DUSUN RAWA RT. 02 RW. 03</t>
  </si>
  <si>
    <t>101235130098</t>
  </si>
  <si>
    <t>69745834</t>
  </si>
  <si>
    <t>Dusun Manggisan</t>
  </si>
  <si>
    <t>101235130099</t>
  </si>
  <si>
    <t>69745835</t>
  </si>
  <si>
    <t>RA MASYITHOH</t>
  </si>
  <si>
    <t>DUSUN TENGAH RT 09  RW 02</t>
  </si>
  <si>
    <t>101235130100</t>
  </si>
  <si>
    <t>69941131</t>
  </si>
  <si>
    <t>DUSUN KALITENGAH RT. 15 RW. 04 Desa Tambelang Kecamatan Krucil</t>
  </si>
  <si>
    <t>101235130101</t>
  </si>
  <si>
    <t>69898098</t>
  </si>
  <si>
    <t>RA MIFTAHUL ISLAM KROBUNGAN</t>
  </si>
  <si>
    <t>DUSUN KRAJAN RT.02 RW.01</t>
  </si>
  <si>
    <t>101235130102</t>
  </si>
  <si>
    <t>69958148</t>
  </si>
  <si>
    <t>SUMBERAN</t>
  </si>
  <si>
    <t>101235130103</t>
  </si>
  <si>
    <t>69898099</t>
  </si>
  <si>
    <t>RA NURL ISLAM 2 WATUPANJANG</t>
  </si>
  <si>
    <t>DUSUN KRAJAN RT. 002 RW. 001</t>
  </si>
  <si>
    <t>101235130104</t>
  </si>
  <si>
    <t>69898100</t>
  </si>
  <si>
    <t>RA NURUL JADID</t>
  </si>
  <si>
    <t>DEWI RENGGANIS RT,03. RW,01 KALIANAN KECAMATAN KRUCIL</t>
  </si>
  <si>
    <t>101235130105</t>
  </si>
  <si>
    <t>69745840</t>
  </si>
  <si>
    <t>LEBBE RT. 15 RW. 08 Desa Guyangan Kecamatan Krucil</t>
  </si>
  <si>
    <t>101235130106</t>
  </si>
  <si>
    <t>69898101</t>
  </si>
  <si>
    <t>JL. PASAR JRANJANG</t>
  </si>
  <si>
    <t>101235130107</t>
  </si>
  <si>
    <t>69898102</t>
  </si>
  <si>
    <t>RA SUNAN BONANG KERTOSUKO</t>
  </si>
  <si>
    <t>DESA KERTOSUKO KEC. KRUCIL</t>
  </si>
  <si>
    <t>101235130108</t>
  </si>
  <si>
    <t>69745830</t>
  </si>
  <si>
    <t>RA ZAINUL HASAN</t>
  </si>
  <si>
    <t>JL. PON PES. ZAHA 2 DESA TAMBELANG KEC. KRUCIL, KAB. PROBOLINGGO</t>
  </si>
  <si>
    <t>101235130109</t>
  </si>
  <si>
    <t>69745839</t>
  </si>
  <si>
    <t>RA NURUL KARIM</t>
  </si>
  <si>
    <t>KALIANAN</t>
  </si>
  <si>
    <t>101235130110</t>
  </si>
  <si>
    <t>69898103</t>
  </si>
  <si>
    <t>RA TARBIYATUS SHIBYAN GUYANGAN</t>
  </si>
  <si>
    <t>Dsn Krajan</t>
  </si>
  <si>
    <t>101235130111</t>
  </si>
  <si>
    <t>69745841</t>
  </si>
  <si>
    <t>DUSUN LAOK SONGAI RT/RW 012/003</t>
  </si>
  <si>
    <t>101235130112</t>
  </si>
  <si>
    <t>69898110</t>
  </si>
  <si>
    <t>RA ARROHMAH PLAOSAN</t>
  </si>
  <si>
    <t>DUSUN BRIGAAN</t>
  </si>
  <si>
    <t>101235130317</t>
  </si>
  <si>
    <t>69745837</t>
  </si>
  <si>
    <t>RA NURUL MUBTADI'IEN</t>
  </si>
  <si>
    <t>DUSUN MELOAN RT. 01 RW. 01</t>
  </si>
  <si>
    <t>101235130318</t>
  </si>
  <si>
    <t>69898104</t>
  </si>
  <si>
    <t>RA MOHAMMAD SHODIQ ROTO</t>
  </si>
  <si>
    <t>DUSUN KERTAKATA</t>
  </si>
  <si>
    <t>101235130319</t>
  </si>
  <si>
    <t>69958149</t>
  </si>
  <si>
    <t>RA NUR HAYATUL ISLAM</t>
  </si>
  <si>
    <t>SUMBER DUREN RT. 03 RT. 01</t>
  </si>
  <si>
    <t>101235130362</t>
  </si>
  <si>
    <t>69745836</t>
  </si>
  <si>
    <t>DUSUN KARANG TENGAH RT.04 RW. 02</t>
  </si>
  <si>
    <t>101235130375</t>
  </si>
  <si>
    <t>69898105</t>
  </si>
  <si>
    <t>DUSUN KRAMAT RT/RW. 018/007</t>
  </si>
  <si>
    <t>101235130402</t>
  </si>
  <si>
    <t>69958151</t>
  </si>
  <si>
    <t>RA HIDAYATUL ISLAM</t>
  </si>
  <si>
    <t>JL. DEWI RENGGANIS</t>
  </si>
  <si>
    <t>101235130814</t>
  </si>
  <si>
    <t>70034663</t>
  </si>
  <si>
    <t>RA KARAMATULLAH</t>
  </si>
  <si>
    <t>BETEK KRUCIL PROBOLINGGO</t>
  </si>
  <si>
    <t>101235130826</t>
  </si>
  <si>
    <t>RA SIROJUL KARIM</t>
  </si>
  <si>
    <t>Bermi Utara RT 11 RW 03</t>
  </si>
  <si>
    <t>101235130001</t>
  </si>
  <si>
    <t>69745842</t>
  </si>
  <si>
    <t>RA AR RAHMAN</t>
  </si>
  <si>
    <t>KURIPAN</t>
  </si>
  <si>
    <t>Jl. Raya Kuripan Dusun Sumbersari RT 001 RW 003</t>
  </si>
  <si>
    <t>101235130002</t>
  </si>
  <si>
    <t>69898106</t>
  </si>
  <si>
    <t>RA NURUL AFIFAH KURIPAN</t>
  </si>
  <si>
    <t>JL. TRUNO REJO NO. 17</t>
  </si>
  <si>
    <t>101235130003</t>
  </si>
  <si>
    <t>69887643</t>
  </si>
  <si>
    <t>RA MIFTAHUL ULUM JATISARI</t>
  </si>
  <si>
    <t>Dusun Pering Rt 002 / Rw 002</t>
  </si>
  <si>
    <t>101235130336</t>
  </si>
  <si>
    <t>69745843</t>
  </si>
  <si>
    <t>RA AL IDRISIYAH</t>
  </si>
  <si>
    <t>WRINGINANOM</t>
  </si>
  <si>
    <t>101235130815</t>
  </si>
  <si>
    <t>70039883</t>
  </si>
  <si>
    <t>Jl. Kaligunde RT/RW 05/01</t>
  </si>
  <si>
    <t>101235130828</t>
  </si>
  <si>
    <t>RA RADEN SAID SUNAN KALIJAGA</t>
  </si>
  <si>
    <t>KEDUNG GLAGAH RT.02 RW.04</t>
  </si>
  <si>
    <t>101235130011</t>
  </si>
  <si>
    <t>69745852</t>
  </si>
  <si>
    <t>LECES</t>
  </si>
  <si>
    <t>101235130012</t>
  </si>
  <si>
    <t>69745857</t>
  </si>
  <si>
    <t>RA SULLAMUL HIDAYAH</t>
  </si>
  <si>
    <t>JL. KYAI MAKSUM</t>
  </si>
  <si>
    <t>101235130013</t>
  </si>
  <si>
    <t>69745855</t>
  </si>
  <si>
    <t>RA ZAINUL IRSYAD</t>
  </si>
  <si>
    <t>JL. RAYA LUMAJANG NO. 50</t>
  </si>
  <si>
    <t>101235130014</t>
  </si>
  <si>
    <t>69745850</t>
  </si>
  <si>
    <t>RA MISBAHUT THOLIBIN</t>
  </si>
  <si>
    <t>JORONGAN</t>
  </si>
  <si>
    <t>101235130015</t>
  </si>
  <si>
    <t>69745847</t>
  </si>
  <si>
    <t>JL. KH. ABDULLAH KAMIL</t>
  </si>
  <si>
    <t>101235130345</t>
  </si>
  <si>
    <t>69745844</t>
  </si>
  <si>
    <t>JL. RAYA LUMAJANG NO. 89</t>
  </si>
  <si>
    <t>101235130347</t>
  </si>
  <si>
    <t>69745845</t>
  </si>
  <si>
    <t>JL. KY SEKAR NO. 115</t>
  </si>
  <si>
    <t>101235130348</t>
  </si>
  <si>
    <t>69745853</t>
  </si>
  <si>
    <t>RA NURUR RAHMAH</t>
  </si>
  <si>
    <t>Jl Kua Blok Krajan</t>
  </si>
  <si>
    <t>101235130354</t>
  </si>
  <si>
    <t>69887644</t>
  </si>
  <si>
    <t>RA HIKMATUL HASANAH</t>
  </si>
  <si>
    <t>DUSUN GONGGO</t>
  </si>
  <si>
    <t>101235130356</t>
  </si>
  <si>
    <t>69745846</t>
  </si>
  <si>
    <t>JL. JAMTOKO GG MASJID NO. 115</t>
  </si>
  <si>
    <t>101235130357</t>
  </si>
  <si>
    <t>69745854</t>
  </si>
  <si>
    <t>RA TARBIYATUL MUBTADI'IN</t>
  </si>
  <si>
    <t>DUSUN DRANDANG RT. 003 RW. 007</t>
  </si>
  <si>
    <t>101235130359</t>
  </si>
  <si>
    <t>69745848</t>
  </si>
  <si>
    <t>JL.RAYA LUMAJANG GANG KEBARAT KORAMIL</t>
  </si>
  <si>
    <t>101235130363</t>
  </si>
  <si>
    <t>69745851</t>
  </si>
  <si>
    <t>RA NAWA KARTIKA</t>
  </si>
  <si>
    <t>JL. RAYA LUMAJANG</t>
  </si>
  <si>
    <t>101235130393</t>
  </si>
  <si>
    <t>69941129</t>
  </si>
  <si>
    <t>RA AL MANSYURIYAH</t>
  </si>
  <si>
    <t>Dusun Krajan</t>
  </si>
  <si>
    <t>101235130797</t>
  </si>
  <si>
    <t>69963314</t>
  </si>
  <si>
    <t>Jl.Masid Sabilal Muhtadin Dusun Curah Windu</t>
  </si>
  <si>
    <t>101235130803</t>
  </si>
  <si>
    <t>69994607</t>
  </si>
  <si>
    <t>JL. PESANTREN DUSUN RAAS RT/RW : 12/03</t>
  </si>
  <si>
    <t>101235130805</t>
  </si>
  <si>
    <t>69993651</t>
  </si>
  <si>
    <t>JL. PESANTREN DUSUN KERPANGAN SELATAN RT/RW : 06/12</t>
  </si>
  <si>
    <t>101235130810</t>
  </si>
  <si>
    <t>70006792</t>
  </si>
  <si>
    <t>RA AL-AZHAR</t>
  </si>
  <si>
    <t>Dusun Kedung RT.007 RW.002</t>
  </si>
  <si>
    <t>101235130834</t>
  </si>
  <si>
    <t>70042590</t>
  </si>
  <si>
    <t>RA PLUS SYARIFUDDIN</t>
  </si>
  <si>
    <t>DUSUN CAMPURAN</t>
  </si>
  <si>
    <t>101235130294</t>
  </si>
  <si>
    <t>69745858</t>
  </si>
  <si>
    <t>RA AL HAQIQY</t>
  </si>
  <si>
    <t>LUMBANG</t>
  </si>
  <si>
    <t>dsn.krajan ds.tandonsentul  kec.lumbang kab.probolinggo</t>
  </si>
  <si>
    <t>101235130323</t>
  </si>
  <si>
    <t>69745859</t>
  </si>
  <si>
    <t>RA MIFTAHUS SALAM</t>
  </si>
  <si>
    <t>JL. RAYA LUMBANG, DUSUN KRAJAN</t>
  </si>
  <si>
    <t>101235130383</t>
  </si>
  <si>
    <t>69885102</t>
  </si>
  <si>
    <t>RA MIFTAHUL ULUM KETANGI</t>
  </si>
  <si>
    <t>Dusun ketangi RT 33 RW 10 Desa Lumbang Kec. Lumbang kab. Probolinggo 67255</t>
  </si>
  <si>
    <t>101235130392</t>
  </si>
  <si>
    <t>69941140</t>
  </si>
  <si>
    <t>RA FATIMIYAH</t>
  </si>
  <si>
    <t>DUSUN SAPIH SARIREJO</t>
  </si>
  <si>
    <t>101235130397</t>
  </si>
  <si>
    <t>69941141</t>
  </si>
  <si>
    <t>RA ROUDLATUL HASAN</t>
  </si>
  <si>
    <t>JL. RAYA BROMO NO. 200</t>
  </si>
  <si>
    <t>101235130398</t>
  </si>
  <si>
    <t>69941139</t>
  </si>
  <si>
    <t>DUSUN RANDU GUGUT DESA PURUT KEC. LUMBANG. PROBOLINGGO</t>
  </si>
  <si>
    <t>101235130808</t>
  </si>
  <si>
    <t>70009693</t>
  </si>
  <si>
    <t>JL. RAYA LUMBANG</t>
  </si>
  <si>
    <t>101235130251</t>
  </si>
  <si>
    <t>69745880</t>
  </si>
  <si>
    <t>RA SITI KHADIJAH</t>
  </si>
  <si>
    <t>MARON</t>
  </si>
  <si>
    <t>DUSUN KRAJAN RT.002 RW.001</t>
  </si>
  <si>
    <t>101235130252</t>
  </si>
  <si>
    <t>69745863</t>
  </si>
  <si>
    <t>RA DEWI MASYITOH 2</t>
  </si>
  <si>
    <t>JL. MASJID JAMIK NURUL ANWAR MARON KULON</t>
  </si>
  <si>
    <t>101235130253</t>
  </si>
  <si>
    <t>69745875</t>
  </si>
  <si>
    <t>RA USWATUN HASANAH</t>
  </si>
  <si>
    <t>Dusun Krajan rt.05 rw.01</t>
  </si>
  <si>
    <t>101235130254</t>
  </si>
  <si>
    <t>69745864</t>
  </si>
  <si>
    <t>RA DEWI MASYITOH I</t>
  </si>
  <si>
    <t>DUSUN ARAH PENANG</t>
  </si>
  <si>
    <t>101235130255</t>
  </si>
  <si>
    <t>69898107</t>
  </si>
  <si>
    <t>RA IHYAUL ISLAM 2 MARON</t>
  </si>
  <si>
    <t>101235130256</t>
  </si>
  <si>
    <t>69745861</t>
  </si>
  <si>
    <t>RA AL HIDMAH</t>
  </si>
  <si>
    <t>DUSUN BRUKAN 2</t>
  </si>
  <si>
    <t>101235130257</t>
  </si>
  <si>
    <t>69745878</t>
  </si>
  <si>
    <t>101235130258</t>
  </si>
  <si>
    <t>69745871</t>
  </si>
  <si>
    <t>RA DEWI MASYITHOH III</t>
  </si>
  <si>
    <t>JL. RAYA WONOREJO NO. 244</t>
  </si>
  <si>
    <t>101235130259</t>
  </si>
  <si>
    <t>69745860</t>
  </si>
  <si>
    <t>RA AL-FATIMAH</t>
  </si>
  <si>
    <t>DUSUN PARAS</t>
  </si>
  <si>
    <t>101235130260</t>
  </si>
  <si>
    <t>69745868</t>
  </si>
  <si>
    <t>DSN. ASEM GANTING KULON MARON PROBOLINGGO</t>
  </si>
  <si>
    <t>101235130261</t>
  </si>
  <si>
    <t>69745862</t>
  </si>
  <si>
    <t>RA AL KHOLAFIAH</t>
  </si>
  <si>
    <t>SUNAN GIRI</t>
  </si>
  <si>
    <t>101235130262</t>
  </si>
  <si>
    <t>69745866</t>
  </si>
  <si>
    <t>Jl Sumber Secang Rt 016/rw 003, Gang Bujuk Yusuf, Dusun. Asinan</t>
  </si>
  <si>
    <t>101235130263</t>
  </si>
  <si>
    <t>69745879</t>
  </si>
  <si>
    <t>RA RAUDLATUT THOLIBIN</t>
  </si>
  <si>
    <t>DSN JATIAMPOH</t>
  </si>
  <si>
    <t>101235130264</t>
  </si>
  <si>
    <t>69745874</t>
  </si>
  <si>
    <t>RA SUNAN BONANG</t>
  </si>
  <si>
    <t>JL. KYAI AHMAD LEBBE</t>
  </si>
  <si>
    <t>101235130265</t>
  </si>
  <si>
    <t>69745869</t>
  </si>
  <si>
    <t>RA NIZHAMUL ISLAM</t>
  </si>
  <si>
    <t>JL. K. A MADRUKI DUSUN SUKUN RT. 07 RW. 02</t>
  </si>
  <si>
    <t>101235130266</t>
  </si>
  <si>
    <t>69745872</t>
  </si>
  <si>
    <t>MARON KULON MARON PROBOLINGGO</t>
  </si>
  <si>
    <t>101235130267</t>
  </si>
  <si>
    <t>69745881</t>
  </si>
  <si>
    <t>RA WALI SONGO</t>
  </si>
  <si>
    <t>DUSUN NANAS RT. 01/RW. 01</t>
  </si>
  <si>
    <t>101235130268</t>
  </si>
  <si>
    <t>69745867</t>
  </si>
  <si>
    <t>RA MIFTAHUL MILLA</t>
  </si>
  <si>
    <t>DUSUN MASJID RT. 08/RW. 03</t>
  </si>
  <si>
    <t>101235130269</t>
  </si>
  <si>
    <t>69745870</t>
  </si>
  <si>
    <t>SUMBERDAWE RT. 6 RW. 2</t>
  </si>
  <si>
    <t>101235130270</t>
  </si>
  <si>
    <t>69745877</t>
  </si>
  <si>
    <t>RA SA'ADA NIZHAMUL ISLAM</t>
  </si>
  <si>
    <t>PEGALANGAN KIDUL</t>
  </si>
  <si>
    <t>101235130743</t>
  </si>
  <si>
    <t>69745873</t>
  </si>
  <si>
    <t>RA RAUDLATUL JANNAH</t>
  </si>
  <si>
    <t>DUSUN KRAJAN RT/RW. 04/01</t>
  </si>
  <si>
    <t>101235130744</t>
  </si>
  <si>
    <t>69898108</t>
  </si>
  <si>
    <t>RA IHYAUL ISLAM 1</t>
  </si>
  <si>
    <t>PUSPAN MARON</t>
  </si>
  <si>
    <t>101235130745</t>
  </si>
  <si>
    <t>69898109</t>
  </si>
  <si>
    <t>RA AL MAHMUDIYAH MARON</t>
  </si>
  <si>
    <t>WONOREJO MARON</t>
  </si>
  <si>
    <t>101235130809</t>
  </si>
  <si>
    <t>70010299</t>
  </si>
  <si>
    <t>RA DARUL FALAH</t>
  </si>
  <si>
    <t>101235130816</t>
  </si>
  <si>
    <t>70036057</t>
  </si>
  <si>
    <t>RA ZAINAL ABIDIN</t>
  </si>
  <si>
    <t>Dusun Tengah Modin</t>
  </si>
  <si>
    <t>101235130823</t>
  </si>
  <si>
    <t>70034668</t>
  </si>
  <si>
    <t>RA LUBBUL LABIB</t>
  </si>
  <si>
    <t>DUSUN MASJID RT. 002 RW. 001</t>
  </si>
  <si>
    <t>101235130833</t>
  </si>
  <si>
    <t>70044980</t>
  </si>
  <si>
    <t>RA KAROMATUL HUSNA</t>
  </si>
  <si>
    <t>DUSUN SUKUN RT 010 RW 002</t>
  </si>
  <si>
    <t>101235130173</t>
  </si>
  <si>
    <t>69745889</t>
  </si>
  <si>
    <t>RA MASYITHOH II</t>
  </si>
  <si>
    <t>PAITON</t>
  </si>
  <si>
    <t>JL. KAPURAN NO. 100</t>
  </si>
  <si>
    <t>101235130174</t>
  </si>
  <si>
    <t>69745882</t>
  </si>
  <si>
    <t>RA MASYITHOH IV</t>
  </si>
  <si>
    <t>JL. TAMAN</t>
  </si>
  <si>
    <t>101235130175</t>
  </si>
  <si>
    <t>69745893</t>
  </si>
  <si>
    <t>RA MASYITOH V</t>
  </si>
  <si>
    <t>Jl PP Nurul Jadid Karanganyar Paiton Probolinggo</t>
  </si>
  <si>
    <t>101235130176</t>
  </si>
  <si>
    <t>69745884</t>
  </si>
  <si>
    <t>RA MASYITHOH VI</t>
  </si>
  <si>
    <t>JL. PAKUNIRAN DUSUN KENDAL RT. 13 RW. 04</t>
  </si>
  <si>
    <t>101235130177</t>
  </si>
  <si>
    <t>69745885</t>
  </si>
  <si>
    <t>RA MASYITHOH VII</t>
  </si>
  <si>
    <t>JL. PAKUNIRAN DSN TAMAN RT 09 RW 04 PANDEAN PAITON</t>
  </si>
  <si>
    <t>101235130178</t>
  </si>
  <si>
    <t>69745883</t>
  </si>
  <si>
    <t>RA MASYITHOH IX</t>
  </si>
  <si>
    <t>JL. JOHARAN DUSUN KRAJAN</t>
  </si>
  <si>
    <t>101235130179</t>
  </si>
  <si>
    <t>69745891</t>
  </si>
  <si>
    <t>RA MASYITHOH X TAMAN</t>
  </si>
  <si>
    <t>DUSUN ASTAH RT/RW. 14/03</t>
  </si>
  <si>
    <t>101235130180</t>
  </si>
  <si>
    <t>69745892</t>
  </si>
  <si>
    <t>RA MASYITHOH XI</t>
  </si>
  <si>
    <t>JL. MUNAWAR CUP</t>
  </si>
  <si>
    <t>101235130181</t>
  </si>
  <si>
    <t>69745886</t>
  </si>
  <si>
    <t>RA MASYITHOH XIII</t>
  </si>
  <si>
    <t>JL. RAYA PANGLIMA SUDIRMAN DUSUN KRAJAN RT. :02 RW. :01</t>
  </si>
  <si>
    <t>101235130182</t>
  </si>
  <si>
    <t>69745896</t>
  </si>
  <si>
    <t>JL. JOHARAN DUSUN MATIKAN RT. 26 RW. 09</t>
  </si>
  <si>
    <t>101235130183</t>
  </si>
  <si>
    <t>69745895</t>
  </si>
  <si>
    <t>RA AL-AZHAR PANDEAN</t>
  </si>
  <si>
    <t>JLN. PAKUNIRAN</t>
  </si>
  <si>
    <t>101235130184</t>
  </si>
  <si>
    <t>69745898</t>
  </si>
  <si>
    <t>RA RAUDATUL ULUM</t>
  </si>
  <si>
    <t>JL. PP NURUL QODIM</t>
  </si>
  <si>
    <t>101235130185</t>
  </si>
  <si>
    <t>69745888</t>
  </si>
  <si>
    <t>RA BUSTANUL ABIDIN</t>
  </si>
  <si>
    <t>JL. RAYA BESUK RT. 06 RW. 01</t>
  </si>
  <si>
    <t>101235130186</t>
  </si>
  <si>
    <t>69745897</t>
  </si>
  <si>
    <t>JL. PP. AL-HIDAYAH DUSUN KRAJAN RT. 06 RW. 03</t>
  </si>
  <si>
    <t>101235130187</t>
  </si>
  <si>
    <t>69745894</t>
  </si>
  <si>
    <t>RA PERWANIDA III</t>
  </si>
  <si>
    <t>JL. RAYA PANGLIMA SUDIRMAN</t>
  </si>
  <si>
    <t>101235130188</t>
  </si>
  <si>
    <t>69745890</t>
  </si>
  <si>
    <t>RA MASYITHOH III</t>
  </si>
  <si>
    <t>JL. KOTAANYAR RT. 18 RW. 06</t>
  </si>
  <si>
    <t>101235130189</t>
  </si>
  <si>
    <t>69745887</t>
  </si>
  <si>
    <t>RA MASYITOH VIII</t>
  </si>
  <si>
    <t>SIDODADI</t>
  </si>
  <si>
    <t>101235130382</t>
  </si>
  <si>
    <t>69898111</t>
  </si>
  <si>
    <t>RA NURUL HASYIMI</t>
  </si>
  <si>
    <t>Sidodadi Paiton</t>
  </si>
  <si>
    <t>101235130796</t>
  </si>
  <si>
    <t>69963313</t>
  </si>
  <si>
    <t>RA TANIA</t>
  </si>
  <si>
    <t>Jl. Lapangan Tembak</t>
  </si>
  <si>
    <t>101235130243</t>
  </si>
  <si>
    <t>69745901</t>
  </si>
  <si>
    <t>RA KHOLAFIYAH SYAFI'IYAH</t>
  </si>
  <si>
    <t>PAJARAKAN</t>
  </si>
  <si>
    <t>JL. MASJID BAITURRAHIM SIROJUDDIN DUSUN DAWUAN RT 005 RW 002</t>
  </si>
  <si>
    <t>101235130244</t>
  </si>
  <si>
    <t>69745905</t>
  </si>
  <si>
    <t>RA SALAFIYAH</t>
  </si>
  <si>
    <t>KH. NAWAWI</t>
  </si>
  <si>
    <t>101235130245</t>
  </si>
  <si>
    <t>69745903</t>
  </si>
  <si>
    <t>RA HIDAYATUL ISLAMIYAH</t>
  </si>
  <si>
    <t>DUSUN TRIWUNG</t>
  </si>
  <si>
    <t>101235130246</t>
  </si>
  <si>
    <t>69745899</t>
  </si>
  <si>
    <t>CONDONG</t>
  </si>
  <si>
    <t>101235130247</t>
  </si>
  <si>
    <t>69745904</t>
  </si>
  <si>
    <t>JL. RAYA KARANGGEGER</t>
  </si>
  <si>
    <t>101235130248</t>
  </si>
  <si>
    <t>69745900</t>
  </si>
  <si>
    <t>RA IZZATUL MUTA'ALLIMIN</t>
  </si>
  <si>
    <t>JL. YP IZZATUL MUTAALLIMIN</t>
  </si>
  <si>
    <t>101235130249</t>
  </si>
  <si>
    <t>69745906</t>
  </si>
  <si>
    <t>JL. CONDONG DOSER INDAH</t>
  </si>
  <si>
    <t>101235130250</t>
  </si>
  <si>
    <t>69745902</t>
  </si>
  <si>
    <t>RA NIDHAMIYAH</t>
  </si>
  <si>
    <t>JL. GANTING DUSUN KENTRUNG</t>
  </si>
  <si>
    <t>101235130825</t>
  </si>
  <si>
    <t>70035016</t>
  </si>
  <si>
    <t>RA IRSYADUL WIDAD</t>
  </si>
  <si>
    <t>Dusun Batu lumpang</t>
  </si>
  <si>
    <t>101235130146</t>
  </si>
  <si>
    <t>69745911</t>
  </si>
  <si>
    <t>RA NURUL FATAA</t>
  </si>
  <si>
    <t>PAKUNIRAN</t>
  </si>
  <si>
    <t>JL. HAJI SULTAN NO. 83 ALASPANDAN PAKUNIRAN PROBOLINGGO</t>
  </si>
  <si>
    <t>101235130147</t>
  </si>
  <si>
    <t>69745920</t>
  </si>
  <si>
    <t>RA RAUDLATUL IHSAN</t>
  </si>
  <si>
    <t>JL.KANTOR DESA DUSUN NAGKAH DESA GUNGGUNGAN LOR</t>
  </si>
  <si>
    <t>101235130148</t>
  </si>
  <si>
    <t>69745923</t>
  </si>
  <si>
    <t>RA MIFTAHUL HASANAH</t>
  </si>
  <si>
    <t>JL. RANON 02 / DUSUN KRAJAN RT. 002 RW. 001</t>
  </si>
  <si>
    <t>101235130149</t>
  </si>
  <si>
    <t>69995410</t>
  </si>
  <si>
    <t>RA MISBAHUL ISLAM</t>
  </si>
  <si>
    <t>DUSUN KRAJAN RT04 RW01 DESA SOGAAN</t>
  </si>
  <si>
    <t>101235130150</t>
  </si>
  <si>
    <t>69745919</t>
  </si>
  <si>
    <t>RA BARAKATUL ULUM</t>
  </si>
  <si>
    <t>DSN. KLEMBUN RT. 01 RW. 01</t>
  </si>
  <si>
    <t>101235130151</t>
  </si>
  <si>
    <t>69745914</t>
  </si>
  <si>
    <t>JL.SENTUL DUSUN KEDUNGSUMUR RT 01 RW 01</t>
  </si>
  <si>
    <t>101235130152</t>
  </si>
  <si>
    <t>69745917</t>
  </si>
  <si>
    <t>RA RAUDLATUL AHSAN</t>
  </si>
  <si>
    <t>JL. MASJID BESAR AL-IMRON DESA PAKUNIRAN</t>
  </si>
  <si>
    <t>101235130153</t>
  </si>
  <si>
    <t>69745922</t>
  </si>
  <si>
    <t>RA TAHDZIBUN NASYIIN</t>
  </si>
  <si>
    <t>DSN. SIYEM RT. 01 RW. 04</t>
  </si>
  <si>
    <t>101235130154</t>
  </si>
  <si>
    <t>69745921</t>
  </si>
  <si>
    <t>DUSUN GULUR RT. 004 RW. 002</t>
  </si>
  <si>
    <t>101235130155</t>
  </si>
  <si>
    <t>69745910</t>
  </si>
  <si>
    <t>RA NURUL ANWAR</t>
  </si>
  <si>
    <t>JL. KANTOR MWC NU RT. 19 RW. 06 BAYUR PAKUNIRAN</t>
  </si>
  <si>
    <t>101235130156</t>
  </si>
  <si>
    <t>69745908</t>
  </si>
  <si>
    <t>JL. MASJID AR-ROHMAH DUSUN KRAJAN RT/RW. 01/01</t>
  </si>
  <si>
    <t>101235130157</t>
  </si>
  <si>
    <t>69745913</t>
  </si>
  <si>
    <t>RA BAITUL MUTTAQIN</t>
  </si>
  <si>
    <t>Jln. Pakuniran Desa Glagah</t>
  </si>
  <si>
    <t>101235130158</t>
  </si>
  <si>
    <t>69745907</t>
  </si>
  <si>
    <t>RA DARUS SALAM</t>
  </si>
  <si>
    <t>101235130159</t>
  </si>
  <si>
    <t>69745918</t>
  </si>
  <si>
    <t>RA SITI AISYAH</t>
  </si>
  <si>
    <t>JL. KERTONEGORO, DUSUN KEMBANG RT. 003 RW. 001 ,</t>
  </si>
  <si>
    <t>101235130160</t>
  </si>
  <si>
    <t>69745924</t>
  </si>
  <si>
    <t>JL. SEKARSARI DUSUN KRAJAN RT/RW 007/004 DESA RANON</t>
  </si>
  <si>
    <t>101235130161</t>
  </si>
  <si>
    <t>69745916</t>
  </si>
  <si>
    <t>DUSUK KECIK</t>
  </si>
  <si>
    <t>101235130322</t>
  </si>
  <si>
    <t>69995216</t>
  </si>
  <si>
    <t>JL. PASAR SENIN NO. 2</t>
  </si>
  <si>
    <t>101235130351</t>
  </si>
  <si>
    <t>69898113</t>
  </si>
  <si>
    <t>JL. AIR TERJUN RT. 09 RW. 04</t>
  </si>
  <si>
    <t>101235130355</t>
  </si>
  <si>
    <t>69898114</t>
  </si>
  <si>
    <t>RA ILHAMUL HASAN</t>
  </si>
  <si>
    <t>DUSUN BANDUNGAN RT/RW. 01/02</t>
  </si>
  <si>
    <t>101235130358</t>
  </si>
  <si>
    <t>69958152</t>
  </si>
  <si>
    <t>RA RAUDLATUL HIDAYAH</t>
  </si>
  <si>
    <t>DUSUN PETONG RT/RW. 004/005</t>
  </si>
  <si>
    <t>101235130395</t>
  </si>
  <si>
    <t>69941134</t>
  </si>
  <si>
    <t>DUSUN PAKIS RT. 01 RW. 05</t>
  </si>
  <si>
    <t>101235130800</t>
  </si>
  <si>
    <t>69977600</t>
  </si>
  <si>
    <t>DUSUN DURIN RT/RW. 002/006</t>
  </si>
  <si>
    <t>101235130801</t>
  </si>
  <si>
    <t>69977601</t>
  </si>
  <si>
    <t>RA HIDAYATULLAH</t>
  </si>
  <si>
    <t>DUSUN JELLUN RT/RW 001/001 DESA BIMO KECAMATAN PAKUNIRAN KABUPATEN PROBOLINGGO</t>
  </si>
  <si>
    <t>101235130827</t>
  </si>
  <si>
    <t>70035320</t>
  </si>
  <si>
    <t>RA MIFTAHUL ISLAM</t>
  </si>
  <si>
    <t>Dsn. Kletek RT/RW : 002/004</t>
  </si>
  <si>
    <t>101235130829</t>
  </si>
  <si>
    <t>70035263</t>
  </si>
  <si>
    <t>RA DARUS SHOLIHIN</t>
  </si>
  <si>
    <t>Jl. Jembatan Baru RT/RW 006/003</t>
  </si>
  <si>
    <t>101235130337</t>
  </si>
  <si>
    <t>69745925</t>
  </si>
  <si>
    <t>RA AL AL FALAH</t>
  </si>
  <si>
    <t>SUKAPURA</t>
  </si>
  <si>
    <t>DUSUN CURAHWANGI RT/RW. 017/008</t>
  </si>
  <si>
    <t>101235130353</t>
  </si>
  <si>
    <t>69745926</t>
  </si>
  <si>
    <t>RA RORO FATMI</t>
  </si>
  <si>
    <t>JL. RAYA BROMO 39B</t>
  </si>
  <si>
    <t>101235130811</t>
  </si>
  <si>
    <t>70028902</t>
  </si>
  <si>
    <t>SUMBER</t>
  </si>
  <si>
    <t>DSN DARUNGAN</t>
  </si>
  <si>
    <t>101235130308</t>
  </si>
  <si>
    <t>69745930</t>
  </si>
  <si>
    <t>RA GHISLATUL MUSTHAFA</t>
  </si>
  <si>
    <t>SUMBERASIH</t>
  </si>
  <si>
    <t>JL. KAPURAN RT. 09/RW. 02 BANJARSARI</t>
  </si>
  <si>
    <t>101235130309</t>
  </si>
  <si>
    <t>69745927</t>
  </si>
  <si>
    <t>RA AL-BAROKAH</t>
  </si>
  <si>
    <t>JL. SUKAPURA 117 DUSUN SUKUN RT/RW. 005/002</t>
  </si>
  <si>
    <t>101235130310</t>
  </si>
  <si>
    <t>69745933</t>
  </si>
  <si>
    <t>RA MASYITHOH I</t>
  </si>
  <si>
    <t>JL. MASJID SYUHADA RT. 028 RW. 005</t>
  </si>
  <si>
    <t>101235130311</t>
  </si>
  <si>
    <t>69745932</t>
  </si>
  <si>
    <t>RA MASITHOH II</t>
  </si>
  <si>
    <t>JL. SINGO WONGSO NO. 81</t>
  </si>
  <si>
    <t>101235130312</t>
  </si>
  <si>
    <t>69745934</t>
  </si>
  <si>
    <t>RA TARBIYATUL IHSAN</t>
  </si>
  <si>
    <t>LEMAHKEMBAR</t>
  </si>
  <si>
    <t>101235130313</t>
  </si>
  <si>
    <t>69745935</t>
  </si>
  <si>
    <t>RA UTUL ILMA DARAJAT</t>
  </si>
  <si>
    <t>JL. MASJID BAITUSSALAM</t>
  </si>
  <si>
    <t>101235130314</t>
  </si>
  <si>
    <t>69745936</t>
  </si>
  <si>
    <t>RA ALQOHHARY</t>
  </si>
  <si>
    <t>JL. ANGGUR SELATAN BLOK PESANTREN</t>
  </si>
  <si>
    <t>101235130315</t>
  </si>
  <si>
    <t>69745928</t>
  </si>
  <si>
    <t>RA AZ-ZAHRO</t>
  </si>
  <si>
    <t>Jl. Agrowisata Sumberbendo Dusun Kresek RT 018 RW 004</t>
  </si>
  <si>
    <t>101235130316</t>
  </si>
  <si>
    <t>69745929</t>
  </si>
  <si>
    <t>JL. ALBAROKAH NO. 9A</t>
  </si>
  <si>
    <t>101235130338</t>
  </si>
  <si>
    <t>69745931</t>
  </si>
  <si>
    <t>DUSUN PESISIR</t>
  </si>
  <si>
    <t>101235130365</t>
  </si>
  <si>
    <t>69898115</t>
  </si>
  <si>
    <t>RA AL WAFA</t>
  </si>
  <si>
    <t>Dusun Kramat - Ambulu</t>
  </si>
  <si>
    <t>101235130372</t>
  </si>
  <si>
    <t>69898116</t>
  </si>
  <si>
    <t>RA AL HUSAINIYAH</t>
  </si>
  <si>
    <t>JL. SUKAPURA RT. 16 RW. 04</t>
  </si>
  <si>
    <t>101235130374</t>
  </si>
  <si>
    <t>69898117</t>
  </si>
  <si>
    <t>RA AL WILDAN</t>
  </si>
  <si>
    <t>JL. DUSUN ASEM KEREP</t>
  </si>
  <si>
    <t>101235130394</t>
  </si>
  <si>
    <t>69941142</t>
  </si>
  <si>
    <t>RA IHSANIYAH</t>
  </si>
  <si>
    <t>DUSUN LORI</t>
  </si>
  <si>
    <t>101235130795</t>
  </si>
  <si>
    <t>69963312</t>
  </si>
  <si>
    <t>RA AN NUR</t>
  </si>
  <si>
    <t>MENTOR</t>
  </si>
  <si>
    <t>101235130799</t>
  </si>
  <si>
    <t>69963316</t>
  </si>
  <si>
    <t>101235130016</t>
  </si>
  <si>
    <t>69745942</t>
  </si>
  <si>
    <t>TEGALSIWALAN</t>
  </si>
  <si>
    <t>Blado Kulon</t>
  </si>
  <si>
    <t>101235130017</t>
  </si>
  <si>
    <t>69745941</t>
  </si>
  <si>
    <t>DUSUN KRAJAN RT. 06 RW. 01</t>
  </si>
  <si>
    <t>101235130018</t>
  </si>
  <si>
    <t>69745939</t>
  </si>
  <si>
    <t>RA MANBAUL HIKAM</t>
  </si>
  <si>
    <t>Dusun Bajul</t>
  </si>
  <si>
    <t>101235130019</t>
  </si>
  <si>
    <t>69745938</t>
  </si>
  <si>
    <t>DUSUN KRAJAN RT. 07 RW. 02</t>
  </si>
  <si>
    <t>101235130020</t>
  </si>
  <si>
    <t>69745943</t>
  </si>
  <si>
    <t>DUSUN GUNUNG TEMPA RT. 12 RW. 05</t>
  </si>
  <si>
    <t>101235130021</t>
  </si>
  <si>
    <t>69745937</t>
  </si>
  <si>
    <t>RA SUBULUS SALAM</t>
  </si>
  <si>
    <t>DUSUN TANIAN PANJANG RT 14  RW 004</t>
  </si>
  <si>
    <t>101235130022</t>
  </si>
  <si>
    <t>69745940</t>
  </si>
  <si>
    <t>DUSUN BANDUNGAN RT. 09 RW. 03 DESA TEGALSONO</t>
  </si>
  <si>
    <t>101235130024</t>
  </si>
  <si>
    <t>69745945</t>
  </si>
  <si>
    <t>DUSUN LAMPEKAN RT. 013 RW. 004</t>
  </si>
  <si>
    <t>101235130026</t>
  </si>
  <si>
    <t>69745944</t>
  </si>
  <si>
    <t>JL. Dusun Gunung RT.001/RW.001</t>
  </si>
  <si>
    <t>101235130368</t>
  </si>
  <si>
    <t>69898118</t>
  </si>
  <si>
    <t>DUSUN PLERENAN RT. 016 RW. 005</t>
  </si>
  <si>
    <t>101235130381</t>
  </si>
  <si>
    <t>69898119</t>
  </si>
  <si>
    <t>RA DARUL MUTTAQIN</t>
  </si>
  <si>
    <t>JL. RONGGOJALU NO. 78</t>
  </si>
  <si>
    <t>101235130054</t>
  </si>
  <si>
    <t>69745949</t>
  </si>
  <si>
    <t>TIRIS</t>
  </si>
  <si>
    <t>DUSUN NAMPU RT. 006 RW. 001</t>
  </si>
  <si>
    <t>101235130055</t>
  </si>
  <si>
    <t>69745967</t>
  </si>
  <si>
    <t>RA MIFTAHUL ASROR</t>
  </si>
  <si>
    <t>DUSUN NAMPU  RT.002/RW.001</t>
  </si>
  <si>
    <t>101235130056</t>
  </si>
  <si>
    <t>69898120</t>
  </si>
  <si>
    <t>RA MIFTAHUL MILLAH</t>
  </si>
  <si>
    <t>DUSUN NAMPU RT 01 RW 01</t>
  </si>
  <si>
    <t>101235130057</t>
  </si>
  <si>
    <t>69745965</t>
  </si>
  <si>
    <t>RA DARUL HASAN</t>
  </si>
  <si>
    <t>JL. WIJAYA KUSUMA NO. 71 RT. 007 RW. 002 PESAWAHAN BANGSAL</t>
  </si>
  <si>
    <t>101235130058</t>
  </si>
  <si>
    <t>69885103</t>
  </si>
  <si>
    <t>101235130059</t>
  </si>
  <si>
    <t>69745952</t>
  </si>
  <si>
    <t>DUSUN PLASAAN</t>
  </si>
  <si>
    <t>101235130060</t>
  </si>
  <si>
    <t>69745959</t>
  </si>
  <si>
    <t>DUSUN SUMANBITO RT.002/RW.001</t>
  </si>
  <si>
    <t>101235130061</t>
  </si>
  <si>
    <t>69885104</t>
  </si>
  <si>
    <t>RA SIRAJUT THALIBIN</t>
  </si>
  <si>
    <t>JL. PP. SIRAJUT THALIBIN RACEK</t>
  </si>
  <si>
    <t>101235130062</t>
  </si>
  <si>
    <t>69745955</t>
  </si>
  <si>
    <t>RA DARUS SHOLAH</t>
  </si>
  <si>
    <t>DUSUN TANCAK RT15/RW05</t>
  </si>
  <si>
    <t>101235130063</t>
  </si>
  <si>
    <t>69898121</t>
  </si>
  <si>
    <t>RA AL FATIH</t>
  </si>
  <si>
    <t>JL. WISATA ARUNG JERAM DUSUN ANGIN-ANGIN RT. 002 RW. 001</t>
  </si>
  <si>
    <t>101235130064</t>
  </si>
  <si>
    <t>69745948</t>
  </si>
  <si>
    <t>DUSUN DARUNGAN</t>
  </si>
  <si>
    <t>101235130065</t>
  </si>
  <si>
    <t>Dusun Darungan RT/RW,18/06</t>
  </si>
  <si>
    <t>101235130066</t>
  </si>
  <si>
    <t>69995254</t>
  </si>
  <si>
    <t>RA RIYADLUS SHOLIHIN</t>
  </si>
  <si>
    <t>JL. SUMUR BOR DUSUN GEMBOR 2 RT. 005 RW. 002</t>
  </si>
  <si>
    <t>101235130067</t>
  </si>
  <si>
    <t>RA WALISONGO</t>
  </si>
  <si>
    <t>Dusun Kramat RT/RW 16/05 Desa Rejing</t>
  </si>
  <si>
    <t>101235130068</t>
  </si>
  <si>
    <t>69745951</t>
  </si>
  <si>
    <t>Dusun Kembang</t>
  </si>
  <si>
    <t>101235130069</t>
  </si>
  <si>
    <t>69887645</t>
  </si>
  <si>
    <t>DUSUN KARANGREJO RT/RW. 02/01</t>
  </si>
  <si>
    <t>101235130070</t>
  </si>
  <si>
    <t>69745953</t>
  </si>
  <si>
    <t>DUSUN TOGURR</t>
  </si>
  <si>
    <t>101235130071</t>
  </si>
  <si>
    <t>69745964</t>
  </si>
  <si>
    <t>JL. KYAI NAHER DUSUN KEMBANG RT. 10 RW. 05</t>
  </si>
  <si>
    <t>101235130072</t>
  </si>
  <si>
    <t>69745963</t>
  </si>
  <si>
    <t>RA ZAINUL ALIYAH</t>
  </si>
  <si>
    <t>DUSUN LEREKAN RT.008/RW.004</t>
  </si>
  <si>
    <t>101235130073</t>
  </si>
  <si>
    <t>69745956</t>
  </si>
  <si>
    <t>RA HIDAYATUS SIBYAN</t>
  </si>
  <si>
    <t>DUSUN KRAJAN RT01/RW01</t>
  </si>
  <si>
    <t>101235130074</t>
  </si>
  <si>
    <t>69898123</t>
  </si>
  <si>
    <t>DUSUN KARANG TENGAH</t>
  </si>
  <si>
    <t>101235130075</t>
  </si>
  <si>
    <t>69885105</t>
  </si>
  <si>
    <t>DUSUN JAWAAN RT.015/RW.005</t>
  </si>
  <si>
    <t>101235130076</t>
  </si>
  <si>
    <t>69745968</t>
  </si>
  <si>
    <t>DUSUN KLOMPANGAN RT. 003 RW. 001</t>
  </si>
  <si>
    <t>101235130077</t>
  </si>
  <si>
    <t>69898124</t>
  </si>
  <si>
    <t>RA NAHDLATUL ULAMA</t>
  </si>
  <si>
    <t>JL. PONPES BAHJATUL ULUM</t>
  </si>
  <si>
    <t>101235130078</t>
  </si>
  <si>
    <t>69745961</t>
  </si>
  <si>
    <t>101235130079</t>
  </si>
  <si>
    <t>69745966</t>
  </si>
  <si>
    <t>DUSUN NANGKAAN</t>
  </si>
  <si>
    <t>101235130080</t>
  </si>
  <si>
    <t>69898125</t>
  </si>
  <si>
    <t>RA BARAKATUL HASAN</t>
  </si>
  <si>
    <t>JL. BLIMBINGAN NO.2</t>
  </si>
  <si>
    <t>101235130081</t>
  </si>
  <si>
    <t>69898126</t>
  </si>
  <si>
    <t>101235130082</t>
  </si>
  <si>
    <t>69745962</t>
  </si>
  <si>
    <t>RA SALAFIYAH SYAFIIYAH</t>
  </si>
  <si>
    <t>DUSUN KRAJAN RT. 003 / RW. 001</t>
  </si>
  <si>
    <t>101235130083</t>
  </si>
  <si>
    <t>69745954</t>
  </si>
  <si>
    <t>RA DARUN NAJAH</t>
  </si>
  <si>
    <t>DUSUN WATES RT.009/RW.003</t>
  </si>
  <si>
    <t>101235130084</t>
  </si>
  <si>
    <t>69745957</t>
  </si>
  <si>
    <t>DUSUN KRAJAN RT.002/RW.001</t>
  </si>
  <si>
    <t>101235130085</t>
  </si>
  <si>
    <t>69745960</t>
  </si>
  <si>
    <t>RA RAUDLATUL KHOLAFIYAH</t>
  </si>
  <si>
    <t>DUSUN PAOKECIK RT/RW. 008/003</t>
  </si>
  <si>
    <t>101235130086</t>
  </si>
  <si>
    <t>69745950</t>
  </si>
  <si>
    <t>RACEK TIRIS PROBOLINGGO</t>
  </si>
  <si>
    <t>101235130360</t>
  </si>
  <si>
    <t>69887646</t>
  </si>
  <si>
    <t>RA TARBIYATUS SALAFIYAH</t>
  </si>
  <si>
    <t>DUSUN KRAJAN RT.009/RW.0003</t>
  </si>
  <si>
    <t>101235130376</t>
  </si>
  <si>
    <t>69898127</t>
  </si>
  <si>
    <t>DUSUN RANUGEDANG TIMUR RT.012/RW.005</t>
  </si>
  <si>
    <t>101235130378</t>
  </si>
  <si>
    <t>69898128</t>
  </si>
  <si>
    <t>DUSUN KLUANGAN</t>
  </si>
  <si>
    <t>101235130379</t>
  </si>
  <si>
    <t>69898129</t>
  </si>
  <si>
    <t>101235130741</t>
  </si>
  <si>
    <t>69885106</t>
  </si>
  <si>
    <t>RA NURUL HASANAIN</t>
  </si>
  <si>
    <t>DUSUN WEDUSAN RT. 012 RW. 004</t>
  </si>
  <si>
    <t>101235130806</t>
  </si>
  <si>
    <t>70010267</t>
  </si>
  <si>
    <t>RA MIFTAHUL ULUM SEGARAN</t>
  </si>
  <si>
    <t>DUSUN KRAJAN RT. 04 RW. 01</t>
  </si>
  <si>
    <t>101235130807</t>
  </si>
  <si>
    <t>70010268</t>
  </si>
  <si>
    <t>JL. BATU LAWANG, DUSUN KRAJAN RT. 001 RW. 001</t>
  </si>
  <si>
    <t>101235130295</t>
  </si>
  <si>
    <t>69745971</t>
  </si>
  <si>
    <t>RA MAMBA'UL ISLAM</t>
  </si>
  <si>
    <t>TONGAS</t>
  </si>
  <si>
    <t>101235130296</t>
  </si>
  <si>
    <t>69745983</t>
  </si>
  <si>
    <t>JL. DIPONEGORO NO. 66 DUSUN KRAJAN BAYEMAN</t>
  </si>
  <si>
    <t>101235130297</t>
  </si>
  <si>
    <t>69745975</t>
  </si>
  <si>
    <t>DUSUN KRAJAN Desa Tambakrejo</t>
  </si>
  <si>
    <t>101235130298</t>
  </si>
  <si>
    <t>69745987</t>
  </si>
  <si>
    <t>JL. PERNING UTARA JALID TONGASWETAN TONGAS</t>
  </si>
  <si>
    <t>101235130299</t>
  </si>
  <si>
    <t>69745986</t>
  </si>
  <si>
    <t>RA MIFTAHUS SIBYAN</t>
  </si>
  <si>
    <t>101235130300</t>
  </si>
  <si>
    <t>69745978</t>
  </si>
  <si>
    <t>DUSUN BAYEMAN TENGAH</t>
  </si>
  <si>
    <t>101235130301</t>
  </si>
  <si>
    <t>69745981</t>
  </si>
  <si>
    <t>RA HIDAYATUS SALAFIYAH</t>
  </si>
  <si>
    <t>DUSUN JARINGAN BLOKTAMBAK</t>
  </si>
  <si>
    <t>101235130302</t>
  </si>
  <si>
    <t>69745970</t>
  </si>
  <si>
    <t>RA AL-AMIN</t>
  </si>
  <si>
    <t>JL. SEGARA TONGAS KULON TONGAS PROB</t>
  </si>
  <si>
    <t>101235130303</t>
  </si>
  <si>
    <t>69745982</t>
  </si>
  <si>
    <t>RA MAMBA'IL FALAH</t>
  </si>
  <si>
    <t>Dusun Sumuran RT 018 RW 004</t>
  </si>
  <si>
    <t>101235130304</t>
  </si>
  <si>
    <t>69745980</t>
  </si>
  <si>
    <t>RA FADLUL ULUM</t>
  </si>
  <si>
    <t>DUSUN DAWUHAN RT. 023 RW. 007</t>
  </si>
  <si>
    <t>101235130305</t>
  </si>
  <si>
    <t>69745984</t>
  </si>
  <si>
    <t>DUSUN CURAH PONDOK</t>
  </si>
  <si>
    <t>101235130306</t>
  </si>
  <si>
    <t>69745979</t>
  </si>
  <si>
    <t>RA DARUL MA'SUM</t>
  </si>
  <si>
    <t>DUSUN MAKAM RT. 008 RW. 003 DESA CURAHTULIS</t>
  </si>
  <si>
    <t>101235130307</t>
  </si>
  <si>
    <t>69745972</t>
  </si>
  <si>
    <t>RA AL-KARIMAH</t>
  </si>
  <si>
    <t>DUSUN KRAJAN RT/002 RW/001</t>
  </si>
  <si>
    <t>101235130339</t>
  </si>
  <si>
    <t>69745976</t>
  </si>
  <si>
    <t>RA AL KAROMAH</t>
  </si>
  <si>
    <t>JL. EMBAH SEMENDI DUSUN DARUNGAN</t>
  </si>
  <si>
    <t>101235130340</t>
  </si>
  <si>
    <t>69745974</t>
  </si>
  <si>
    <t>RA AL FALAH</t>
  </si>
  <si>
    <t>101235130364</t>
  </si>
  <si>
    <t>69885107</t>
  </si>
  <si>
    <t>RA KUKU PONCONOKO</t>
  </si>
  <si>
    <t>101235130366</t>
  </si>
  <si>
    <t>69745977</t>
  </si>
  <si>
    <t>RA AZ ZAHRA</t>
  </si>
  <si>
    <t>Dusun Mrico</t>
  </si>
  <si>
    <t>101235130367</t>
  </si>
  <si>
    <t>69745973</t>
  </si>
  <si>
    <t>RA AL AZIZIYAH</t>
  </si>
  <si>
    <t>DUNGUN KIDUL</t>
  </si>
  <si>
    <t>101235130371</t>
  </si>
  <si>
    <t>69745985</t>
  </si>
  <si>
    <t>RANCANG SELATAN DUSUN KULAK SELATAN</t>
  </si>
  <si>
    <t>101235130373</t>
  </si>
  <si>
    <t>69898130</t>
  </si>
  <si>
    <t>RA AR RAUDLAH</t>
  </si>
  <si>
    <t>Dusun Krajan Kidul</t>
  </si>
  <si>
    <t>101235130802</t>
  </si>
  <si>
    <t>69994846</t>
  </si>
  <si>
    <t>RA DARUS SYAFA'AH</t>
  </si>
  <si>
    <t>Tongas Kulon</t>
  </si>
  <si>
    <t>101235130821</t>
  </si>
  <si>
    <t>70035364</t>
  </si>
  <si>
    <t>RA NURUL FALAH</t>
  </si>
  <si>
    <t>Dusun Curah Menjangan RT/RW:006/002 Curahtulis Tongas</t>
  </si>
  <si>
    <t>101235130287</t>
  </si>
  <si>
    <t>69885108</t>
  </si>
  <si>
    <t>WONOMERTO</t>
  </si>
  <si>
    <t>Jln. Bantaran 317 Dusun Dawuhan 002/003</t>
  </si>
  <si>
    <t>101235130288</t>
  </si>
  <si>
    <t>69745989</t>
  </si>
  <si>
    <t>JL. KYAI WANGI DUSUN BINDUNG</t>
  </si>
  <si>
    <t>101235130289</t>
  </si>
  <si>
    <t>69885109</t>
  </si>
  <si>
    <t>RA TARBIYATUL ULA</t>
  </si>
  <si>
    <t>KAMPUNG DUSUN GEDANGAN RT/RW. 009/002</t>
  </si>
  <si>
    <t>101235130290</t>
  </si>
  <si>
    <t>69887648</t>
  </si>
  <si>
    <t>JL. LUMBANG DUSUN PELAN KEREP RT/RW. 001/001</t>
  </si>
  <si>
    <t>101235130291</t>
  </si>
  <si>
    <t>69745988</t>
  </si>
  <si>
    <t>RA DARUL AROFAH</t>
  </si>
  <si>
    <t>DUSUN KARANGKARE, RT. 16 RW. 004</t>
  </si>
  <si>
    <t>101235130292</t>
  </si>
  <si>
    <t>69745991</t>
  </si>
  <si>
    <t>RA NURUL YAQIN</t>
  </si>
  <si>
    <t>Dusun Dawuan</t>
  </si>
  <si>
    <t>101235130293</t>
  </si>
  <si>
    <t>69745990</t>
  </si>
  <si>
    <t>JL. SUNAN AMPEL NO. 99</t>
  </si>
  <si>
    <t>TIRIS BARAT</t>
  </si>
  <si>
    <t>TIRIS TIMUR</t>
  </si>
  <si>
    <t>111235130005</t>
  </si>
  <si>
    <t>60716271</t>
  </si>
  <si>
    <t>MIS BUSTANUL ULUM</t>
  </si>
  <si>
    <t>Madrasah Ibtidaiyah</t>
  </si>
  <si>
    <t>JL. TRIWUNG NO. 51 RT 11 RW 03 TEMPURAN</t>
  </si>
  <si>
    <t>111235130006</t>
  </si>
  <si>
    <t>60716272</t>
  </si>
  <si>
    <t>MIS DARU MAFATIHIL ULUM</t>
  </si>
  <si>
    <t>JL. PESANTREN NO. 659 RT/RW : 12/05</t>
  </si>
  <si>
    <t>111235130007</t>
  </si>
  <si>
    <t>60716273</t>
  </si>
  <si>
    <t>MIS DARUL MAARIF</t>
  </si>
  <si>
    <t>JLN. KRAMAT DESA KRAMATAGUNG</t>
  </si>
  <si>
    <t>111235130008</t>
  </si>
  <si>
    <t>60716274</t>
  </si>
  <si>
    <t>MIS DARUL MUTAALLIMIN</t>
  </si>
  <si>
    <t>DUSUN KRAJAN RT 002/ RW 001 DESA LEGUNDI BANTARAN PROBOLINGGO</t>
  </si>
  <si>
    <t>111235130009</t>
  </si>
  <si>
    <t>60716275</t>
  </si>
  <si>
    <t>MIS DARUL ULUM KARANGANYAR</t>
  </si>
  <si>
    <t>KARANGANYAR</t>
  </si>
  <si>
    <t>111235130010</t>
  </si>
  <si>
    <t>60716276</t>
  </si>
  <si>
    <t>MIS DARUL ULUM BANTARAN</t>
  </si>
  <si>
    <t>111235130011</t>
  </si>
  <si>
    <t>60716277</t>
  </si>
  <si>
    <t>MIS INFARUL GHAY</t>
  </si>
  <si>
    <t>DUSUN BATA</t>
  </si>
  <si>
    <t>111235130012</t>
  </si>
  <si>
    <t>60716278</t>
  </si>
  <si>
    <t>MIS MIFTAHUL HUDA</t>
  </si>
  <si>
    <t>DUSUN CANGAKAN RT 010 RW 004 DESA KEDUNGREJO</t>
  </si>
  <si>
    <t>111235130013</t>
  </si>
  <si>
    <t>60716279</t>
  </si>
  <si>
    <t>DUSUN TENGAH A RT. 11 RW. 04 KRAMATAGUNG BANTARAN PROBOLINGGO</t>
  </si>
  <si>
    <t>111235130014</t>
  </si>
  <si>
    <t>60716280</t>
  </si>
  <si>
    <t>MIS MIFTAHUL ULUM LEGUNDI</t>
  </si>
  <si>
    <t>DESA LEGUNDI KEC. BANTARAN KAB. PROBOLINGGO</t>
  </si>
  <si>
    <t>111235130015</t>
  </si>
  <si>
    <t>60716281</t>
  </si>
  <si>
    <t>MIS MIFTAHUL ULUM</t>
  </si>
  <si>
    <t>JL. RAYA WONOASIH-BANTARAN KM 03 KROPAK</t>
  </si>
  <si>
    <t>111235130016</t>
  </si>
  <si>
    <t>60716282</t>
  </si>
  <si>
    <t>MIS NURUL HUDA</t>
  </si>
  <si>
    <t>111235130017</t>
  </si>
  <si>
    <t>60716283</t>
  </si>
  <si>
    <t>MIS NURUL JADID</t>
  </si>
  <si>
    <t>JL. RAYA KURIPAN DUSUN MACAN RT 01 RW 01 DESA KARANGANYAR</t>
  </si>
  <si>
    <t>111235130018</t>
  </si>
  <si>
    <t>60716284</t>
  </si>
  <si>
    <t>MIS NURUL ULUM</t>
  </si>
  <si>
    <t>JL. KH. ANOM TEMPURAN</t>
  </si>
  <si>
    <t>111235130019</t>
  </si>
  <si>
    <t>60716285</t>
  </si>
  <si>
    <t>MIS NURUL YAQIN</t>
  </si>
  <si>
    <t>KRAMATAGUNG</t>
  </si>
  <si>
    <t>111235130020</t>
  </si>
  <si>
    <t>60716286</t>
  </si>
  <si>
    <t>MIS UMMUL QURO</t>
  </si>
  <si>
    <t>JL. RAYA BANTARAN NO. 39 DESA KROPAK KECAMATAN BANTARAN</t>
  </si>
  <si>
    <t>111235130376</t>
  </si>
  <si>
    <t>60716287</t>
  </si>
  <si>
    <t>MIS NURUL HIKMAH</t>
  </si>
  <si>
    <t>JL. MASJID AZIZURRAHIM</t>
  </si>
  <si>
    <t>111235130397</t>
  </si>
  <si>
    <t>69927999</t>
  </si>
  <si>
    <t>MIS MISNURUR ROHMAH</t>
  </si>
  <si>
    <t>111235130055</t>
  </si>
  <si>
    <t>60716288</t>
  </si>
  <si>
    <t>MIS THORIQOTUL HASAN</t>
  </si>
  <si>
    <t>JL. RAYA NO. 02 KLENANG LOR</t>
  </si>
  <si>
    <t>111235130056</t>
  </si>
  <si>
    <t>60716289</t>
  </si>
  <si>
    <t>MIS NAHDLATUL ULAMA</t>
  </si>
  <si>
    <t>111235130057</t>
  </si>
  <si>
    <t>60716290</t>
  </si>
  <si>
    <t>MIS SYAFI'IYAH NU</t>
  </si>
  <si>
    <t>JL. KH. AHSAN DAHLAN</t>
  </si>
  <si>
    <t>111235130058</t>
  </si>
  <si>
    <t>60716291</t>
  </si>
  <si>
    <t>MIS TANWIRUL MUBTADIIN</t>
  </si>
  <si>
    <t>JL. JEMBATAN BARU H. MOH. DAHLAN TAROKAN</t>
  </si>
  <si>
    <t>111235130059</t>
  </si>
  <si>
    <t>60716292</t>
  </si>
  <si>
    <t>111235130060</t>
  </si>
  <si>
    <t>60716293</t>
  </si>
  <si>
    <t>MIS SIROJUL ULUM</t>
  </si>
  <si>
    <t>111235130061</t>
  </si>
  <si>
    <t>60716268</t>
  </si>
  <si>
    <t>MIS NAZHATUT THOLIBIN</t>
  </si>
  <si>
    <t>JL. KY. JAMAL HASIBI</t>
  </si>
  <si>
    <t>111235130062</t>
  </si>
  <si>
    <t>60716294</t>
  </si>
  <si>
    <t>MIS WALI SANGA II</t>
  </si>
  <si>
    <t>Dsn.Pandi II, RT/RW : 005/002, Desa Banyuanyar Tengah</t>
  </si>
  <si>
    <t>111235130063</t>
  </si>
  <si>
    <t>60716295</t>
  </si>
  <si>
    <t>MIS WALI SONGO</t>
  </si>
  <si>
    <t>DUSUN SEKOLAHAN RT/011/RW004 BANYUANYAR TENGAH</t>
  </si>
  <si>
    <t>111235130064</t>
  </si>
  <si>
    <t>60716296</t>
  </si>
  <si>
    <t>DUSUN SUKUN RT. 05 RW. 02 BLADO WETAN</t>
  </si>
  <si>
    <t>111235130065</t>
  </si>
  <si>
    <t>60716297</t>
  </si>
  <si>
    <t>MIS MIRQOTUL ULUM</t>
  </si>
  <si>
    <t>DUSUN KRAMAT RT. 009 RW. 003</t>
  </si>
  <si>
    <t>111235130066</t>
  </si>
  <si>
    <t>60722441</t>
  </si>
  <si>
    <t>MIS HIDAYATUL ULUM</t>
  </si>
  <si>
    <t>DUSUN RUNGGENG RT. 13 RW. 01 GUNUNG GENI</t>
  </si>
  <si>
    <t>111235130067</t>
  </si>
  <si>
    <t>60716299</t>
  </si>
  <si>
    <t>MIS AL HASANIYAH</t>
  </si>
  <si>
    <t>DUSUN SUMUR LEPAAN</t>
  </si>
  <si>
    <t>111235130068</t>
  </si>
  <si>
    <t>60716300</t>
  </si>
  <si>
    <t>MIS SUNAN MURIA</t>
  </si>
  <si>
    <t>DSN KAMBENGAN</t>
  </si>
  <si>
    <t>111235130069</t>
  </si>
  <si>
    <t>60716301</t>
  </si>
  <si>
    <t>MIS ISLAMIYAH</t>
  </si>
  <si>
    <t>JL. MASJID NURUL HUDA RT. 032 RW. 002 DUSUN GUNUNG PARANG</t>
  </si>
  <si>
    <t>111235130070</t>
  </si>
  <si>
    <t>60716302</t>
  </si>
  <si>
    <t>111235130071</t>
  </si>
  <si>
    <t>60716303</t>
  </si>
  <si>
    <t>MIS SUNAN GIRI</t>
  </si>
  <si>
    <t>Dusun Krajan RT 004 RW 002</t>
  </si>
  <si>
    <t>111235130072</t>
  </si>
  <si>
    <t>60716304</t>
  </si>
  <si>
    <t>MIS SUNAN DRAJAT</t>
  </si>
  <si>
    <t>DUSUN KRAJAN I RT. 06 RW. 03</t>
  </si>
  <si>
    <t>111235130073</t>
  </si>
  <si>
    <t>60716305</t>
  </si>
  <si>
    <t>MIS ISLAHIYAH</t>
  </si>
  <si>
    <t>DUSUN TEKONG RT 13 RW 04</t>
  </si>
  <si>
    <t>111235130074</t>
  </si>
  <si>
    <t>60716306</t>
  </si>
  <si>
    <t>MIS NURUL MUQORROBIN</t>
  </si>
  <si>
    <t>DUSUN ASEM MANIS RT. 19/RW. 06 PENDIL</t>
  </si>
  <si>
    <t>111235130075</t>
  </si>
  <si>
    <t>60716307</t>
  </si>
  <si>
    <t>111235130076</t>
  </si>
  <si>
    <t>60716308</t>
  </si>
  <si>
    <t>MIS RADEN FATAH</t>
  </si>
  <si>
    <t>Dusun Kramat Rt 7 Rw 3</t>
  </si>
  <si>
    <t>111235130077</t>
  </si>
  <si>
    <t>60716309</t>
  </si>
  <si>
    <t>MIS ISLAMIYAH NU</t>
  </si>
  <si>
    <t>DUSUN ALAS</t>
  </si>
  <si>
    <t>111235130078</t>
  </si>
  <si>
    <t>60716310</t>
  </si>
  <si>
    <t>MIS SYAFI'IYAH II</t>
  </si>
  <si>
    <t>JL. MADRASAH NO. 11 RT/RW. 09/03</t>
  </si>
  <si>
    <t>111235130079</t>
  </si>
  <si>
    <t>60716311</t>
  </si>
  <si>
    <t>MIS DARUL ULA</t>
  </si>
  <si>
    <t>JL. JEMBATAN BARU H. M DAHLAN</t>
  </si>
  <si>
    <t>111235130080</t>
  </si>
  <si>
    <t>60716312</t>
  </si>
  <si>
    <t>MIS MISBAHUL FATA</t>
  </si>
  <si>
    <t>KLENANG KIDUL KEC. BANYUANYAR KAB. PROBOLINGGO</t>
  </si>
  <si>
    <t>111235130081</t>
  </si>
  <si>
    <t>60716313</t>
  </si>
  <si>
    <t>DUSUN GLINTONGAN RT 022 RW 002</t>
  </si>
  <si>
    <t>111235130082</t>
  </si>
  <si>
    <t>60716314</t>
  </si>
  <si>
    <t>MIS RAUDLATUL ULUM</t>
  </si>
  <si>
    <t>111235130368</t>
  </si>
  <si>
    <t>60716315</t>
  </si>
  <si>
    <t>MIS BAHRUL ULUM</t>
  </si>
  <si>
    <t>111235130234</t>
  </si>
  <si>
    <t>60716317</t>
  </si>
  <si>
    <t>MIS AL-HIDAYAH</t>
  </si>
  <si>
    <t>SINDETANYAR</t>
  </si>
  <si>
    <t>111235130235</t>
  </si>
  <si>
    <t>60716318</t>
  </si>
  <si>
    <t>MIS BAHJATUSSIBYAN</t>
  </si>
  <si>
    <t>JL.DUSUN KEDUNG</t>
  </si>
  <si>
    <t>111235130236</t>
  </si>
  <si>
    <t>60716319</t>
  </si>
  <si>
    <t>JL. RAYA BESUK NO. 247</t>
  </si>
  <si>
    <t>111235130237</t>
  </si>
  <si>
    <t>60716320</t>
  </si>
  <si>
    <t>MIS BUSTANUL HASAN</t>
  </si>
  <si>
    <t>Jl. Kamboja 174 Dusun Gentengan Rt 05 Rw 02</t>
  </si>
  <si>
    <t>111235130238</t>
  </si>
  <si>
    <t>60716321</t>
  </si>
  <si>
    <t>MIS HIDMATUL HIKAM</t>
  </si>
  <si>
    <t>Jl. Boran</t>
  </si>
  <si>
    <t>111235130239</t>
  </si>
  <si>
    <t>60716322</t>
  </si>
  <si>
    <t>MIS IHYAUDDINIYAH</t>
  </si>
  <si>
    <t>Jl. Masjid Darussalam, / Dusun Jukoan RT. 015 / RW. 003</t>
  </si>
  <si>
    <t>111235130240</t>
  </si>
  <si>
    <t>69854272</t>
  </si>
  <si>
    <t>MIS KHOLAFIYAH SYAFIIYAH</t>
  </si>
  <si>
    <t>JL. K.H.ABD JALIL RT/RW/01/01 DESA MATEKAN BESUK PROBOLINGGO</t>
  </si>
  <si>
    <t>111235130241</t>
  </si>
  <si>
    <t>60716323</t>
  </si>
  <si>
    <t>MIS MAMBAUL ULUM</t>
  </si>
  <si>
    <t>DUSUN KRAJAN 1 RT 001 RW 001</t>
  </si>
  <si>
    <t>111235130242</t>
  </si>
  <si>
    <t>60716324</t>
  </si>
  <si>
    <t>MIS MIFTAHUL KHAIR</t>
  </si>
  <si>
    <t>JL. HABIB AHMAD</t>
  </si>
  <si>
    <t>111235130243</t>
  </si>
  <si>
    <t>60716325</t>
  </si>
  <si>
    <t>MIS NURUL HIDAYAH</t>
  </si>
  <si>
    <t>DESA MATEKAN KECAMATAN BESUK KAB. PROBOLINGGO</t>
  </si>
  <si>
    <t>111235130244</t>
  </si>
  <si>
    <t>69727153</t>
  </si>
  <si>
    <t>MIS NURUL IMAN</t>
  </si>
  <si>
    <t>Jl.Raya  Besuk-Bucor Km 02 Dusun Cangak</t>
  </si>
  <si>
    <t>111235130245</t>
  </si>
  <si>
    <t>60716326</t>
  </si>
  <si>
    <t>MIS NURUL WAHID AL WAHYUNI</t>
  </si>
  <si>
    <t>JL. K. Katsir Dusun Talar 2</t>
  </si>
  <si>
    <t>111235130246</t>
  </si>
  <si>
    <t>60716327</t>
  </si>
  <si>
    <t>DSN. BEDIAN RT/RW 013/005</t>
  </si>
  <si>
    <t>111235130247</t>
  </si>
  <si>
    <t>60716328</t>
  </si>
  <si>
    <t>MIS RAUDLATUSSALAM</t>
  </si>
  <si>
    <t>JL. RAYA BESUK NO. 242 BESUK AGUNG</t>
  </si>
  <si>
    <t>111235130248</t>
  </si>
  <si>
    <t>60716329</t>
  </si>
  <si>
    <t>MIS TARBIYATUL ISLAM</t>
  </si>
  <si>
    <t>111235130391</t>
  </si>
  <si>
    <t>69894673</t>
  </si>
  <si>
    <t>MIS FIRDAN NADLIRA</t>
  </si>
  <si>
    <t>Jln. DUSUN GENTENGAN RT 14 RW 04</t>
  </si>
  <si>
    <t>111235130336</t>
  </si>
  <si>
    <t>60716330</t>
  </si>
  <si>
    <t>MIS NURUL ISLAM</t>
  </si>
  <si>
    <t>JL. SUNAN GIRI NO. 15 TEGALREJO-DRINGU</t>
  </si>
  <si>
    <t>111235130337</t>
  </si>
  <si>
    <t>60716331</t>
  </si>
  <si>
    <t>MIS DARUN NAJAH</t>
  </si>
  <si>
    <t>JL. RAYA DRINGU NO. 99</t>
  </si>
  <si>
    <t>111235130395</t>
  </si>
  <si>
    <t>69941360</t>
  </si>
  <si>
    <t>MIS AL-AZHAR</t>
  </si>
  <si>
    <t>JL. SINTO RONGGOJALU KM. 1</t>
  </si>
  <si>
    <t>111235130420</t>
  </si>
  <si>
    <t>70037805</t>
  </si>
  <si>
    <t>MIS PLUS AL-QUR'AN AL-AMIN</t>
  </si>
  <si>
    <t>DUSUN SIWALAN</t>
  </si>
  <si>
    <t>111235130152</t>
  </si>
  <si>
    <t>60716332</t>
  </si>
  <si>
    <t>MIS MAMBAUL HASAN</t>
  </si>
  <si>
    <t>JL. RABUNAN</t>
  </si>
  <si>
    <t>111235130153</t>
  </si>
  <si>
    <t>60716269</t>
  </si>
  <si>
    <t>MIS NURUL HASAN</t>
  </si>
  <si>
    <t>DUSUN TANAH MERAH</t>
  </si>
  <si>
    <t>111235130154</t>
  </si>
  <si>
    <t>60716333</t>
  </si>
  <si>
    <t>MIS KHAIRIYAH</t>
  </si>
  <si>
    <t>DUSUN KLEPPO, DESA BATUR, KECAMATAN GADING</t>
  </si>
  <si>
    <t>111235130155</t>
  </si>
  <si>
    <t>60716334</t>
  </si>
  <si>
    <t>MIS ZAINUL ANWAR</t>
  </si>
  <si>
    <t>JL. MASJID DARUN NAIM</t>
  </si>
  <si>
    <t>111235130156</t>
  </si>
  <si>
    <t>60716270</t>
  </si>
  <si>
    <t>JL. SEKARSARI DSN. KRAJAN</t>
  </si>
  <si>
    <t>111235130157</t>
  </si>
  <si>
    <t>60716335</t>
  </si>
  <si>
    <t>MIS HUSNUL KHITAM</t>
  </si>
  <si>
    <t>111235130158</t>
  </si>
  <si>
    <t>60716336</t>
  </si>
  <si>
    <t>MIS IHYAUL IMAN</t>
  </si>
  <si>
    <t>Jl. MASJID AL IMAN DSN KRAJAN</t>
  </si>
  <si>
    <t>111235130159</t>
  </si>
  <si>
    <t>60716337</t>
  </si>
  <si>
    <t>MIS RAUDLATUL HASANIYAH</t>
  </si>
  <si>
    <t>111235130160</t>
  </si>
  <si>
    <t>60716338</t>
  </si>
  <si>
    <t>DUSUN SERREH</t>
  </si>
  <si>
    <t>111235130161</t>
  </si>
  <si>
    <t>60716339</t>
  </si>
  <si>
    <t>MIS IHYAUL ISLAM</t>
  </si>
  <si>
    <t>PRASI</t>
  </si>
  <si>
    <t>111235130162</t>
  </si>
  <si>
    <t>60716340</t>
  </si>
  <si>
    <t>Jl. Hj. Hanifah RT/RW 03/01 Dusun Ramah</t>
  </si>
  <si>
    <t>111235130163</t>
  </si>
  <si>
    <t>60716341</t>
  </si>
  <si>
    <t>JL. KH. ALI RAHBINI DSN. BATAAN KERTOSONO</t>
  </si>
  <si>
    <t>111235130164</t>
  </si>
  <si>
    <t>60716342</t>
  </si>
  <si>
    <t>JL. PANJI LARAS RT. 013 RW. 004 DUSUN KLETEK</t>
  </si>
  <si>
    <t>111235130165</t>
  </si>
  <si>
    <t>60716343</t>
  </si>
  <si>
    <t>MIS TARBIYATUL MUTAALLIMIN</t>
  </si>
  <si>
    <t>DUSUN KRAJAN PRASI GADING PROBOLINGGO JATIM</t>
  </si>
  <si>
    <t>111235130166</t>
  </si>
  <si>
    <t>60716344</t>
  </si>
  <si>
    <t>MIS DARUS SALAM</t>
  </si>
  <si>
    <t>JL. ASAM KOONG PRASI DARIS</t>
  </si>
  <si>
    <t>111235130167</t>
  </si>
  <si>
    <t>60716345</t>
  </si>
  <si>
    <t>MIS NURANIYAH</t>
  </si>
  <si>
    <t>NOGOSAREN</t>
  </si>
  <si>
    <t>111235130168</t>
  </si>
  <si>
    <t>60716346</t>
  </si>
  <si>
    <t>DUSUN LEDUK RT 04 RW 02 DESA KEBEN GADING PROBOLINGGO</t>
  </si>
  <si>
    <t>111235130169</t>
  </si>
  <si>
    <t>60716347</t>
  </si>
  <si>
    <t>MIS MIFTAHULJANNAH</t>
  </si>
  <si>
    <t>Jl Pesantren No 72</t>
  </si>
  <si>
    <t>111235130170</t>
  </si>
  <si>
    <t>60716348</t>
  </si>
  <si>
    <t>MIS MIFTAHUL HASAN</t>
  </si>
  <si>
    <t>Jurangjero</t>
  </si>
  <si>
    <t>111235130171</t>
  </si>
  <si>
    <t>60716349</t>
  </si>
  <si>
    <t>MIS KHOLAFIYAH HASANIYAH</t>
  </si>
  <si>
    <t>GADINGWETAN</t>
  </si>
  <si>
    <t>111235130172</t>
  </si>
  <si>
    <t>60716350</t>
  </si>
  <si>
    <t>MIS NURUL FATTAH</t>
  </si>
  <si>
    <t>Ranuwurung gading probolprobolinggo</t>
  </si>
  <si>
    <t>111235130173</t>
  </si>
  <si>
    <t>60716351</t>
  </si>
  <si>
    <t>DUSUN RANON</t>
  </si>
  <si>
    <t>111235130174</t>
  </si>
  <si>
    <t>60716352</t>
  </si>
  <si>
    <t>JL. KH.MOH.HASAN NO. 99</t>
  </si>
  <si>
    <t>111235130175</t>
  </si>
  <si>
    <t>60716353</t>
  </si>
  <si>
    <t>MIS NU DARUS SALAM</t>
  </si>
  <si>
    <t>Jl.Batu Tulis Dusun Kedung Kajar Rt.24 Rw.09 Dusun Kedung Kajar</t>
  </si>
  <si>
    <t>111235130176</t>
  </si>
  <si>
    <t>60716354</t>
  </si>
  <si>
    <t>JL. KH ASYARI DUSUN GALIR RT 11 RW 4</t>
  </si>
  <si>
    <t>111235130177</t>
  </si>
  <si>
    <t>60716355</t>
  </si>
  <si>
    <t>MIS DINIYATUL ISLAM</t>
  </si>
  <si>
    <t>JL. SUMBER WATU</t>
  </si>
  <si>
    <t>111235130178</t>
  </si>
  <si>
    <t>60716356</t>
  </si>
  <si>
    <t>MIS MAMBAUL HIKAM</t>
  </si>
  <si>
    <t>111235130179</t>
  </si>
  <si>
    <t>60716357</t>
  </si>
  <si>
    <t>JL Thamrin No 01</t>
  </si>
  <si>
    <t>111235130180</t>
  </si>
  <si>
    <t>60716358</t>
  </si>
  <si>
    <t>MIS RAUDLATUL HASAN</t>
  </si>
  <si>
    <t>JL. KH. HASAN SAIFOURIDZALL ZAHA 02 RT. 04 RW. 02 CONDONG</t>
  </si>
  <si>
    <t>111235130181</t>
  </si>
  <si>
    <t>60716359</t>
  </si>
  <si>
    <t>MIS FATIHUL ULUM</t>
  </si>
  <si>
    <t>JL. SEKARMA RT. 011 RT. 004</t>
  </si>
  <si>
    <t>111235130182</t>
  </si>
  <si>
    <t>60716360</t>
  </si>
  <si>
    <t>MIS BAITUL HIKMAH</t>
  </si>
  <si>
    <t>GUNUNG KENIK</t>
  </si>
  <si>
    <t>111235130380</t>
  </si>
  <si>
    <t>60716361</t>
  </si>
  <si>
    <t>MIS DARUL ULUM</t>
  </si>
  <si>
    <t>JL. Sekarma/Dusun Condong Kidul RT. 011 RW. 004</t>
  </si>
  <si>
    <t>111235131009</t>
  </si>
  <si>
    <t>69994696</t>
  </si>
  <si>
    <t>MIS SIROJUL HASAN</t>
  </si>
  <si>
    <t>JL. SEKARSARI DUSUN JANTI</t>
  </si>
  <si>
    <t>111235130396</t>
  </si>
  <si>
    <t>69956232</t>
  </si>
  <si>
    <t>DUSUN PAKIS</t>
  </si>
  <si>
    <t>111235130324</t>
  </si>
  <si>
    <t>60716362</t>
  </si>
  <si>
    <t>MIS DLAUUL ISLAM</t>
  </si>
  <si>
    <t>JL. MASJID AL-HIDAYAH DUSUN KRAMAT</t>
  </si>
  <si>
    <t>111235130325</t>
  </si>
  <si>
    <t>60716363</t>
  </si>
  <si>
    <t>MIS HIDAYATUL ISLAM</t>
  </si>
  <si>
    <t>JL. MASJID AN-NUR DUSUN TAMAN RT. 04 RW. 02 PIKATAN</t>
  </si>
  <si>
    <t>111235130326</t>
  </si>
  <si>
    <t>60716364</t>
  </si>
  <si>
    <t>JL. BANYUBIRU DUSUN KRAJAN BANYUANYAR LOR GENDING PROBOLINGGO</t>
  </si>
  <si>
    <t>111235130327</t>
  </si>
  <si>
    <t>60716365</t>
  </si>
  <si>
    <t>MIS MIFTAHUL JANNAH</t>
  </si>
  <si>
    <t>JL. YOS SUDARSO DUSUN BUYUT RT/RW. 10/04</t>
  </si>
  <si>
    <t>111235130328</t>
  </si>
  <si>
    <t>60716372</t>
  </si>
  <si>
    <t>JL. BANYU BIRU DUSUN PASAR</t>
  </si>
  <si>
    <t>111235130329</t>
  </si>
  <si>
    <t>60716366</t>
  </si>
  <si>
    <t>MIS KHOIRIYAH</t>
  </si>
  <si>
    <t>DUSUN TOGUR 2 RT. 016 RW. 008</t>
  </si>
  <si>
    <t>111235130330</t>
  </si>
  <si>
    <t>60716367</t>
  </si>
  <si>
    <t>MIS SUNAN AMPEL</t>
  </si>
  <si>
    <t>JL. Raya Panglima Sudirman. 26</t>
  </si>
  <si>
    <t>111235130331</t>
  </si>
  <si>
    <t>60716368</t>
  </si>
  <si>
    <t>MIS NURUR ROHMAH</t>
  </si>
  <si>
    <t>JL. LAUT DUSUN PESISIR</t>
  </si>
  <si>
    <t>111235130332</t>
  </si>
  <si>
    <t>60716373</t>
  </si>
  <si>
    <t>MIS RAUDLATUL KHOIR</t>
  </si>
  <si>
    <t>DUSUN KRANDON WETAN</t>
  </si>
  <si>
    <t>111235130333</t>
  </si>
  <si>
    <t>60716369</t>
  </si>
  <si>
    <t>MIS MUHAMMADIYAH 2 PENDIL</t>
  </si>
  <si>
    <t>JL. RAYA SEBAUNG GENDING DUSUN KERTAHRT. 06 RW. 08 SEBAUNG GENDING KAB. PROBOLINGGO</t>
  </si>
  <si>
    <t>111235130334</t>
  </si>
  <si>
    <t>60716370</t>
  </si>
  <si>
    <t>MIS TARBIYATUL ISLAMIYAH</t>
  </si>
  <si>
    <t>Jln. Banyubiru Dusun Karnin Wetan RT.004/RW.002</t>
  </si>
  <si>
    <t>111235130335</t>
  </si>
  <si>
    <t>60716371</t>
  </si>
  <si>
    <t>MIS TARBIYATUSSIBYAN</t>
  </si>
  <si>
    <t>JL. OLAHRAGA PG. GENDING</t>
  </si>
  <si>
    <t>111235130203</t>
  </si>
  <si>
    <t>60716374</t>
  </si>
  <si>
    <t>MIS AL HANAFIYAH</t>
  </si>
  <si>
    <t>JL. RAYA WATU GAJAH-TALKANDANG-KOTAANYAR</t>
  </si>
  <si>
    <t>111235130204</t>
  </si>
  <si>
    <t>60716375</t>
  </si>
  <si>
    <t>MIS RAISUL ANWAR</t>
  </si>
  <si>
    <t>111235130205</t>
  </si>
  <si>
    <t>60716376</t>
  </si>
  <si>
    <t>MIS NURUR RAHMAH</t>
  </si>
  <si>
    <t>Jl. KH. Zainul Muin PP. Nurur Rahmah Dusun Krajan RT/RW .008/004</t>
  </si>
  <si>
    <t>111235130206</t>
  </si>
  <si>
    <t>60716377</t>
  </si>
  <si>
    <t>JL. KH. MALIK IBRAHIM RT. 08/02 DESA SIDOREJO</t>
  </si>
  <si>
    <t>111235130207</t>
  </si>
  <si>
    <t>60716378</t>
  </si>
  <si>
    <t>Dusun 01 Krajan RT.12 RW.04 Desa Sambirampak Kidul</t>
  </si>
  <si>
    <t>111235130208</t>
  </si>
  <si>
    <t>60716379</t>
  </si>
  <si>
    <t>MIS RAUDLATUS SHALIHIN</t>
  </si>
  <si>
    <t>Jl. Besuk - Kotaanyar</t>
  </si>
  <si>
    <t>111235130209</t>
  </si>
  <si>
    <t>60716380</t>
  </si>
  <si>
    <t>MIS IHYAUL ISLAM SAMBIRAMPAK LOR</t>
  </si>
  <si>
    <t>JL. RAYA WATU GAJAH DSN KRESEK LOR</t>
  </si>
  <si>
    <t>111235130210</t>
  </si>
  <si>
    <t>60716381</t>
  </si>
  <si>
    <t>MIS NURUL FATA</t>
  </si>
  <si>
    <t>111235130211</t>
  </si>
  <si>
    <t>60716382</t>
  </si>
  <si>
    <t>MIS NURUL HASANIYAH</t>
  </si>
  <si>
    <t>JL. BLIMBING DUSUN ASEMJAJAR RT/RW. 002/001DESA SIDOMULYO</t>
  </si>
  <si>
    <t>111235130212</t>
  </si>
  <si>
    <t>60716383</t>
  </si>
  <si>
    <t>JL. KH.HASAN BASHRI SAMBIRAMPAK LOR</t>
  </si>
  <si>
    <t>111235130213</t>
  </si>
  <si>
    <t>60716384</t>
  </si>
  <si>
    <t>MIS NURUS SALAM</t>
  </si>
  <si>
    <t>Jl.gondosuli Dusun Ii Utara Rt/rw 018/006</t>
  </si>
  <si>
    <t>111235130373</t>
  </si>
  <si>
    <t>60716385</t>
  </si>
  <si>
    <t>MIS MIFTAHUL KHOIR</t>
  </si>
  <si>
    <t>DUSUN KOLORAN RT. : 022 / RW. :004</t>
  </si>
  <si>
    <t>111235130384</t>
  </si>
  <si>
    <t>60716386</t>
  </si>
  <si>
    <t>MIS ISLAMIYAH SYAFI IYAH</t>
  </si>
  <si>
    <t>DUSUN KRAJAN RT. 13 RW. 04</t>
  </si>
  <si>
    <t>111235130423</t>
  </si>
  <si>
    <t>70036739</t>
  </si>
  <si>
    <t>MI AINUR RAHMAN TAMBAK UKIR</t>
  </si>
  <si>
    <t>Dusun Alas Kembang RT. 007 Rw. 004</t>
  </si>
  <si>
    <t>111235130249</t>
  </si>
  <si>
    <t>60716414</t>
  </si>
  <si>
    <t>MIS NURUL QUR'AN</t>
  </si>
  <si>
    <t>JL. IR. H. JUANDA NO. 41 RT 03 RW 05</t>
  </si>
  <si>
    <t>111235130250</t>
  </si>
  <si>
    <t>60716415</t>
  </si>
  <si>
    <t>MIS NURUL ABROR</t>
  </si>
  <si>
    <t>JL. KARANGANYAR 123 RT 07 RW 04</t>
  </si>
  <si>
    <t>111235130251</t>
  </si>
  <si>
    <t>60716416</t>
  </si>
  <si>
    <t>JL. RAYA PANGLIMA SUDIRMAN NO. 374</t>
  </si>
  <si>
    <t>111235130252</t>
  </si>
  <si>
    <t>60716417</t>
  </si>
  <si>
    <t>MIS SYEKH ABDUL QODIR AL-JAILANI</t>
  </si>
  <si>
    <t>JL. JOGOSARI NO. 09</t>
  </si>
  <si>
    <t>111235130253</t>
  </si>
  <si>
    <t>60716418</t>
  </si>
  <si>
    <t>MIS AL IMAN</t>
  </si>
  <si>
    <t>JL. LETJEN SOEPRAPTO NO. 946</t>
  </si>
  <si>
    <t>111235130254</t>
  </si>
  <si>
    <t>60716419</t>
  </si>
  <si>
    <t>MIS TARBIYATUL WATHAN</t>
  </si>
  <si>
    <t>Jl. KH. Abdurrahman Wahid</t>
  </si>
  <si>
    <t>111235130255</t>
  </si>
  <si>
    <t>60716420</t>
  </si>
  <si>
    <t>111235130256</t>
  </si>
  <si>
    <t>60716421</t>
  </si>
  <si>
    <t>JL. PELABUHAN NO. 381</t>
  </si>
  <si>
    <t>111235130257</t>
  </si>
  <si>
    <t>60716422</t>
  </si>
  <si>
    <t>MIS NURUL ISTIQOMAH</t>
  </si>
  <si>
    <t>Dusun Asemkandang</t>
  </si>
  <si>
    <t>111235130258</t>
  </si>
  <si>
    <t>60716423</t>
  </si>
  <si>
    <t>111235130259</t>
  </si>
  <si>
    <t>60716424</t>
  </si>
  <si>
    <t>MIS AL-FALAH</t>
  </si>
  <si>
    <t>Jln. PP Sirojul Islam</t>
  </si>
  <si>
    <t>111235130261</t>
  </si>
  <si>
    <t>60716425</t>
  </si>
  <si>
    <t>JL. DR SOETOMO</t>
  </si>
  <si>
    <t>111235130262</t>
  </si>
  <si>
    <t>60716426</t>
  </si>
  <si>
    <t>DUSUN MASJID RT. 02 RW. 01 ALASSUMUR KULON</t>
  </si>
  <si>
    <t>111235130263</t>
  </si>
  <si>
    <t>60716427</t>
  </si>
  <si>
    <t>Jl. Ir. H. Juanda No. 436</t>
  </si>
  <si>
    <t>111235130425</t>
  </si>
  <si>
    <t>70033905</t>
  </si>
  <si>
    <t>MI DARUL LUGHAH WAL KAROMAH</t>
  </si>
  <si>
    <t>Jl. Mayjen Panjaitan RT.002/RW.002</t>
  </si>
  <si>
    <t>111235130427</t>
  </si>
  <si>
    <t>70033943</t>
  </si>
  <si>
    <t>MI AR ROHMAH PATOKAN</t>
  </si>
  <si>
    <t>Jl. Raya Panglima Sudirman Gang Melati No.74 Rt/Rw 007/001 Kelurahan Patokan</t>
  </si>
  <si>
    <t>111235130428</t>
  </si>
  <si>
    <t>70033158</t>
  </si>
  <si>
    <t>MI NURUD DZALAM</t>
  </si>
  <si>
    <t>Dusun Wakaf RT. 003 RW. 007</t>
  </si>
  <si>
    <t>111235130264</t>
  </si>
  <si>
    <t>60716387</t>
  </si>
  <si>
    <t>MIS RAUDLATUL MUTAALIMIN</t>
  </si>
  <si>
    <t>Jl. Pahlawan No. 212 RT 03 RW 02</t>
  </si>
  <si>
    <t>111235130265</t>
  </si>
  <si>
    <t>60716388</t>
  </si>
  <si>
    <t>DUSUN KRAJAN DESA SENTONG</t>
  </si>
  <si>
    <t>111235130266</t>
  </si>
  <si>
    <t>60716389</t>
  </si>
  <si>
    <t>MIS AL HUSNA</t>
  </si>
  <si>
    <t>JL. KH.MUH. KHAZIN</t>
  </si>
  <si>
    <t>111235130267</t>
  </si>
  <si>
    <t>60716390</t>
  </si>
  <si>
    <t>MIS IRTIQOIYAH</t>
  </si>
  <si>
    <t>BANI QOMARIZZAMAN DUSUN KRAJAN  DESA SENTONG</t>
  </si>
  <si>
    <t>111235130268</t>
  </si>
  <si>
    <t>60716391</t>
  </si>
  <si>
    <t>MIS AL AZHAR</t>
  </si>
  <si>
    <t>111235130269</t>
  </si>
  <si>
    <t>60716392</t>
  </si>
  <si>
    <t>MIS SYU'BATUL KHOLAFIYAH</t>
  </si>
  <si>
    <t>DSN. KURIPAN DESA JATIURIP</t>
  </si>
  <si>
    <t>111235130270</t>
  </si>
  <si>
    <t>60716393</t>
  </si>
  <si>
    <t>MIS IHYAUS SUNNAH</t>
  </si>
  <si>
    <t>Dusun Opo-Opo Lor</t>
  </si>
  <si>
    <t>111235130271</t>
  </si>
  <si>
    <t>60716394</t>
  </si>
  <si>
    <t>Jalan Kasengan RT 001 RW 002</t>
  </si>
  <si>
    <t>111235130272</t>
  </si>
  <si>
    <t>60716395</t>
  </si>
  <si>
    <t>111235130273</t>
  </si>
  <si>
    <t>60716396</t>
  </si>
  <si>
    <t>MIS RAUDLATUL MUTAALLIMIN</t>
  </si>
  <si>
    <t>JL. DUSUN KRAJAN NO. 20 DESA OPO-OPO KEC. KREJENGAN KAB. PROBOLINGGO</t>
  </si>
  <si>
    <t>111235130274</t>
  </si>
  <si>
    <t>60716397</t>
  </si>
  <si>
    <t>MIS NURUD DHOLAM</t>
  </si>
  <si>
    <t>Dusun Lamur</t>
  </si>
  <si>
    <t>111235130275</t>
  </si>
  <si>
    <t>60716398</t>
  </si>
  <si>
    <t>MIS RAUDLATUL ISLAMIYAH</t>
  </si>
  <si>
    <t>SOKAAN</t>
  </si>
  <si>
    <t>111235130276</t>
  </si>
  <si>
    <t>60716399</t>
  </si>
  <si>
    <t>MIS SIRAJUL ULUM</t>
  </si>
  <si>
    <t>Jl. Makam Umum Curahkates</t>
  </si>
  <si>
    <t>111235130277</t>
  </si>
  <si>
    <t>60716400</t>
  </si>
  <si>
    <t>JL. KH SADULLAH RAWAN</t>
  </si>
  <si>
    <t>111235130278</t>
  </si>
  <si>
    <t>60716401</t>
  </si>
  <si>
    <t>MIS IZZUL ISLAM</t>
  </si>
  <si>
    <t>JL. PP. SUBULUL MAARIF</t>
  </si>
  <si>
    <t>111235130279</t>
  </si>
  <si>
    <t>60716402</t>
  </si>
  <si>
    <t>MIS MANBAUL ULUM</t>
  </si>
  <si>
    <t>Jl.Kh. Abd Mukti</t>
  </si>
  <si>
    <t>111235130280</t>
  </si>
  <si>
    <t>60716403</t>
  </si>
  <si>
    <t>Jln. KH. Moh. Hasan Genggong No. 1 Dusun Krajan RT 004 /  RW 001</t>
  </si>
  <si>
    <t>111235130281</t>
  </si>
  <si>
    <t>60716404</t>
  </si>
  <si>
    <t>JL. DEPAN MASJID AL ALA DUSUN KRAJAN I RT05 RW02 DESA JATIURIP</t>
  </si>
  <si>
    <t>111235130282</t>
  </si>
  <si>
    <t>60716405</t>
  </si>
  <si>
    <t>JL. KASENGAN</t>
  </si>
  <si>
    <t>111235130283</t>
  </si>
  <si>
    <t>60716406</t>
  </si>
  <si>
    <t>MIS RAUDLATUL FAIZIN</t>
  </si>
  <si>
    <t>DUSUN KARANG ANYAR SOKAAN</t>
  </si>
  <si>
    <t>111235130284</t>
  </si>
  <si>
    <t>60716407</t>
  </si>
  <si>
    <t>MIS DARUT TAUHID</t>
  </si>
  <si>
    <t>JL. KH HASAN SYAIFURRIDZAL</t>
  </si>
  <si>
    <t>111235130285</t>
  </si>
  <si>
    <t>60716408</t>
  </si>
  <si>
    <t>Dusun Gunung Wurung</t>
  </si>
  <si>
    <t>111235130286</t>
  </si>
  <si>
    <t>60716409</t>
  </si>
  <si>
    <t>111235130287</t>
  </si>
  <si>
    <t>60716410</t>
  </si>
  <si>
    <t>MIS HIDAYATUL MUTAALLIMIN</t>
  </si>
  <si>
    <t>DUSUN PARSEH RT/RW. 01/03</t>
  </si>
  <si>
    <t>111235130288</t>
  </si>
  <si>
    <t>60716411</t>
  </si>
  <si>
    <t>Masjid Al Firdaus Dusun Krajan I</t>
  </si>
  <si>
    <t>111235130431</t>
  </si>
  <si>
    <t>70034678</t>
  </si>
  <si>
    <t>MI BAROKATUL HASAN</t>
  </si>
  <si>
    <t>Dusun Asem</t>
  </si>
  <si>
    <t>111235130123</t>
  </si>
  <si>
    <t>60716431</t>
  </si>
  <si>
    <t>DUSUN COCOK</t>
  </si>
  <si>
    <t>111235130124</t>
  </si>
  <si>
    <t>60716432</t>
  </si>
  <si>
    <t>MIS HAYATUL ISLAM</t>
  </si>
  <si>
    <t>DSN KARANG TENGAH RT/RW 11/04.</t>
  </si>
  <si>
    <t>111235130125</t>
  </si>
  <si>
    <t>60716433</t>
  </si>
  <si>
    <t>DUSUN MANGGISAN RT.10/RW.03</t>
  </si>
  <si>
    <t>111235130126</t>
  </si>
  <si>
    <t>60716434</t>
  </si>
  <si>
    <t>MIS MIFTAHUL ULUM WATUPANJANG</t>
  </si>
  <si>
    <t>DUSUN PESAPEN RT. 007 RW. 003</t>
  </si>
  <si>
    <t>111235130127</t>
  </si>
  <si>
    <t>60716435</t>
  </si>
  <si>
    <t>MIS IHYAUL ULUM</t>
  </si>
  <si>
    <t>PANDANLARAS</t>
  </si>
  <si>
    <t>111235130128</t>
  </si>
  <si>
    <t>60716436</t>
  </si>
  <si>
    <t>MIS ZAINUL HASAN 2</t>
  </si>
  <si>
    <t>DSN TIMUR RT.09 RW.02  DESA TAMBELANG</t>
  </si>
  <si>
    <t>111235130129</t>
  </si>
  <si>
    <t>60716437</t>
  </si>
  <si>
    <t>DUSUN LEBBE RT. 15/08</t>
  </si>
  <si>
    <t>111235130130</t>
  </si>
  <si>
    <t>60716438</t>
  </si>
  <si>
    <t>MIS KARAMATULLAH</t>
  </si>
  <si>
    <t>BETEK</t>
  </si>
  <si>
    <t>111235130131</t>
  </si>
  <si>
    <t>60716439</t>
  </si>
  <si>
    <t>MIS RAUDLATUL ISLAM</t>
  </si>
  <si>
    <t>JL. SENDIWAN DSN.BAGUR RT. 05 RW. 02 DESA SENENG KECAMATAN KRUCIL</t>
  </si>
  <si>
    <t>111235130132</t>
  </si>
  <si>
    <t>60716440</t>
  </si>
  <si>
    <t>Dusun Mandati RT 013 RW 004</t>
  </si>
  <si>
    <t>111235130133</t>
  </si>
  <si>
    <t>69894674</t>
  </si>
  <si>
    <t>MIS NURUL ISLAM 2</t>
  </si>
  <si>
    <t>111235130134</t>
  </si>
  <si>
    <t>60716441</t>
  </si>
  <si>
    <t>PESAPEN DESA WATU PANJANG</t>
  </si>
  <si>
    <t>111235130135</t>
  </si>
  <si>
    <t>60716442</t>
  </si>
  <si>
    <t>DUSUN SENENG, DESA SENENG</t>
  </si>
  <si>
    <t>111235130136</t>
  </si>
  <si>
    <t>60716443</t>
  </si>
  <si>
    <t>DSN LAOK SONGAI RT 12 RW 003</t>
  </si>
  <si>
    <t>111235130137</t>
  </si>
  <si>
    <t>60716444</t>
  </si>
  <si>
    <t>MIS MIFTAHUL ULUM 1</t>
  </si>
  <si>
    <t>DUSUN PENANG PAEK RT15/RW05</t>
  </si>
  <si>
    <t>111235130138</t>
  </si>
  <si>
    <t>69932017</t>
  </si>
  <si>
    <t>DUSUN KALITENGAH</t>
  </si>
  <si>
    <t>111235130139</t>
  </si>
  <si>
    <t>60716445</t>
  </si>
  <si>
    <t>MIS NURUL JANNAH</t>
  </si>
  <si>
    <t>DUSUN KEBUN PANAS</t>
  </si>
  <si>
    <t>111235130140</t>
  </si>
  <si>
    <t>60716446</t>
  </si>
  <si>
    <t>JL. AIR TERJUN KALI PEDATI</t>
  </si>
  <si>
    <t>111235130141</t>
  </si>
  <si>
    <t>60716447</t>
  </si>
  <si>
    <t>MIS NURUL ISLAM 1</t>
  </si>
  <si>
    <t>DUSUN RAWA RT. 03 RW. 01</t>
  </si>
  <si>
    <t>111235130142</t>
  </si>
  <si>
    <t>60716448</t>
  </si>
  <si>
    <t>MIS MIFTAHUL ISLAM BERMI</t>
  </si>
  <si>
    <t>DUSUN TENGAN RT.09 RW.02  DESA BERMI</t>
  </si>
  <si>
    <t>111235130143</t>
  </si>
  <si>
    <t>60716449</t>
  </si>
  <si>
    <t>DUSUN SUMBERAN RT. 14 RW. 04</t>
  </si>
  <si>
    <t>111235130144</t>
  </si>
  <si>
    <t>69854273</t>
  </si>
  <si>
    <t>DSN. SUMBER KEMBANG RT. 05 RW. 02</t>
  </si>
  <si>
    <t>111235130145</t>
  </si>
  <si>
    <t>60716450</t>
  </si>
  <si>
    <t>MIS DARUL ULUM SENENG</t>
  </si>
  <si>
    <t>DSN. SUKO RT. 16 RW. 04 DESA SENENG</t>
  </si>
  <si>
    <t>111235130146</t>
  </si>
  <si>
    <t>60716451</t>
  </si>
  <si>
    <t>MIS DARUL ULUM 2</t>
  </si>
  <si>
    <t>111235130147</t>
  </si>
  <si>
    <t>69894675</t>
  </si>
  <si>
    <t>MIS NUR HAYATUL ISLAM</t>
  </si>
  <si>
    <t>DUSUN KRAJAN SUMBERDUREN KRUCIL</t>
  </si>
  <si>
    <t>111235130148</t>
  </si>
  <si>
    <t>60716452</t>
  </si>
  <si>
    <t>MIS MIFTAHUL ISLAM</t>
  </si>
  <si>
    <t>111235130149</t>
  </si>
  <si>
    <t>60716453</t>
  </si>
  <si>
    <t>MIS ZAINUDDIN</t>
  </si>
  <si>
    <t>DUSUN KALIMANGUK RT 08 RW 02</t>
  </si>
  <si>
    <t>111235130150</t>
  </si>
  <si>
    <t>60716454</t>
  </si>
  <si>
    <t>Dsn Jrenjeng Desa Kertosuko Kecamatan Krucil Kab. Probolinggo</t>
  </si>
  <si>
    <t>111235130151</t>
  </si>
  <si>
    <t>60716455</t>
  </si>
  <si>
    <t>MIS ARROHMAH</t>
  </si>
  <si>
    <t>111235130369</t>
  </si>
  <si>
    <t>60716456</t>
  </si>
  <si>
    <t>MIS MUHAMMAD SHODIQ</t>
  </si>
  <si>
    <t>JL. KERTAKATA  BARAT RT. 005 RW. 002</t>
  </si>
  <si>
    <t>111235130383</t>
  </si>
  <si>
    <t>60728849</t>
  </si>
  <si>
    <t>MIS NURUL MUBTADIIEN</t>
  </si>
  <si>
    <t>DUSUN MELOAN</t>
  </si>
  <si>
    <t>111235130400</t>
  </si>
  <si>
    <t>69928000</t>
  </si>
  <si>
    <t>MIS MISMIFTAHUL JANNAH</t>
  </si>
  <si>
    <t>111235131002</t>
  </si>
  <si>
    <t>69963410</t>
  </si>
  <si>
    <t>MIS AL-HIDAYAH MUHAMMAD SHODIQ</t>
  </si>
  <si>
    <t>DUSUN DUREN RT. 05 RW. 02</t>
  </si>
  <si>
    <t>111235131010</t>
  </si>
  <si>
    <t>69993541</t>
  </si>
  <si>
    <t>MIS TARBIYATUS SHIBYAN</t>
  </si>
  <si>
    <t>111235131013</t>
  </si>
  <si>
    <t>70042563</t>
  </si>
  <si>
    <t>Jalan Jeruk Parengan</t>
  </si>
  <si>
    <t>111235130001</t>
  </si>
  <si>
    <t>60716459</t>
  </si>
  <si>
    <t>MENYONO</t>
  </si>
  <si>
    <t>111235130002</t>
  </si>
  <si>
    <t>69726683</t>
  </si>
  <si>
    <t>Jl. Raya Kuripan, Dusun Sumbersari RT 001 RW 003</t>
  </si>
  <si>
    <t>111235130003</t>
  </si>
  <si>
    <t>60716460</t>
  </si>
  <si>
    <t>MIS MIFTAHUL ULUM JATISARI</t>
  </si>
  <si>
    <t>111235130004</t>
  </si>
  <si>
    <t>69819601</t>
  </si>
  <si>
    <t>MIS MIFTAHUL HIDAYAH</t>
  </si>
  <si>
    <t>JL. KEBBANGAN DUSUN WATUEWUH</t>
  </si>
  <si>
    <t>111235130381</t>
  </si>
  <si>
    <t>69728016</t>
  </si>
  <si>
    <t>MIS DARUL FALAH</t>
  </si>
  <si>
    <t>TRUNO REJO NO. 17 DUSUN PEKALONGAN RT. 12 RW. 04</t>
  </si>
  <si>
    <t>111235130382</t>
  </si>
  <si>
    <t>20579293</t>
  </si>
  <si>
    <t>MIS AL IDRISIYAH</t>
  </si>
  <si>
    <t>Dusun Pusunglor Rt 11 Rw 03</t>
  </si>
  <si>
    <t>111235130390</t>
  </si>
  <si>
    <t>69854274</t>
  </si>
  <si>
    <t>MIS ZAINUL FALAH</t>
  </si>
  <si>
    <t>Jl Raya Resongo No 01.</t>
  </si>
  <si>
    <t>111235130424</t>
  </si>
  <si>
    <t>70034661</t>
  </si>
  <si>
    <t>MI DARUL FALAH</t>
  </si>
  <si>
    <t>Dusun Sumber Tumpang</t>
  </si>
  <si>
    <t>111235130999</t>
  </si>
  <si>
    <t>69963409</t>
  </si>
  <si>
    <t>MIS RADEN SA ID SUNAN KALIJAGA</t>
  </si>
  <si>
    <t>Dusun Kedung Glagah RT.02 RW.04</t>
  </si>
  <si>
    <t>111235130021</t>
  </si>
  <si>
    <t>60716461</t>
  </si>
  <si>
    <t>MIS AINUL YAQIN</t>
  </si>
  <si>
    <t>Jl. Ky Hasyim. Jorongan Leces.</t>
  </si>
  <si>
    <t>111235130024</t>
  </si>
  <si>
    <t>60716462</t>
  </si>
  <si>
    <t>JL. RAYA LUMAJANG NO. 89 DUSUN KOLLA</t>
  </si>
  <si>
    <t>111235130025</t>
  </si>
  <si>
    <t>60716463</t>
  </si>
  <si>
    <t>MIS MISBAHUT THOLIBIN</t>
  </si>
  <si>
    <t>JL. LUMAJANG GG. KYAI ABD. BASYIR</t>
  </si>
  <si>
    <t>111235130026</t>
  </si>
  <si>
    <t>60716464</t>
  </si>
  <si>
    <t>Jl.Pesantren Dusun Kerpangan  Selatan Kec.Leces Kab.Probolinggo</t>
  </si>
  <si>
    <t>111235130027</t>
  </si>
  <si>
    <t>60716465</t>
  </si>
  <si>
    <t>JL. JAMTOKO GG. MASJID NO. 115 DESA CLARAK KEC. LECES KAB. PROBOLINGGO</t>
  </si>
  <si>
    <t>111235130028</t>
  </si>
  <si>
    <t>60716466</t>
  </si>
  <si>
    <t>MIS ZAINUL IRSYAD</t>
  </si>
  <si>
    <t>JL. LUMAJANG NO. 50 KITERAN</t>
  </si>
  <si>
    <t>111235130030</t>
  </si>
  <si>
    <t>60716467</t>
  </si>
  <si>
    <t>JL. PAHLAWAN II NO. 86 LECES</t>
  </si>
  <si>
    <t>111235130031</t>
  </si>
  <si>
    <t>60716468</t>
  </si>
  <si>
    <t>DUSUN RA AS</t>
  </si>
  <si>
    <t>111235130032</t>
  </si>
  <si>
    <t>60716469</t>
  </si>
  <si>
    <t>PONDOK WULUH</t>
  </si>
  <si>
    <t>111235130033</t>
  </si>
  <si>
    <t>60716470</t>
  </si>
  <si>
    <t>Jalan Raya Lumajang No 120</t>
  </si>
  <si>
    <t>111235130034</t>
  </si>
  <si>
    <t>60716471</t>
  </si>
  <si>
    <t>MIS SABILAL MUHTADIN</t>
  </si>
  <si>
    <t>DUSUN CURAH WATU</t>
  </si>
  <si>
    <t>111235130035</t>
  </si>
  <si>
    <t>60716472</t>
  </si>
  <si>
    <t>MIS RIYADLUS SHOLIHIN</t>
  </si>
  <si>
    <t>111235130036</t>
  </si>
  <si>
    <t>60716473</t>
  </si>
  <si>
    <t>MIS SULLAMUL HIDAYAH</t>
  </si>
  <si>
    <t>Jl. Ky Maksum Jorongan</t>
  </si>
  <si>
    <t>111235130038</t>
  </si>
  <si>
    <t>60716474</t>
  </si>
  <si>
    <t>Dusun Curah Windu</t>
  </si>
  <si>
    <t>111235130039</t>
  </si>
  <si>
    <t>60716475</t>
  </si>
  <si>
    <t>JL. KY. SEKAR DUSUN MULURAN 115</t>
  </si>
  <si>
    <t>111235131005</t>
  </si>
  <si>
    <t>69977707</t>
  </si>
  <si>
    <t>MIS HIKMATUL HASANAH</t>
  </si>
  <si>
    <t>DUSUN GONGGO, Rt 004 Rw 001</t>
  </si>
  <si>
    <t>111235131007</t>
  </si>
  <si>
    <t>69977709</t>
  </si>
  <si>
    <t>MIS TARBIYATUL MUBTADIIN</t>
  </si>
  <si>
    <t>DUSUN DRANDANG RT/RW. 06/01 DESA TIGASAN WETAN</t>
  </si>
  <si>
    <t>111235130346</t>
  </si>
  <si>
    <t>60716476</t>
  </si>
  <si>
    <t>MIS ZAINUL HASANIYAH</t>
  </si>
  <si>
    <t>111235130347</t>
  </si>
  <si>
    <t>60716477</t>
  </si>
  <si>
    <t>MIS AL HIDAYAH</t>
  </si>
  <si>
    <t>Jl.Madakaripura Dsn Ketangi</t>
  </si>
  <si>
    <t>111235130348</t>
  </si>
  <si>
    <t>60716478</t>
  </si>
  <si>
    <t>MIS DARUS SHOLIHIN</t>
  </si>
  <si>
    <t>BOTO</t>
  </si>
  <si>
    <t>111235130385</t>
  </si>
  <si>
    <t>69726687</t>
  </si>
  <si>
    <t>MIS MAULANA</t>
  </si>
  <si>
    <t>DUSUN SEKAR PUTIH DESA BOTO KECAMATAN LUMBANG</t>
  </si>
  <si>
    <t>111235130426</t>
  </si>
  <si>
    <t>70036884</t>
  </si>
  <si>
    <t>MI NURUL HIDAYAH</t>
  </si>
  <si>
    <t>DUSUN SEPAT</t>
  </si>
  <si>
    <t>111235130998</t>
  </si>
  <si>
    <t>69977702</t>
  </si>
  <si>
    <t>DESA SAPIH DUSUN SAPIH SARIREJO</t>
  </si>
  <si>
    <t>111135130002</t>
  </si>
  <si>
    <t>60716480</t>
  </si>
  <si>
    <t>MIN 2 PROBOLINGGO</t>
  </si>
  <si>
    <t>negeri</t>
  </si>
  <si>
    <t>JL. SUNAN GIRI NO. 15 MARON KAB. PROBOLINGGO</t>
  </si>
  <si>
    <t>111235130301</t>
  </si>
  <si>
    <t>60716481</t>
  </si>
  <si>
    <t>MIS SUNAN BONANG II</t>
  </si>
  <si>
    <t>111235130302</t>
  </si>
  <si>
    <t>60716482</t>
  </si>
  <si>
    <t>MIS IHYAUL ISLAM I</t>
  </si>
  <si>
    <t>DSN. KRAMAT</t>
  </si>
  <si>
    <t>111235130303</t>
  </si>
  <si>
    <t>60716483</t>
  </si>
  <si>
    <t>MIS SUNAN BONANG 1</t>
  </si>
  <si>
    <t>JL. HABIB HUSEIN RT. 07 RW. 02</t>
  </si>
  <si>
    <t>111235130304</t>
  </si>
  <si>
    <t>60716484</t>
  </si>
  <si>
    <t>Jln. Sumber Secang RT 016/RW 003, Gang Bujuk Yusup, Dusun Asinan</t>
  </si>
  <si>
    <t>111235130305</t>
  </si>
  <si>
    <t>60716485</t>
  </si>
  <si>
    <t>MIS SAQ JAELANI</t>
  </si>
  <si>
    <t>JL. ASMALI</t>
  </si>
  <si>
    <t>111235130306</t>
  </si>
  <si>
    <t>60716502</t>
  </si>
  <si>
    <t>MIS IRSYADUL ULUM</t>
  </si>
  <si>
    <t>111235130307</t>
  </si>
  <si>
    <t>60716486</t>
  </si>
  <si>
    <t>MIS MIFTAHUL ULUM I</t>
  </si>
  <si>
    <t>DUSUN MASJID RT.008/RW.003</t>
  </si>
  <si>
    <t>111235130308</t>
  </si>
  <si>
    <t>60716487</t>
  </si>
  <si>
    <t>DUSUN KRAJAN RT.03 RW.01</t>
  </si>
  <si>
    <t>111235130309</t>
  </si>
  <si>
    <t>60716488</t>
  </si>
  <si>
    <t>DUSUN NANAS RT. 01 RW. 01</t>
  </si>
  <si>
    <t>111235130310</t>
  </si>
  <si>
    <t>60716489</t>
  </si>
  <si>
    <t>MIS RAUDLATUL JANNAH I</t>
  </si>
  <si>
    <t>DUSUN KRAJAN RT. 04 RW. 01 SUMBERPOH</t>
  </si>
  <si>
    <t>111235130311</t>
  </si>
  <si>
    <t>60716490</t>
  </si>
  <si>
    <t>MIS SUNAN AMPEL II</t>
  </si>
  <si>
    <t>JL.MASJID JAMIK NURUL ANWAR</t>
  </si>
  <si>
    <t>111235130312</t>
  </si>
  <si>
    <t>60716491</t>
  </si>
  <si>
    <t>DUSUN KRAJAN RT. 06 RW. 02</t>
  </si>
  <si>
    <t>111235130313</t>
  </si>
  <si>
    <t>60716492</t>
  </si>
  <si>
    <t>MIS RAUDHATUL JANNAH 2</t>
  </si>
  <si>
    <t>DUSUN ARAH</t>
  </si>
  <si>
    <t>111235130314</t>
  </si>
  <si>
    <t>60716493</t>
  </si>
  <si>
    <t>MIS IHYAUL ISLAM II</t>
  </si>
  <si>
    <t>JL. MASJID AL-QIROM RT. 05/RW. 01</t>
  </si>
  <si>
    <t>111235130315</t>
  </si>
  <si>
    <t>60716494</t>
  </si>
  <si>
    <t>MIS HASANUDDIN</t>
  </si>
  <si>
    <t>DUSUN KRAJAN SATREYAN</t>
  </si>
  <si>
    <t>111235130316</t>
  </si>
  <si>
    <t>60716495</t>
  </si>
  <si>
    <t>MIS NIZHAMUL ISLAM</t>
  </si>
  <si>
    <t>JL. K. A MADRUKI DUSUN SUKUN RT. 007 RW.002</t>
  </si>
  <si>
    <t>111235130317</t>
  </si>
  <si>
    <t>60716496</t>
  </si>
  <si>
    <t>JL. SIMPANG 3 BLOK ASEM DESA GANTING KULON KECAMATAN MARON KABUPATEN PROBOLINGGO</t>
  </si>
  <si>
    <t>111235130318</t>
  </si>
  <si>
    <t>60716497</t>
  </si>
  <si>
    <t>MIS NU SUNAN AMPEL 1</t>
  </si>
  <si>
    <t>JL. RAYA NO. 244 WONOREJO</t>
  </si>
  <si>
    <t>111235130319</t>
  </si>
  <si>
    <t>60716498</t>
  </si>
  <si>
    <t>DUSUN KRAJAN RT.002 / RW.001</t>
  </si>
  <si>
    <t>111235130320</t>
  </si>
  <si>
    <t>60716499</t>
  </si>
  <si>
    <t>MIS QOIMATUL ISLAM</t>
  </si>
  <si>
    <t>DUSUN PARAS RT. 11/RW. 03 DESA PEGALANGAN KIDUL</t>
  </si>
  <si>
    <t>111235130321</t>
  </si>
  <si>
    <t>60716500</t>
  </si>
  <si>
    <t>JL. KH. HASAN SAIFOURRIDZALL MARON KULON</t>
  </si>
  <si>
    <t>111235130323</t>
  </si>
  <si>
    <t>60716501</t>
  </si>
  <si>
    <t>MIS LUBBUL LABIB PUTRI</t>
  </si>
  <si>
    <t>JL. KH. ACH. QUSYAIRI KEDUNGSARI</t>
  </si>
  <si>
    <t>111235130915</t>
  </si>
  <si>
    <t>60716503</t>
  </si>
  <si>
    <t>MIS LUBBUL LABIB PUTRA</t>
  </si>
  <si>
    <t>JL. KH. ACH. QUSYAIRI KEDUNGSARI MARON PROBOLINGGO</t>
  </si>
  <si>
    <t>111235130997</t>
  </si>
  <si>
    <t>60716504</t>
  </si>
  <si>
    <t>MIS IRSYADUL HASAN</t>
  </si>
  <si>
    <t>Kyai Sholeh Mistu, Dusun Bandungan</t>
  </si>
  <si>
    <t>111135130001</t>
  </si>
  <si>
    <t>60716505</t>
  </si>
  <si>
    <t>MIN 1 PROBOLINGGO</t>
  </si>
  <si>
    <t>111235130214</t>
  </si>
  <si>
    <t>60716506</t>
  </si>
  <si>
    <t>MIS RAUDLATUL MUTA'ALLIMIN</t>
  </si>
  <si>
    <t>JL. PAKUNIRAN DSN TAMAN RT 09/RW 04</t>
  </si>
  <si>
    <t>111235130215</t>
  </si>
  <si>
    <t>60716507</t>
  </si>
  <si>
    <t>JL.PP.AL-HIDAYAH</t>
  </si>
  <si>
    <t>111235130216</t>
  </si>
  <si>
    <t>60716508</t>
  </si>
  <si>
    <t>JL. PAKUNIRAN</t>
  </si>
  <si>
    <t>111235130217</t>
  </si>
  <si>
    <t>60716509</t>
  </si>
  <si>
    <t>MIS AL-WUSTHA</t>
  </si>
  <si>
    <t>SUMBEREJO</t>
  </si>
  <si>
    <t>111235130218</t>
  </si>
  <si>
    <t>60716510</t>
  </si>
  <si>
    <t>MIS BUSTANUL ABIDIN</t>
  </si>
  <si>
    <t>JL. RAYA BESUK</t>
  </si>
  <si>
    <t>111235130219</t>
  </si>
  <si>
    <t>60716511</t>
  </si>
  <si>
    <t>MIS RAUDLATUL MUNADHIRIN</t>
  </si>
  <si>
    <t>JL. PAKUNIRAN NO. 15 PANDEAN PAITON PROBOLINGGO</t>
  </si>
  <si>
    <t>111235130220</t>
  </si>
  <si>
    <t>60716512</t>
  </si>
  <si>
    <t>MIS AZ-ZAINIYAH III</t>
  </si>
  <si>
    <t>JL. RAYA P. SUDIRMAN DUSUN KRAJAN RANDUMERAK PAITON</t>
  </si>
  <si>
    <t>111235130221</t>
  </si>
  <si>
    <t>60716513</t>
  </si>
  <si>
    <t>JLN. H. MANSUR</t>
  </si>
  <si>
    <t>111235130222</t>
  </si>
  <si>
    <t>60716514</t>
  </si>
  <si>
    <t>JL. PP. NURUL QODIM JABUNG WETAN PAITON PROBOLINGGO 67291</t>
  </si>
  <si>
    <t>111235130223</t>
  </si>
  <si>
    <t>60716515</t>
  </si>
  <si>
    <t>MIS AZZAINIYAH II</t>
  </si>
  <si>
    <t>111235130224</t>
  </si>
  <si>
    <t>60716516</t>
  </si>
  <si>
    <t>MIS RAUDLATUS SHIBYAN</t>
  </si>
  <si>
    <t>JLN MUNAWAR CUP DUSUN KRAJAN</t>
  </si>
  <si>
    <t>111235130225</t>
  </si>
  <si>
    <t>60716517</t>
  </si>
  <si>
    <t>MIS AL-ISLAMIYAH</t>
  </si>
  <si>
    <t>JL. PANGLIMA SUDIRMAN DESA KARANGANYAR KECAMATAN PAITON KABUPATEN PROBOLINGGO</t>
  </si>
  <si>
    <t>111235130226</t>
  </si>
  <si>
    <t>60716518</t>
  </si>
  <si>
    <t>MIS MISBAHUL HUDA</t>
  </si>
  <si>
    <t>JL. KAPURAN NO. 100 DESA PONDOKKELOR</t>
  </si>
  <si>
    <t>111235130227</t>
  </si>
  <si>
    <t>60716519</t>
  </si>
  <si>
    <t>JL. RAYA. KOTANYAR SUMBERANYAR PAITON PROBOLINGGO</t>
  </si>
  <si>
    <t>111235130228</t>
  </si>
  <si>
    <t>60716520</t>
  </si>
  <si>
    <t>JL. PESANTREN MAMBAUL ULUM</t>
  </si>
  <si>
    <t>111235130229</t>
  </si>
  <si>
    <t>60716521</t>
  </si>
  <si>
    <t>DUSUN PESANTREN DESA PAITON</t>
  </si>
  <si>
    <t>111235130230</t>
  </si>
  <si>
    <t>60716522</t>
  </si>
  <si>
    <t>MIS TAMAN</t>
  </si>
  <si>
    <t>TAMAN</t>
  </si>
  <si>
    <t>111235130231</t>
  </si>
  <si>
    <t>60716523</t>
  </si>
  <si>
    <t>MIS NURUL MUN'IM</t>
  </si>
  <si>
    <t>PP. NURUL JADID KARANGANYAR PAITON</t>
  </si>
  <si>
    <t>111235130232</t>
  </si>
  <si>
    <t>60716524</t>
  </si>
  <si>
    <t>MIS DARUSSALAM</t>
  </si>
  <si>
    <t>JL. JOHARAN DUSUN MATIKAN</t>
  </si>
  <si>
    <t>111235130233</t>
  </si>
  <si>
    <t>60716525</t>
  </si>
  <si>
    <t>JL. JOHARANJL. JOHARAN DUSUN KRAJAN RT/RW. 008/003</t>
  </si>
  <si>
    <t>111235130386</t>
  </si>
  <si>
    <t>69727505</t>
  </si>
  <si>
    <t>MIS NURUL QADIM</t>
  </si>
  <si>
    <t>JL. KH. MOH. HASYIM/KI. MINO</t>
  </si>
  <si>
    <t>111235131004</t>
  </si>
  <si>
    <t>69977706</t>
  </si>
  <si>
    <t>MIS FATHANIA</t>
  </si>
  <si>
    <t>JL. LAPANGAN TEMBAK</t>
  </si>
  <si>
    <t>111235130183</t>
  </si>
  <si>
    <t>60716537</t>
  </si>
  <si>
    <t>MIS IHYAUL ISLAM ALASPANDAN</t>
  </si>
  <si>
    <t>111235130184</t>
  </si>
  <si>
    <t>60716538</t>
  </si>
  <si>
    <t>JL. HAJI SULTAN NO.83</t>
  </si>
  <si>
    <t>111235130185</t>
  </si>
  <si>
    <t>60716539</t>
  </si>
  <si>
    <t>MIS SYAFI'IYAH</t>
  </si>
  <si>
    <t>DUSUN GULUR RT04 RW02</t>
  </si>
  <si>
    <t>111235130186</t>
  </si>
  <si>
    <t>60716540</t>
  </si>
  <si>
    <t>MIS BAITUL MUTTAQIN</t>
  </si>
  <si>
    <t>DUSUN KRAJAN GLAGAH PAKUNIRAN/PAKUNIRAN</t>
  </si>
  <si>
    <t>111235130187</t>
  </si>
  <si>
    <t>60716541</t>
  </si>
  <si>
    <t>MIS MIFTAHUL HASANAH</t>
  </si>
  <si>
    <t>JL. RANON 02 / DUSUN KRAJAN RT. 001 RW. 001</t>
  </si>
  <si>
    <t>111235130188</t>
  </si>
  <si>
    <t>69894676</t>
  </si>
  <si>
    <t>JL. KH MURSYIDI NO. 03</t>
  </si>
  <si>
    <t>111235130189</t>
  </si>
  <si>
    <t>60716542</t>
  </si>
  <si>
    <t>MIS NURUL ISLAM GUNGGUNGAN KIDUL</t>
  </si>
  <si>
    <t>JL. PASAR SENIN NO. 02</t>
  </si>
  <si>
    <t>111235130190</t>
  </si>
  <si>
    <t>60716543</t>
  </si>
  <si>
    <t>JL. AIR TERJUN</t>
  </si>
  <si>
    <t>111235130191</t>
  </si>
  <si>
    <t>60716544</t>
  </si>
  <si>
    <t>JL. MASJID AR-ROHMAH DUSUN KRAJAN</t>
  </si>
  <si>
    <t>111235130192</t>
  </si>
  <si>
    <t>60716545</t>
  </si>
  <si>
    <t>MIS NURUL QODIR</t>
  </si>
  <si>
    <t>DUSUN NANGKA RT/RW. 03/03 GUNGGUNGAN LOR</t>
  </si>
  <si>
    <t>111235130193</t>
  </si>
  <si>
    <t>60716546</t>
  </si>
  <si>
    <t>MIS ASSUNNIYAH AL HASANIYAH</t>
  </si>
  <si>
    <t>JL. KERTONEGORO / DUSUN KEMBANG</t>
  </si>
  <si>
    <t>111235130194</t>
  </si>
  <si>
    <t>60716547</t>
  </si>
  <si>
    <t>MIS DARUL IHSAN</t>
  </si>
  <si>
    <t>Jl. Kertonegoro No.01 Desa Kertonegoro Kec. Pakuniran Kab. Probolinggo</t>
  </si>
  <si>
    <t>111235130195</t>
  </si>
  <si>
    <t>60716548</t>
  </si>
  <si>
    <t>DUSUN KECIK RT001/RW005</t>
  </si>
  <si>
    <t>111235130196</t>
  </si>
  <si>
    <t>60716549</t>
  </si>
  <si>
    <t>MIS RAUDLATUL HIDAYAH</t>
  </si>
  <si>
    <t>DUSUN PETONG</t>
  </si>
  <si>
    <t>111235130197</t>
  </si>
  <si>
    <t>60716550</t>
  </si>
  <si>
    <t>MIS IHYAUL ISLAM PAKUNIRAN</t>
  </si>
  <si>
    <t>JL. MASJID BESAR AL-IMRON PAKUNIRAN</t>
  </si>
  <si>
    <t>111235130198</t>
  </si>
  <si>
    <t>60716551</t>
  </si>
  <si>
    <t>MIS BIRKATUL ULUM</t>
  </si>
  <si>
    <t>JL. SEKARSARI-RANON</t>
  </si>
  <si>
    <t>111235130199</t>
  </si>
  <si>
    <t>60716552</t>
  </si>
  <si>
    <t>JL. SEKARSARI RT/RW 007/004 DESA RANON</t>
  </si>
  <si>
    <t>111235130200</t>
  </si>
  <si>
    <t>60716553</t>
  </si>
  <si>
    <t>MIS MISBAHUL ISLAM</t>
  </si>
  <si>
    <t>111235130201</t>
  </si>
  <si>
    <t>60716554</t>
  </si>
  <si>
    <t>MIS TAHDZIBUN NASYIIN</t>
  </si>
  <si>
    <t>JL. PAKUNIRAN NO. 540 SOGAAN PAKUNIRAN</t>
  </si>
  <si>
    <t>111235130202</t>
  </si>
  <si>
    <t>60716555</t>
  </si>
  <si>
    <t>JL SENTUL / DUSUN KEDUNGSUMUR RT 03 RW 04</t>
  </si>
  <si>
    <t>111235130260</t>
  </si>
  <si>
    <t>60716556</t>
  </si>
  <si>
    <t>MIS RAUDHATUL HASANIYAH</t>
  </si>
  <si>
    <t>DUSUN KONCER</t>
  </si>
  <si>
    <t>111235130374</t>
  </si>
  <si>
    <t>60716557</t>
  </si>
  <si>
    <t>MIS ILHAMUL HASAN</t>
  </si>
  <si>
    <t>111235130399</t>
  </si>
  <si>
    <t>69941359</t>
  </si>
  <si>
    <t>MIS HIDAYATULLAH</t>
  </si>
  <si>
    <t>JL. MAHONIAN DUSUN JELLUN RT/RW 001/001</t>
  </si>
  <si>
    <t>111235130422</t>
  </si>
  <si>
    <t>70037498</t>
  </si>
  <si>
    <t>MI HIDAYATUL AMIN</t>
  </si>
  <si>
    <t>Jl. Dsn.Kletek RT/RW 001/004 Ds. Gondosuli Pakuniran</t>
  </si>
  <si>
    <t>111235131006</t>
  </si>
  <si>
    <t>69977708</t>
  </si>
  <si>
    <t>DUSUN DURIN RT. 02 RW. 06</t>
  </si>
  <si>
    <t>111235130290</t>
  </si>
  <si>
    <t>69854275</t>
  </si>
  <si>
    <t>MIS SALAFIYAH</t>
  </si>
  <si>
    <t>JL. CONDONG GANG 2 DUSUN PESSANTREN</t>
  </si>
  <si>
    <t>111235130291</t>
  </si>
  <si>
    <t>69854276</t>
  </si>
  <si>
    <t>MIS KHALAFIYAH SYAFIIYAH ZAHA PUTRA</t>
  </si>
  <si>
    <t>JL. CONDONG GENGGONG</t>
  </si>
  <si>
    <t>111235130292</t>
  </si>
  <si>
    <t>60716526</t>
  </si>
  <si>
    <t>111235130293</t>
  </si>
  <si>
    <t>60716527</t>
  </si>
  <si>
    <t>JL CONDONG RT 09 RW 03</t>
  </si>
  <si>
    <t>111235130294</t>
  </si>
  <si>
    <t>60716528</t>
  </si>
  <si>
    <t>MIS HIDAYATUL ISLAMIYAH</t>
  </si>
  <si>
    <t>DUSUN TRIWUNG RT/10 RW/04</t>
  </si>
  <si>
    <t>111235130295</t>
  </si>
  <si>
    <t>60716529</t>
  </si>
  <si>
    <t>MIS KHOLAFIAH SAFIIYAH ZAHA PUTRI</t>
  </si>
  <si>
    <t>111235130296</t>
  </si>
  <si>
    <t>60716530</t>
  </si>
  <si>
    <t>JL. PANGLIMA SUDIRMAN NO. 02</t>
  </si>
  <si>
    <t>111235130297</t>
  </si>
  <si>
    <t>60716531</t>
  </si>
  <si>
    <t>MIS KHALAFIYAH SYAFI'IYAH TANJUNG</t>
  </si>
  <si>
    <t>JL. MASJID BAITUR ROHIEM SIROJUDDIN</t>
  </si>
  <si>
    <t>111235130298</t>
  </si>
  <si>
    <t>60716532</t>
  </si>
  <si>
    <t>MIS USWATUN HASANAH</t>
  </si>
  <si>
    <t>JL. SAPU JAGAT DESA SELOGUDIG WETAN</t>
  </si>
  <si>
    <t>111235130300</t>
  </si>
  <si>
    <t>60716534</t>
  </si>
  <si>
    <t>MIS NIDHAMIYAH</t>
  </si>
  <si>
    <t>JL. GANTING/DUSUN KENTRUNG RT.003 RW.002</t>
  </si>
  <si>
    <t>111235130360</t>
  </si>
  <si>
    <t>60716562</t>
  </si>
  <si>
    <t>JL. Sukapura No. 119</t>
  </si>
  <si>
    <t>111235130361</t>
  </si>
  <si>
    <t>69883395</t>
  </si>
  <si>
    <t>MIS AT-TARBIYAH</t>
  </si>
  <si>
    <t>JL. MASJID SYUHADA DSN. BLOBO DESA BANJARSARI</t>
  </si>
  <si>
    <t>111235130362</t>
  </si>
  <si>
    <t>60716563</t>
  </si>
  <si>
    <t>Jl. Al Barokah No. 99A Desa Laweyan</t>
  </si>
  <si>
    <t>111235130363</t>
  </si>
  <si>
    <t>60716564</t>
  </si>
  <si>
    <t>MIS TARBIYATUL HASAN</t>
  </si>
  <si>
    <t>111235130364</t>
  </si>
  <si>
    <t>60716565</t>
  </si>
  <si>
    <t>MIS TARBIYATUL IHSAN</t>
  </si>
  <si>
    <t>JL. BRAWIJAYA GANG PESANTREN DUSUN KALISAT</t>
  </si>
  <si>
    <t>111235130365</t>
  </si>
  <si>
    <t>60716566</t>
  </si>
  <si>
    <t>Jl. Kapuran Dusun Beji  Desa Banjarsari</t>
  </si>
  <si>
    <t>111235130366</t>
  </si>
  <si>
    <t>60716567</t>
  </si>
  <si>
    <t>MIS TARBIYATUL HIDAYAH</t>
  </si>
  <si>
    <t>111235130367</t>
  </si>
  <si>
    <t>60716568</t>
  </si>
  <si>
    <t>111235130040</t>
  </si>
  <si>
    <t>60716570</t>
  </si>
  <si>
    <t>MIS MUHAMMADIYAH</t>
  </si>
  <si>
    <t>Dusun Tegaljuwet</t>
  </si>
  <si>
    <t>111235130041</t>
  </si>
  <si>
    <t>60716571</t>
  </si>
  <si>
    <t>MIS BAHJATUL ULUM</t>
  </si>
  <si>
    <t>JL. RONGGOJALU</t>
  </si>
  <si>
    <t>111235130042</t>
  </si>
  <si>
    <t>69941358</t>
  </si>
  <si>
    <t>111235130043</t>
  </si>
  <si>
    <t>60716572</t>
  </si>
  <si>
    <t>DUSUN GRINTINGAN RT. 18. RW. 03</t>
  </si>
  <si>
    <t>111235130044</t>
  </si>
  <si>
    <t>60716573</t>
  </si>
  <si>
    <t>MIS SUBULUS SALAM</t>
  </si>
  <si>
    <t>DUSUN TANIAN PANJANG RT. 14 RW. 04</t>
  </si>
  <si>
    <t>111235130045</t>
  </si>
  <si>
    <t>60716574</t>
  </si>
  <si>
    <t>DUSUN KRAJAN RT.05/RW01 Desa Tegalsiwalan</t>
  </si>
  <si>
    <t>111235130046</t>
  </si>
  <si>
    <t>60716575</t>
  </si>
  <si>
    <t>MIS MIFTAHUL HUDA PARAS</t>
  </si>
  <si>
    <t>DUSUN BUBUR</t>
  </si>
  <si>
    <t>111235130047</t>
  </si>
  <si>
    <t>60716576</t>
  </si>
  <si>
    <t>MIS MIFTAHUL ULUM BLADO KULON</t>
  </si>
  <si>
    <t>111235130048</t>
  </si>
  <si>
    <t>60716577</t>
  </si>
  <si>
    <t>DUSUN KRAJAN RT. 07 RW. 02 DESA TEGALSONO</t>
  </si>
  <si>
    <t>111235130049</t>
  </si>
  <si>
    <t>60716578</t>
  </si>
  <si>
    <t>MIS MANBAUL HIKAM</t>
  </si>
  <si>
    <t>JL. PP.MANBAUL HIKAM</t>
  </si>
  <si>
    <t>111235130052</t>
  </si>
  <si>
    <t>60716581</t>
  </si>
  <si>
    <t>DUSUN LAMPEKAN</t>
  </si>
  <si>
    <t>111235130053</t>
  </si>
  <si>
    <t>60716582</t>
  </si>
  <si>
    <t>DUSUN PLERENAN RT. 16 RW. 05 DS. BULUJARAN KIDUL KEC. TEGALSIWALAN KAB. PROBOLINGGO</t>
  </si>
  <si>
    <t>111235130054</t>
  </si>
  <si>
    <t>60716584</t>
  </si>
  <si>
    <t>Dusun Bandungan RT 09 RW 03</t>
  </si>
  <si>
    <t>111235130029</t>
  </si>
  <si>
    <t>60716585</t>
  </si>
  <si>
    <t>MIS NURUL HASANAIN</t>
  </si>
  <si>
    <t>DUSUN WEDUSAN</t>
  </si>
  <si>
    <t>111235130083</t>
  </si>
  <si>
    <t>60716586</t>
  </si>
  <si>
    <t>DUSUN JAWAAN RT. 015/RW. 005</t>
  </si>
  <si>
    <t>111235130084</t>
  </si>
  <si>
    <t>60716587</t>
  </si>
  <si>
    <t>MIS MAMBAUL ULUM TULUPARI</t>
  </si>
  <si>
    <t>DUSUN KARANG TENGAH RT. 08/ RW. 03</t>
  </si>
  <si>
    <t>111235130085</t>
  </si>
  <si>
    <t>60716588</t>
  </si>
  <si>
    <t>DSN KLOMPANGAN RT. 003 RW. 001 TULUPARI TIRIS</t>
  </si>
  <si>
    <t>111235130086</t>
  </si>
  <si>
    <t>60716589</t>
  </si>
  <si>
    <t>111235130087</t>
  </si>
  <si>
    <t>60716590</t>
  </si>
  <si>
    <t>MIS ZAINUL ALIYAH</t>
  </si>
  <si>
    <t>111235130088</t>
  </si>
  <si>
    <t>60716591</t>
  </si>
  <si>
    <t>DUSUN TOGUR</t>
  </si>
  <si>
    <t>111235130089</t>
  </si>
  <si>
    <t>60716592</t>
  </si>
  <si>
    <t>MIS BADRUZ ZAMAN</t>
  </si>
  <si>
    <t>111235130090</t>
  </si>
  <si>
    <t>60716593</t>
  </si>
  <si>
    <t>MIS RAUDLATUL JANNAH</t>
  </si>
  <si>
    <t>JL. KH.I NAHER DSN KEMBANG</t>
  </si>
  <si>
    <t>111235130091</t>
  </si>
  <si>
    <t>60716594</t>
  </si>
  <si>
    <t>MIS MIFTAHUL HIKMAH</t>
  </si>
  <si>
    <t>TEGALWATU</t>
  </si>
  <si>
    <t>111235130092</t>
  </si>
  <si>
    <t>60716595</t>
  </si>
  <si>
    <t>JL. SUMUR BOR GEMBOR 2 DESA REJING</t>
  </si>
  <si>
    <t>111235130093</t>
  </si>
  <si>
    <t>60716596</t>
  </si>
  <si>
    <t>MIS BUSTANUL ULUM 1</t>
  </si>
  <si>
    <t>DSN. DARUNGAN DS. REJING KEC. TIRIS KAB. PROBOLINGGO</t>
  </si>
  <si>
    <t>111235130095</t>
  </si>
  <si>
    <t>60716598</t>
  </si>
  <si>
    <t>DUSUN DARUNGAN DESA REJING</t>
  </si>
  <si>
    <t>111235130096</t>
  </si>
  <si>
    <t>60716599</t>
  </si>
  <si>
    <t>DUSUN NAMPU</t>
  </si>
  <si>
    <t>111235130097</t>
  </si>
  <si>
    <t>60716600</t>
  </si>
  <si>
    <t>PEDAGANGAN</t>
  </si>
  <si>
    <t>111235130098</t>
  </si>
  <si>
    <t>60716601</t>
  </si>
  <si>
    <t>MIS MIFTAHUL ASROR</t>
  </si>
  <si>
    <t>DUSUN NAMPU RT.002/RW.001</t>
  </si>
  <si>
    <t>111235130099</t>
  </si>
  <si>
    <t>60716602</t>
  </si>
  <si>
    <t>111235130100</t>
  </si>
  <si>
    <t>60716603</t>
  </si>
  <si>
    <t>MIS DARUL HASAN</t>
  </si>
  <si>
    <t>JL. WIJAYA KUSUMA NO. 72</t>
  </si>
  <si>
    <t>111235130101</t>
  </si>
  <si>
    <t>60716604</t>
  </si>
  <si>
    <t>DSN PLASAAN</t>
  </si>
  <si>
    <t>111235130102</t>
  </si>
  <si>
    <t>60716605</t>
  </si>
  <si>
    <t>JL. PONPES ILHAMUL HASAN DSN TENGAH</t>
  </si>
  <si>
    <t>111235130103</t>
  </si>
  <si>
    <t>60716606</t>
  </si>
  <si>
    <t>MIS MIFTAHUL ULUM WEDUSAN</t>
  </si>
  <si>
    <t>JL. PONPES BAHJATUL ULUM WEDUSAN</t>
  </si>
  <si>
    <t>111235130104</t>
  </si>
  <si>
    <t>60716607</t>
  </si>
  <si>
    <t>MIS AL FATIH</t>
  </si>
  <si>
    <t>JL. WISATA ARUNG JERAM DUSUN ANGIN-ANGIN RT/RW. 002/001</t>
  </si>
  <si>
    <t>111235130105</t>
  </si>
  <si>
    <t>60716608</t>
  </si>
  <si>
    <t>DUSUN KRAJAN RT. 002/RW. 001</t>
  </si>
  <si>
    <t>111235130106</t>
  </si>
  <si>
    <t>60716609</t>
  </si>
  <si>
    <t>DUSUN MANGGIS</t>
  </si>
  <si>
    <t>111235130107</t>
  </si>
  <si>
    <t>60716610</t>
  </si>
  <si>
    <t>MIS DARUS SHOLAH</t>
  </si>
  <si>
    <t>DUSUN TANCAK</t>
  </si>
  <si>
    <t>111235130108</t>
  </si>
  <si>
    <t>60716611</t>
  </si>
  <si>
    <t>MIS SALAFIYAH SYAFIIYAH</t>
  </si>
  <si>
    <t>DUSUN KRAJAN RT.003/RW.001</t>
  </si>
  <si>
    <t>111235130109</t>
  </si>
  <si>
    <t>60716612</t>
  </si>
  <si>
    <t>MIS DARUNNAJAH</t>
  </si>
  <si>
    <t>111235130110</t>
  </si>
  <si>
    <t>60716613</t>
  </si>
  <si>
    <t>111235130111</t>
  </si>
  <si>
    <t>60716614</t>
  </si>
  <si>
    <t>MIS MIRQOTUL HASANIYAH</t>
  </si>
  <si>
    <t>Dusun Blimbingan RT 006 RW 004</t>
  </si>
  <si>
    <t>111235130112</t>
  </si>
  <si>
    <t>60716615</t>
  </si>
  <si>
    <t>MIS RAUDLATUL KHOLAFIYAH</t>
  </si>
  <si>
    <t>DUSUN PAOKECIK</t>
  </si>
  <si>
    <t>111235130114</t>
  </si>
  <si>
    <t>60716616</t>
  </si>
  <si>
    <t>JL Ranu Segaran Tuwes No 03 Dsn Segaran RT/RW.05.02 Desa Andungsari Tiris Probolinggo</t>
  </si>
  <si>
    <t>111235130115</t>
  </si>
  <si>
    <t>60716617</t>
  </si>
  <si>
    <t>DUSUN NANGKAAN RT07/RW03</t>
  </si>
  <si>
    <t>111235130116</t>
  </si>
  <si>
    <t>60716618</t>
  </si>
  <si>
    <t>DUSUN KRAJAN RT02 RW 01</t>
  </si>
  <si>
    <t>111235130117</t>
  </si>
  <si>
    <t>60716619</t>
  </si>
  <si>
    <t>MIS HIDAYATUS SHIBYAN</t>
  </si>
  <si>
    <t>DUSUN KRAJAN,</t>
  </si>
  <si>
    <t>111235130118</t>
  </si>
  <si>
    <t>60716620</t>
  </si>
  <si>
    <t>111235130119</t>
  </si>
  <si>
    <t>60716621</t>
  </si>
  <si>
    <t>111235130120</t>
  </si>
  <si>
    <t>60716622</t>
  </si>
  <si>
    <t>MIS NURUL IKHSAN</t>
  </si>
  <si>
    <t>DUSUN SUMBER KAPUNG</t>
  </si>
  <si>
    <t>111235130121</t>
  </si>
  <si>
    <t>60716623</t>
  </si>
  <si>
    <t>MIS QOMARUZ ZAMAN</t>
  </si>
  <si>
    <t>DUSUN LAWANG KEDATON</t>
  </si>
  <si>
    <t>111235130122</t>
  </si>
  <si>
    <t>60716624</t>
  </si>
  <si>
    <t>MIS SIRAJUT THALIBIN</t>
  </si>
  <si>
    <t>JL. PP. SIRAJUT THALIBIN RACEK RT. 19 RW. 05</t>
  </si>
  <si>
    <t>111235130370</t>
  </si>
  <si>
    <t>60716625</t>
  </si>
  <si>
    <t>WEDUSAN TIRIS PROBOLINGGO</t>
  </si>
  <si>
    <t>111235130371</t>
  </si>
  <si>
    <t>60716626</t>
  </si>
  <si>
    <t>MIS AL KHOLAFIYAH</t>
  </si>
  <si>
    <t>DUSUN DARUNGAN RT07 RW08</t>
  </si>
  <si>
    <t>111235130375</t>
  </si>
  <si>
    <t>60716627</t>
  </si>
  <si>
    <t>MIS BAROKATUL HASANIAH</t>
  </si>
  <si>
    <t>111235130377</t>
  </si>
  <si>
    <t>60716628</t>
  </si>
  <si>
    <t>MIS BAROKATUL QURAN</t>
  </si>
  <si>
    <t>DUSUN TUNGGANGAN</t>
  </si>
  <si>
    <t>111235130388</t>
  </si>
  <si>
    <t>69856241</t>
  </si>
  <si>
    <t>DUSUN KRAJAN RT. 012/RW. 003</t>
  </si>
  <si>
    <t>111235130421</t>
  </si>
  <si>
    <t>70010266</t>
  </si>
  <si>
    <t>MIS TARBIYATUS SALAFIYAH</t>
  </si>
  <si>
    <t>JL. PP. TARBIYATUS SALAFIYAH</t>
  </si>
  <si>
    <t>111235130430</t>
  </si>
  <si>
    <t>70035576</t>
  </si>
  <si>
    <t>MI MA'ARIF NU WALI SONGO</t>
  </si>
  <si>
    <t>DUSUN KRAMAT RT.016 RW.005</t>
  </si>
  <si>
    <t>111235130852</t>
  </si>
  <si>
    <t>60716629</t>
  </si>
  <si>
    <t>MIS HABIB MUHAMMAD SHODIQ II</t>
  </si>
  <si>
    <t>DUSUN TUNGGANGAN RT.026/RW.005</t>
  </si>
  <si>
    <t>111235131000</t>
  </si>
  <si>
    <t>69977703</t>
  </si>
  <si>
    <t>MIS HIDAYATUL ISTIQOMAH</t>
  </si>
  <si>
    <t>DUSUN SOLOR DESA WEDUSAN KEC. TIRIS KAB. PROBOLINGGO</t>
  </si>
  <si>
    <t>111235131008</t>
  </si>
  <si>
    <t>69994636</t>
  </si>
  <si>
    <t>MIS AL FIRDAUS</t>
  </si>
  <si>
    <t>DUSUN KRAJAN RT, 019 RW, 005</t>
  </si>
  <si>
    <t>111235131011</t>
  </si>
  <si>
    <t>69995647</t>
  </si>
  <si>
    <t>JANGKANG</t>
  </si>
  <si>
    <t>111235131012</t>
  </si>
  <si>
    <t>70006694</t>
  </si>
  <si>
    <t>DUSUN KRAJAN RT. 04 RT. 01</t>
  </si>
  <si>
    <t>111235130349</t>
  </si>
  <si>
    <t>60716630</t>
  </si>
  <si>
    <t>Dusun Gunung Tugel Rt 12 Rw 04</t>
  </si>
  <si>
    <t>111235130350</t>
  </si>
  <si>
    <t>60716631</t>
  </si>
  <si>
    <t>MIS MIFTAHUS SIBYAN</t>
  </si>
  <si>
    <t>JL. MASJID DUSUN KRAJAN</t>
  </si>
  <si>
    <t>111235130351</t>
  </si>
  <si>
    <t>60716632</t>
  </si>
  <si>
    <t>GG. MASJID DSN. GUNUNG TUGEL RT/RW 16/05</t>
  </si>
  <si>
    <t>111235130352</t>
  </si>
  <si>
    <t>60716633</t>
  </si>
  <si>
    <t>Dusun Krajan RT 008 RW 003</t>
  </si>
  <si>
    <t>111235130353</t>
  </si>
  <si>
    <t>60716634</t>
  </si>
  <si>
    <t>MIS MANBA'IL FALAH</t>
  </si>
  <si>
    <t>111235130354</t>
  </si>
  <si>
    <t>60716635</t>
  </si>
  <si>
    <t>DSN SUMUR KUDUNG</t>
  </si>
  <si>
    <t>111235130355</t>
  </si>
  <si>
    <t>60716636</t>
  </si>
  <si>
    <t>111235130357</t>
  </si>
  <si>
    <t>60716638</t>
  </si>
  <si>
    <t>JL. PERNING UTARA JALID TONGAS WETAN TONGAS</t>
  </si>
  <si>
    <t>111235130358</t>
  </si>
  <si>
    <t>60716639</t>
  </si>
  <si>
    <t>MIS MIFTAHUL ULUM II</t>
  </si>
  <si>
    <t>JL. TABATA DSN JURI</t>
  </si>
  <si>
    <t>111235130359</t>
  </si>
  <si>
    <t>60716640</t>
  </si>
  <si>
    <t>MIS DARUS SYAFA'AH</t>
  </si>
  <si>
    <t>Jln. Gunung Tugel Dusun Klumprit</t>
  </si>
  <si>
    <t>111235130387</t>
  </si>
  <si>
    <t>69956233</t>
  </si>
  <si>
    <t>MIS SAIFUL ULUM</t>
  </si>
  <si>
    <t>JL. MASJID HIDAYATUS SALAFIYAH DUSUN JARINGAN TAMBAK</t>
  </si>
  <si>
    <t>111235130429</t>
  </si>
  <si>
    <t>70034662</t>
  </si>
  <si>
    <t>MI HIDAYATUL FALAH</t>
  </si>
  <si>
    <t>Dusun Prisen RT 019/RW 003</t>
  </si>
  <si>
    <t>111235130338</t>
  </si>
  <si>
    <t>60716641</t>
  </si>
  <si>
    <t>JL. KYAI WANGI RT. 03/RW. 01, TUNGGAK CERME</t>
  </si>
  <si>
    <t>111235130339</t>
  </si>
  <si>
    <t>60716642</t>
  </si>
  <si>
    <t>Jl. Sukapura Km 04 Desa Sepuhgembol</t>
  </si>
  <si>
    <t>111235130340</t>
  </si>
  <si>
    <t>60716643</t>
  </si>
  <si>
    <t>Jln. Bantaran 317</t>
  </si>
  <si>
    <t>111235130341</t>
  </si>
  <si>
    <t>60716644</t>
  </si>
  <si>
    <t>MIS DARUL ULUM KARENG KIDUL</t>
  </si>
  <si>
    <t>Jl. Sunan Ampel No.99 Desa Kareng Kidul</t>
  </si>
  <si>
    <t>111235130342</t>
  </si>
  <si>
    <t>60716645</t>
  </si>
  <si>
    <t>MIS TARBIYATUL ULA</t>
  </si>
  <si>
    <t>Kampung Dusun Gedangan</t>
  </si>
  <si>
    <t>111235130343</t>
  </si>
  <si>
    <t>60716646</t>
  </si>
  <si>
    <t>JALAN LUMBANG DUSUN PELAN KEREP RT 01 RW 01 DESA SUMBERKARE KECAMATAN WONOMERTO</t>
  </si>
  <si>
    <t>111235130344</t>
  </si>
  <si>
    <t>60716647</t>
  </si>
  <si>
    <t>MIS DARUL AROFAH</t>
  </si>
  <si>
    <t>DUSUN KARANGKARI</t>
  </si>
  <si>
    <t>111235130345</t>
  </si>
  <si>
    <t>60716648</t>
  </si>
  <si>
    <t>Jl. Trunorejo No.01</t>
  </si>
  <si>
    <t>111235130378</t>
  </si>
  <si>
    <t>69726686</t>
  </si>
  <si>
    <t>MIS NURUL FATAH</t>
  </si>
  <si>
    <t>KARANG TENGAH</t>
  </si>
  <si>
    <t>111235130398</t>
  </si>
  <si>
    <t>69941361</t>
  </si>
  <si>
    <t>MIS ZAINUR RIDHO</t>
  </si>
  <si>
    <t>111235131003</t>
  </si>
  <si>
    <t>69977705</t>
  </si>
  <si>
    <t>Dusun Petung RT. 05 RW.03</t>
  </si>
  <si>
    <t>121235130008</t>
  </si>
  <si>
    <t>20581885</t>
  </si>
  <si>
    <t>MTSS UMMUL QURO</t>
  </si>
  <si>
    <t>Madrasah Tsanawiyah</t>
  </si>
  <si>
    <t>JL. RAYA BANTARAN NO.39</t>
  </si>
  <si>
    <t>121235130010</t>
  </si>
  <si>
    <t>20581883</t>
  </si>
  <si>
    <t>MTSS IRSYADUDDINIYAH</t>
  </si>
  <si>
    <t>JL. RAYA PATOKAN NO. 73 RT. 005/RW. 002</t>
  </si>
  <si>
    <t>121235130012</t>
  </si>
  <si>
    <t>20581884</t>
  </si>
  <si>
    <t>MTSS DARU MAFATIHIL ULUM</t>
  </si>
  <si>
    <t>121235130053</t>
  </si>
  <si>
    <t>20581886</t>
  </si>
  <si>
    <t>MTSS MIFTAHUL HUDA</t>
  </si>
  <si>
    <t>Tengah A, RT/RW : 011/004 Kramatagung Bantaran Probolinggo</t>
  </si>
  <si>
    <t>121235130054</t>
  </si>
  <si>
    <t>20581887</t>
  </si>
  <si>
    <t>MTSS DARUN NAJJAH</t>
  </si>
  <si>
    <t>JL. RAYA BANTARAN GG. PANDEAN JAYA RT 01 RW 01 DUSUN KRAJAN</t>
  </si>
  <si>
    <t>121235130076</t>
  </si>
  <si>
    <t>69726718</t>
  </si>
  <si>
    <t>MTSS DARUL MUTA ALLIMIN</t>
  </si>
  <si>
    <t>Dsn Krajan RT 02/ RW 01</t>
  </si>
  <si>
    <t>121235130084</t>
  </si>
  <si>
    <t>20581882</t>
  </si>
  <si>
    <t>MTSS MIFTAHUL ULUM</t>
  </si>
  <si>
    <t>Jl. Raya Wonoasih-Bantaran Km-03 Kropak Bantaran Probolinggo</t>
  </si>
  <si>
    <t>121235130085</t>
  </si>
  <si>
    <t>20581890</t>
  </si>
  <si>
    <t>MTSS MIFTAHUL ULUM TEMPURAN</t>
  </si>
  <si>
    <t>Jl. kh. Anom Rt 013 Rw 004</t>
  </si>
  <si>
    <t>121235130159</t>
  </si>
  <si>
    <t>20581889</t>
  </si>
  <si>
    <t>MTSS DARUL ULUM BANTARAN</t>
  </si>
  <si>
    <t>JL. RAYA 02 BANTARAN</t>
  </si>
  <si>
    <t>121235130171</t>
  </si>
  <si>
    <t>69853371</t>
  </si>
  <si>
    <t>MTSS BUSTANUL ULUM</t>
  </si>
  <si>
    <t>JL. TRIWUNG NO. 51 RT. 011 / RW. 003</t>
  </si>
  <si>
    <t>121235130178</t>
  </si>
  <si>
    <t>69886413</t>
  </si>
  <si>
    <t>MTSS DARUL MA'ARIF</t>
  </si>
  <si>
    <t>JALAN. KRAMAT RT/RW 028/007 DESA KRAMATAGUNG</t>
  </si>
  <si>
    <t>121235130787</t>
  </si>
  <si>
    <t>69975797</t>
  </si>
  <si>
    <t>MTSS DARUL HIKMAH AL-ISLAMY</t>
  </si>
  <si>
    <t>JL. RAYA KROPAK DUSUN TIMBANGAN</t>
  </si>
  <si>
    <t>121235130797</t>
  </si>
  <si>
    <t>70010265</t>
  </si>
  <si>
    <t>MTSS NURUL HIKMAH</t>
  </si>
  <si>
    <t>JL. MASJID AZIZURROHIM DUSUN SUMUR RT. 07 RW. 03</t>
  </si>
  <si>
    <t>121235130013</t>
  </si>
  <si>
    <t>20581894</t>
  </si>
  <si>
    <t>MTSS RADEN FATAH</t>
  </si>
  <si>
    <t>DUSUN KRAMAT DESA TAROKAN</t>
  </si>
  <si>
    <t>121235130014</t>
  </si>
  <si>
    <t>20581898</t>
  </si>
  <si>
    <t>MTSS MISBAHUL FATA</t>
  </si>
  <si>
    <t>JL. SIHA NO. 45 DUSUN SUKUN</t>
  </si>
  <si>
    <t>121235130015</t>
  </si>
  <si>
    <t>20581897</t>
  </si>
  <si>
    <t>MTSS NURIDDAHLANI</t>
  </si>
  <si>
    <t>JL. JEMBATAN BARU HM. DAHLAN</t>
  </si>
  <si>
    <t>121235130025</t>
  </si>
  <si>
    <t>20581895</t>
  </si>
  <si>
    <t>MTSS SUNAN KALIJAGA</t>
  </si>
  <si>
    <t>JLN. RAYA BANYUANYAR TENGAH NO.02 KECAMATAN BANYUANYAR</t>
  </si>
  <si>
    <t>121235130086</t>
  </si>
  <si>
    <t>20581891</t>
  </si>
  <si>
    <t>MTSS IHYAUL ISLAM KLENANG</t>
  </si>
  <si>
    <t>Jl. Ponpes Bahrul Huda, Dusun Sukun</t>
  </si>
  <si>
    <t>121235130087</t>
  </si>
  <si>
    <t>20581892</t>
  </si>
  <si>
    <t>DUSUN GLINTONGAN</t>
  </si>
  <si>
    <t>121235130088</t>
  </si>
  <si>
    <t>20581896</t>
  </si>
  <si>
    <t>MTSS WALISONGO 3</t>
  </si>
  <si>
    <t>Jl. Masjid Besar</t>
  </si>
  <si>
    <t>121235130089</t>
  </si>
  <si>
    <t>20581893</t>
  </si>
  <si>
    <t>MTSS MIRQOTUL ULUM</t>
  </si>
  <si>
    <t>Dusun Nyabrang</t>
  </si>
  <si>
    <t>121235130796</t>
  </si>
  <si>
    <t>70009804</t>
  </si>
  <si>
    <t>MTSS SUNNIYAH SALAFIYAH ANNUR</t>
  </si>
  <si>
    <t>DUSUN SUKUN, RT. 01/ RW. 02</t>
  </si>
  <si>
    <t>121235130809</t>
  </si>
  <si>
    <t>70035403</t>
  </si>
  <si>
    <t>MTs DEWARI RANJANA</t>
  </si>
  <si>
    <t>Dusun pelle Rt. 10 Rw.  04</t>
  </si>
  <si>
    <t>121235130821</t>
  </si>
  <si>
    <t>70044830</t>
  </si>
  <si>
    <t>MTS NURIL HISAM</t>
  </si>
  <si>
    <t>JALAN PENDIL DUSUN KRAJAN RT. 027 RW. 007</t>
  </si>
  <si>
    <t>121235130090</t>
  </si>
  <si>
    <t>20581900</t>
  </si>
  <si>
    <t>MTSS MIFTAHUL KHAIR</t>
  </si>
  <si>
    <t>121235130091</t>
  </si>
  <si>
    <t>20581902</t>
  </si>
  <si>
    <t>MTSS NURUL WAHID AL-WAHYUNI</t>
  </si>
  <si>
    <t>Jl. K . Katsir Dusun Talar 2 Sumberan Besuk Probolinggo</t>
  </si>
  <si>
    <t>121235130092</t>
  </si>
  <si>
    <t>20581901</t>
  </si>
  <si>
    <t>MTSS SYAFIIYAH</t>
  </si>
  <si>
    <t>Jl. Raya Besuk No. 247</t>
  </si>
  <si>
    <t>121235130783</t>
  </si>
  <si>
    <t>69977766</t>
  </si>
  <si>
    <t>MTSS NURUL IMAN</t>
  </si>
  <si>
    <t>JL. BESUK-BUCOR KM. 02 DUSUN CANGAK</t>
  </si>
  <si>
    <t>121235130016</t>
  </si>
  <si>
    <t>20581904</t>
  </si>
  <si>
    <t>MTSS DARUN NAJAH</t>
  </si>
  <si>
    <t>Jl. Raya Dringu No. 99</t>
  </si>
  <si>
    <t>121235130055</t>
  </si>
  <si>
    <t>20581905</t>
  </si>
  <si>
    <t>MTSS DARUS SALAM NGEPOH</t>
  </si>
  <si>
    <t>Jln. Ronggojalu no.57 desa ngepoh</t>
  </si>
  <si>
    <t>121235130099</t>
  </si>
  <si>
    <t>20581903</t>
  </si>
  <si>
    <t>MTSS ZAHROTUL ISLAM</t>
  </si>
  <si>
    <t>121235130820</t>
  </si>
  <si>
    <t>70044421</t>
  </si>
  <si>
    <t>MTSS AL JANNAH</t>
  </si>
  <si>
    <t>JALAN DEANDELS NOMOR 1-3</t>
  </si>
  <si>
    <t>121235130074</t>
  </si>
  <si>
    <t>69788384</t>
  </si>
  <si>
    <t>MTSS MAMBAUL HIKAM</t>
  </si>
  <si>
    <t>DUSUN KRAJAN RT. 03/RW. 01</t>
  </si>
  <si>
    <t>121235130075</t>
  </si>
  <si>
    <t>20581915</t>
  </si>
  <si>
    <t>MTSS NURANIYAH</t>
  </si>
  <si>
    <t>MASJID JAMI NURUL HASAN</t>
  </si>
  <si>
    <t>121235130083</t>
  </si>
  <si>
    <t>20581908</t>
  </si>
  <si>
    <t>MTSS KHAIRIYAH</t>
  </si>
  <si>
    <t>DUSUN KLEPPO</t>
  </si>
  <si>
    <t>121235130094</t>
  </si>
  <si>
    <t>20579883</t>
  </si>
  <si>
    <t>MTSS RAUDLATUL HASANIYAH</t>
  </si>
  <si>
    <t>JL. KH. MOH HASAN NO. 99</t>
  </si>
  <si>
    <t>121235130095</t>
  </si>
  <si>
    <t>20581907</t>
  </si>
  <si>
    <t>MTSS MIFTAHUL HASAN</t>
  </si>
  <si>
    <t>JL. MAYJEND WIDODO PRASI KEC. GADING</t>
  </si>
  <si>
    <t>121235130096</t>
  </si>
  <si>
    <t>20581910</t>
  </si>
  <si>
    <t>MTSS MIFTAHUL JANNAH</t>
  </si>
  <si>
    <t>JL. MAYJEND WIDODO WANGKAL</t>
  </si>
  <si>
    <t>121235130097</t>
  </si>
  <si>
    <t>20581909</t>
  </si>
  <si>
    <t>MTSS ISLAMIYAH</t>
  </si>
  <si>
    <t>121235130098</t>
  </si>
  <si>
    <t>20581916</t>
  </si>
  <si>
    <t>MTSS MAMBAUL ULUM</t>
  </si>
  <si>
    <t>121235130101</t>
  </si>
  <si>
    <t>69728076</t>
  </si>
  <si>
    <t>MTSS IHYAUL IMAN</t>
  </si>
  <si>
    <t>JL. PP. IHYAUL IMAN RENTENG GADING</t>
  </si>
  <si>
    <t>121235130102</t>
  </si>
  <si>
    <t>20581913</t>
  </si>
  <si>
    <t>121235130182</t>
  </si>
  <si>
    <t>69886414</t>
  </si>
  <si>
    <t>MTSS NURUL ANWAR</t>
  </si>
  <si>
    <t>JL. RAYA SENTUL GADING PROBOLINGGO</t>
  </si>
  <si>
    <t>121235130187</t>
  </si>
  <si>
    <t>69941491</t>
  </si>
  <si>
    <t>MTSS AL FATAH</t>
  </si>
  <si>
    <t>Dusun Mangaran RT/RW 06/01 Desa Ranuwurung Gading Probolinggo</t>
  </si>
  <si>
    <t>121235130600</t>
  </si>
  <si>
    <t>69886415</t>
  </si>
  <si>
    <t>MTSS KHOLAFIYAH HASANIYAH</t>
  </si>
  <si>
    <t>121235130781</t>
  </si>
  <si>
    <t>69886416</t>
  </si>
  <si>
    <t>MTSS IHYAUDDINIYAH</t>
  </si>
  <si>
    <t>Jl, K. Asyari Dusun Serreh RT 004 RW 002</t>
  </si>
  <si>
    <t>121235130801</t>
  </si>
  <si>
    <t>70034667</t>
  </si>
  <si>
    <t>MTs ROBITHATUL QUR'AN</t>
  </si>
  <si>
    <t>Dsn. Daris RT.001 RW.001</t>
  </si>
  <si>
    <t>121235130017</t>
  </si>
  <si>
    <t>20581920</t>
  </si>
  <si>
    <t>MTSS RAUDLATUL KHOIR</t>
  </si>
  <si>
    <t>JL. PP. RAUDLATUL HASANIYAH KRANDON WETAN JATIADI</t>
  </si>
  <si>
    <t>121235130018</t>
  </si>
  <si>
    <t>20581918</t>
  </si>
  <si>
    <t>MTSS WALISONGO II</t>
  </si>
  <si>
    <t>Jl. Raya Sebaung Desa Sebaung Kecamatan Gending Kab. Probolinggo</t>
  </si>
  <si>
    <t>121235130019</t>
  </si>
  <si>
    <t>20581925</t>
  </si>
  <si>
    <t>MTSS MIFTAHUL ULUM BANYUANYAR LOR</t>
  </si>
  <si>
    <t>JL. BANYUBIRU BLOK KRAJAN DESA BANYUANYAR LOR</t>
  </si>
  <si>
    <t>121235130064</t>
  </si>
  <si>
    <t>20581921</t>
  </si>
  <si>
    <t>MTSS SUNAN AMPEL</t>
  </si>
  <si>
    <t>121235130070</t>
  </si>
  <si>
    <t>69726316</t>
  </si>
  <si>
    <t>MTSS ULIL ALBAB</t>
  </si>
  <si>
    <t>JL. BRUMBUNGAN LOR KECAMATAN GENDING, KABUPATEN PROBOLINGGO</t>
  </si>
  <si>
    <t>121235130082</t>
  </si>
  <si>
    <t>20581914</t>
  </si>
  <si>
    <t>MTSS DARUSSALAM</t>
  </si>
  <si>
    <t>Jl. KHR Asad Syamsul Arifin Dusun Pantai</t>
  </si>
  <si>
    <t>121235130104</t>
  </si>
  <si>
    <t>20581919</t>
  </si>
  <si>
    <t>MTSS DLAUUL ISLAM</t>
  </si>
  <si>
    <t>Jl. Masjid Al-Hidayah Dusun Kramat Brumbungan Lor</t>
  </si>
  <si>
    <t>121235130105</t>
  </si>
  <si>
    <t>20581923</t>
  </si>
  <si>
    <t>MTSS TARBIYATUL ISLAM</t>
  </si>
  <si>
    <t>Jl. Banyubiru No 254 Karnin Wetan Sumberkerang Kec. Gending Kab. Probolinggo</t>
  </si>
  <si>
    <t>121235130109</t>
  </si>
  <si>
    <t>20581922</t>
  </si>
  <si>
    <t>MTSS NURURRAHMAH</t>
  </si>
  <si>
    <t>PESISIR PAJURANGAN</t>
  </si>
  <si>
    <t>121235130160</t>
  </si>
  <si>
    <t>20581917</t>
  </si>
  <si>
    <t>MTSS MAULANA ISHAQ</t>
  </si>
  <si>
    <t>BULANG</t>
  </si>
  <si>
    <t>121235130170</t>
  </si>
  <si>
    <t>69853370</t>
  </si>
  <si>
    <t>MTSS FATAHILLAH</t>
  </si>
  <si>
    <t>JL. PESANTREN FATAHILLAH DUSUN TALANG RT. 003 RW. 005 DESA SUMBERKERANG</t>
  </si>
  <si>
    <t>121235130479</t>
  </si>
  <si>
    <t>69895159</t>
  </si>
  <si>
    <t>MTSS HIDAYATUL ISLAM</t>
  </si>
  <si>
    <t>JL. MASJID AN-NUR DUSUN TAMAN RT/RW. 04/02 DESA PIKATAN KEC. GENDING</t>
  </si>
  <si>
    <t>121235130024</t>
  </si>
  <si>
    <t>20581926</t>
  </si>
  <si>
    <t>MTSS NURUR RAHMAH</t>
  </si>
  <si>
    <t>JL. KH. ZAINUL MUIN SAMBIRAMPAK LOR KEC. KOTAANYAR KAB. PROBOLINGGO</t>
  </si>
  <si>
    <t>121235130106</t>
  </si>
  <si>
    <t>20581927</t>
  </si>
  <si>
    <t>JL. GONDOSULI DUSUN 1 RT. 001 RW. 001</t>
  </si>
  <si>
    <t>121235130169</t>
  </si>
  <si>
    <t>69853369</t>
  </si>
  <si>
    <t>MTSS AL-KHOIRIYAH</t>
  </si>
  <si>
    <t>JL. KOTAANYAR, BELAKANG SDN SIDOREJO</t>
  </si>
  <si>
    <t>121235130790</t>
  </si>
  <si>
    <t>70007582</t>
  </si>
  <si>
    <t>MTSS PROGRESIF BUMI AL QUR'AN KOTAANYAR</t>
  </si>
  <si>
    <t>JL. RAYA GONDOSULI NO. 2 RT. 10 RW. 04</t>
  </si>
  <si>
    <t>121235130799</t>
  </si>
  <si>
    <t>70033999</t>
  </si>
  <si>
    <t>MTs TERPADU NURUL ANWAR</t>
  </si>
  <si>
    <t>Krajan RT/RW 010/05</t>
  </si>
  <si>
    <t>121235130800</t>
  </si>
  <si>
    <t>70036738</t>
  </si>
  <si>
    <t>MTs AINUR RAHMAN TAMBAK UKIR</t>
  </si>
  <si>
    <t>Dusun Alas Kembang RT. 007 RW. 004 Desa Tambakukir</t>
  </si>
  <si>
    <t>121235130022</t>
  </si>
  <si>
    <t>20581939</t>
  </si>
  <si>
    <t>MTSS DARUL LUGHAH WAL KAROMAH</t>
  </si>
  <si>
    <t>JL. MAYJEN PANJAITAN NO. 12</t>
  </si>
  <si>
    <t>121235130023</t>
  </si>
  <si>
    <t>20581949</t>
  </si>
  <si>
    <t>MTSS BADRIDDUJA</t>
  </si>
  <si>
    <t>JL. SUNAN KUDUS NO. 02</t>
  </si>
  <si>
    <t>121235130065</t>
  </si>
  <si>
    <t>20581941</t>
  </si>
  <si>
    <t>MTSS SIROJUL ISLAM</t>
  </si>
  <si>
    <t>JL. KH. MUNIR CHOZIN NO. 08</t>
  </si>
  <si>
    <t>121235130068</t>
  </si>
  <si>
    <t>20581940</t>
  </si>
  <si>
    <t>MTSS NURUL ABROR</t>
  </si>
  <si>
    <t>JL. KARANGANYAR NO. 123 ASEMBAKOR</t>
  </si>
  <si>
    <t>121235130071</t>
  </si>
  <si>
    <t>20581944</t>
  </si>
  <si>
    <t>JL. SENTANA GG. MASJID DUSUN SEDEMPOK</t>
  </si>
  <si>
    <t>121235130113</t>
  </si>
  <si>
    <t>20581950</t>
  </si>
  <si>
    <t>MTSS RAUDLATUS SHOLIHIN</t>
  </si>
  <si>
    <t>JL. Jogosari No. 09 Rangkang</t>
  </si>
  <si>
    <t>121235130114</t>
  </si>
  <si>
    <t>20581948</t>
  </si>
  <si>
    <t>MTSS ZAINUL ANWAR</t>
  </si>
  <si>
    <t>JL. PP ZAINUL ANWAR NO. 28</t>
  </si>
  <si>
    <t>121235130115</t>
  </si>
  <si>
    <t>20581947</t>
  </si>
  <si>
    <t>MTSS NAHDLATUL ULAMA'</t>
  </si>
  <si>
    <t>JL. MAYJEND PANJAITAN 16A SIDOMUKTI KRAKSAAN</t>
  </si>
  <si>
    <t>121235130116</t>
  </si>
  <si>
    <t>20581943</t>
  </si>
  <si>
    <t>MTSS NURUL QUR'AN</t>
  </si>
  <si>
    <t>PATOKAN</t>
  </si>
  <si>
    <t>121235130117</t>
  </si>
  <si>
    <t>20581945</t>
  </si>
  <si>
    <t>MTSS DARUL ULUM</t>
  </si>
  <si>
    <t>Jl. Ir. H Juanda No 436</t>
  </si>
  <si>
    <t>121235130118</t>
  </si>
  <si>
    <t>20581946</t>
  </si>
  <si>
    <t>MTSS NURUL ISLAM</t>
  </si>
  <si>
    <t>121235130119</t>
  </si>
  <si>
    <t>20579292</t>
  </si>
  <si>
    <t>MTSS NURUD DZALAM</t>
  </si>
  <si>
    <t>JL. RAYA DR. SUTOMO DUSUN WAKAF RT/RW 003/007</t>
  </si>
  <si>
    <t>121235130120</t>
  </si>
  <si>
    <t>20581942</t>
  </si>
  <si>
    <t>MTSS MIFTAHUL AFKAR</t>
  </si>
  <si>
    <t>JL. WALISONGO</t>
  </si>
  <si>
    <t>121235130805</t>
  </si>
  <si>
    <t>MTS INSAN  AL KARIM</t>
  </si>
  <si>
    <t>Dusun Nangger  Rt.02 Rw. 05</t>
  </si>
  <si>
    <t>121235130006</t>
  </si>
  <si>
    <t>20581934</t>
  </si>
  <si>
    <t>MTSS NURUD DA WAH</t>
  </si>
  <si>
    <t>DUSUN PENANGAN</t>
  </si>
  <si>
    <t>121235130007</t>
  </si>
  <si>
    <t>69727646</t>
  </si>
  <si>
    <t>MTSS NURUL ISTIFADAH</t>
  </si>
  <si>
    <t>GEBANGAN</t>
  </si>
  <si>
    <t>121235130011</t>
  </si>
  <si>
    <t>20581936</t>
  </si>
  <si>
    <t>MTSS NURUL HIDAYAH</t>
  </si>
  <si>
    <t>Dusun Krajan Rt 04 Rw 01</t>
  </si>
  <si>
    <t>121235130020</t>
  </si>
  <si>
    <t>20581937</t>
  </si>
  <si>
    <t>MTSS AL ISLAMIYAH</t>
  </si>
  <si>
    <t>JL. Pahlawan No. 04 Krejengan</t>
  </si>
  <si>
    <t>121235130021</t>
  </si>
  <si>
    <t>20581935</t>
  </si>
  <si>
    <t>MTSS RAUDLATUL MUTAALLIMIN</t>
  </si>
  <si>
    <t>121235130077</t>
  </si>
  <si>
    <t>20581930</t>
  </si>
  <si>
    <t>MTSS DARUT TAUHID</t>
  </si>
  <si>
    <t>JL. KH HASAN SAIFURRIDZAL</t>
  </si>
  <si>
    <t>121235130103</t>
  </si>
  <si>
    <t>20581929</t>
  </si>
  <si>
    <t>MTSS AL-MUTTAHIDAH</t>
  </si>
  <si>
    <t>JL. KH. ROFII SENTONG</t>
  </si>
  <si>
    <t>121235130107</t>
  </si>
  <si>
    <t>20581931</t>
  </si>
  <si>
    <t>MTSS SUNAN AMPEL KAMALKUNING</t>
  </si>
  <si>
    <t>121235130108</t>
  </si>
  <si>
    <t>20581938</t>
  </si>
  <si>
    <t>MTSS FATHUL ARIFIN</t>
  </si>
  <si>
    <t>Dusun Kuripan</t>
  </si>
  <si>
    <t>121235130111</t>
  </si>
  <si>
    <t>20581932</t>
  </si>
  <si>
    <t>MTSS AL HUSNA</t>
  </si>
  <si>
    <t>Jl. KH. Muh. Khozin Dawuhan</t>
  </si>
  <si>
    <t>121235130112</t>
  </si>
  <si>
    <t>20581933</t>
  </si>
  <si>
    <t>MTSS SIRAJUL ULUM</t>
  </si>
  <si>
    <t>DUSUN KRAJAN 2</t>
  </si>
  <si>
    <t>121235130807</t>
  </si>
  <si>
    <t>70039470</t>
  </si>
  <si>
    <t>MTs KAROMATUL HASAN</t>
  </si>
  <si>
    <t>Dsn. Krajan Sumberkatimoho</t>
  </si>
  <si>
    <t>121235130026</t>
  </si>
  <si>
    <t>20581953</t>
  </si>
  <si>
    <t>MTSS ZAINUL HASAN 3</t>
  </si>
  <si>
    <t>JL. PEZ ZAHA 2 TAMBELANG</t>
  </si>
  <si>
    <t>121235130034</t>
  </si>
  <si>
    <t>20581956</t>
  </si>
  <si>
    <t>MTSS SA TARBIYATUS SHIBYAN</t>
  </si>
  <si>
    <t>DEWI RENGGANIS</t>
  </si>
  <si>
    <t>121235130066</t>
  </si>
  <si>
    <t>20581954</t>
  </si>
  <si>
    <t>MTSS HAYATUL ISLAM</t>
  </si>
  <si>
    <t>Dsn Karang Tengah Rt/rw 11/04.</t>
  </si>
  <si>
    <t>121235130081</t>
  </si>
  <si>
    <t>20581957</t>
  </si>
  <si>
    <t>MTSS RAUDLATUT THOLIBIN</t>
  </si>
  <si>
    <t>DSN. KERTAKATA</t>
  </si>
  <si>
    <t>121235130121</t>
  </si>
  <si>
    <t>20581951</t>
  </si>
  <si>
    <t>MTSS NURUL HUDA</t>
  </si>
  <si>
    <t>JLN. AIR TERJUN KALI PEDATI</t>
  </si>
  <si>
    <t>121235130122</t>
  </si>
  <si>
    <t>20581958</t>
  </si>
  <si>
    <t>DUSUN JRANJANG</t>
  </si>
  <si>
    <t>121235130123</t>
  </si>
  <si>
    <t>20581952</t>
  </si>
  <si>
    <t>MTSS SUNAN KALIJAGA KRUCIL</t>
  </si>
  <si>
    <t>JL. LAPANGAN KARYA BHAKTI NO. 15</t>
  </si>
  <si>
    <t>121235130124</t>
  </si>
  <si>
    <t>20581959</t>
  </si>
  <si>
    <t>MTSS RAUDLATUL ISLAM</t>
  </si>
  <si>
    <t>JL. SENDIWAN RT/RW 05/02 DUSUN BAGUR</t>
  </si>
  <si>
    <t>121235130125</t>
  </si>
  <si>
    <t>20581955</t>
  </si>
  <si>
    <t>MTSS NURUL MUBTADIIEN</t>
  </si>
  <si>
    <t>Jl. Raya Krucil Rt.01/Rw.01</t>
  </si>
  <si>
    <t>121235130179</t>
  </si>
  <si>
    <t>69788382</t>
  </si>
  <si>
    <t>121235130180</t>
  </si>
  <si>
    <t>69788383</t>
  </si>
  <si>
    <t>MTSS AL HIDAYAH MUHAMMAD SHODIQ</t>
  </si>
  <si>
    <t>DUSUN DUREN RT/RW. 04/02</t>
  </si>
  <si>
    <t>121235130743</t>
  </si>
  <si>
    <t>69881677</t>
  </si>
  <si>
    <t>MTSS IBNU HASAN</t>
  </si>
  <si>
    <t>Dusun Sumber Beringin Rt.006/rw.003</t>
  </si>
  <si>
    <t>121235130798</t>
  </si>
  <si>
    <t>70035667</t>
  </si>
  <si>
    <t>MTs DARUL HIKMAH</t>
  </si>
  <si>
    <t>Dusun Brigaan RT 007/RW 004 Desa Plaosan</t>
  </si>
  <si>
    <t>121235130802</t>
  </si>
  <si>
    <t>70034018</t>
  </si>
  <si>
    <t>MTs ISLAMIYAH</t>
  </si>
  <si>
    <t>Jalan Air Terjun Kalipedati Dsn Mandati RT.013 RW.004</t>
  </si>
  <si>
    <t>121235130808</t>
  </si>
  <si>
    <t>70029260</t>
  </si>
  <si>
    <t>MTs MIFTAHUL ISLAM KROBUNGAN</t>
  </si>
  <si>
    <t>DSN. KRAJAN RT. 002 RW. 001</t>
  </si>
  <si>
    <t>121235130814</t>
  </si>
  <si>
    <t>70035119</t>
  </si>
  <si>
    <t>MTs MIFTAHUL ULUM SENENG</t>
  </si>
  <si>
    <t>DSN. SUMBERAN RT. 018 RW. 004</t>
  </si>
  <si>
    <t>121235130816</t>
  </si>
  <si>
    <t>70034384</t>
  </si>
  <si>
    <t>MTs NU KARAMATULLAH</t>
  </si>
  <si>
    <t>Dungbangu, Betek, Krucil, Probolinggo</t>
  </si>
  <si>
    <t>121235130056</t>
  </si>
  <si>
    <t>20581961</t>
  </si>
  <si>
    <t>MTSS MIFTAHUL KHOIR KURIPAN</t>
  </si>
  <si>
    <t>JL. TRUNOREJO NO. 75</t>
  </si>
  <si>
    <t>121235130126</t>
  </si>
  <si>
    <t>20581960</t>
  </si>
  <si>
    <t>MTSS RADEN SAID SUNAN KALIJAGA</t>
  </si>
  <si>
    <t>DUSUN KEDUNG GLAGAH RT. 002 RW. 004</t>
  </si>
  <si>
    <t>121235130788</t>
  </si>
  <si>
    <t>69994652</t>
  </si>
  <si>
    <t>MTSS ZAINUL FALAH</t>
  </si>
  <si>
    <t>JL. RAYA RESONGO NO. 1</t>
  </si>
  <si>
    <t>121235130812</t>
  </si>
  <si>
    <t>70034665</t>
  </si>
  <si>
    <t>MTs MIFTAHUL ULUM JATISARI</t>
  </si>
  <si>
    <t>Dusun Pering RT/RW 002 / 002</t>
  </si>
  <si>
    <t>121235130009</t>
  </si>
  <si>
    <t>20581969</t>
  </si>
  <si>
    <t>MTSS THOYYIB HASYIM</t>
  </si>
  <si>
    <t>JL. KY. HASYIM NO. 01 DUSUN KRAJAN 1 RT. 2 RW. 1</t>
  </si>
  <si>
    <t>121235130027</t>
  </si>
  <si>
    <t>20581968</t>
  </si>
  <si>
    <t>DUSUN KY HASAN</t>
  </si>
  <si>
    <t>121235130028</t>
  </si>
  <si>
    <t>20581964</t>
  </si>
  <si>
    <t>MTSS SULLAMUL HIDAYAH</t>
  </si>
  <si>
    <t>Jl. Ky. Maksum Dusun Campuran</t>
  </si>
  <si>
    <t>121235130029</t>
  </si>
  <si>
    <t>20581962</t>
  </si>
  <si>
    <t>JL. RAYA LUMAJANG NO. 120</t>
  </si>
  <si>
    <t>121235130030</t>
  </si>
  <si>
    <t>20581965</t>
  </si>
  <si>
    <t>MTSS ZAINUL IRSYAD</t>
  </si>
  <si>
    <t>Jl. Lumajang No. 50 RT 002 RW 001</t>
  </si>
  <si>
    <t>121235130031</t>
  </si>
  <si>
    <t>20581963</t>
  </si>
  <si>
    <t>MTSS HIKMATUL ULUM</t>
  </si>
  <si>
    <t>JL. RONGOJALU NO. 2</t>
  </si>
  <si>
    <t>121235130032</t>
  </si>
  <si>
    <t>20581971</t>
  </si>
  <si>
    <t>JL. JAMTOKO GG. MASJID 115</t>
  </si>
  <si>
    <t>121235130057</t>
  </si>
  <si>
    <t>20581970</t>
  </si>
  <si>
    <t>MTSS AL FALAH</t>
  </si>
  <si>
    <t>Jl.KOMAK INDAH NO 50 SUMBERKEDAWUNG</t>
  </si>
  <si>
    <t>121235130058</t>
  </si>
  <si>
    <t>20581966</t>
  </si>
  <si>
    <t>MTSS MIFTAHUL ULUM LECES</t>
  </si>
  <si>
    <t>JL. PAHLAWAN II NO. 86</t>
  </si>
  <si>
    <t>121235130059</t>
  </si>
  <si>
    <t>20581967</t>
  </si>
  <si>
    <t>MTSS NURUL ULUM</t>
  </si>
  <si>
    <t>Jl. Pesantren Dusun Kerpangan Selatan RT/RW : 06/12</t>
  </si>
  <si>
    <t>121235130167</t>
  </si>
  <si>
    <t>69853367</t>
  </si>
  <si>
    <t>MTSS ZAINUL HASAN 2</t>
  </si>
  <si>
    <t>JL KH HASAN GENGGONG</t>
  </si>
  <si>
    <t>121235130792</t>
  </si>
  <si>
    <t>70006747</t>
  </si>
  <si>
    <t>MTSS HIKMATUL HASANAH</t>
  </si>
  <si>
    <t>121235130817</t>
  </si>
  <si>
    <t>70039769</t>
  </si>
  <si>
    <t>MTs AR RUMI</t>
  </si>
  <si>
    <t>Jalan Sumberbulu No 01 Dusun Triwung 005/002</t>
  </si>
  <si>
    <t>121235130823</t>
  </si>
  <si>
    <t>70042581</t>
  </si>
  <si>
    <t>MTSS PLUS NUURUL JAMAAL</t>
  </si>
  <si>
    <t>DUSUN KRAJAN RT 008 RW 001</t>
  </si>
  <si>
    <t>121235130127</t>
  </si>
  <si>
    <t>20581973</t>
  </si>
  <si>
    <t>MTSS ZAINUL HASAN 4</t>
  </si>
  <si>
    <t>Jl. Raya Bromo No. 200 Desa Boto</t>
  </si>
  <si>
    <t>121235130129</t>
  </si>
  <si>
    <t>20579295</t>
  </si>
  <si>
    <t>MTSS MIFTAHUSSALAM</t>
  </si>
  <si>
    <t>JL. RAYA LUMBANG, DUSUN KRAJAN RT. 05 RW. 02</t>
  </si>
  <si>
    <t>121235130166</t>
  </si>
  <si>
    <t>20581972</t>
  </si>
  <si>
    <t>MTSS DARUS SHOLIHIN</t>
  </si>
  <si>
    <t>JL. RAYA BROMO DUSUN LOROKAN</t>
  </si>
  <si>
    <t>121235130813</t>
  </si>
  <si>
    <t>70036407</t>
  </si>
  <si>
    <t>MTs KUN FAYAKUN</t>
  </si>
  <si>
    <t>jln tongas lumbang dusun krajan rt 007 rw 002</t>
  </si>
  <si>
    <t>121235130033</t>
  </si>
  <si>
    <t>20581977</t>
  </si>
  <si>
    <t>MTSS SUNAN GIRI</t>
  </si>
  <si>
    <t>Jl. DKA. No. 01 BRABE</t>
  </si>
  <si>
    <t>121235130035</t>
  </si>
  <si>
    <t>20581976</t>
  </si>
  <si>
    <t>MTSS NU 2 MARON</t>
  </si>
  <si>
    <t>Jl. Raya Wonorejo No. 244</t>
  </si>
  <si>
    <t>121235130036</t>
  </si>
  <si>
    <t>20581982</t>
  </si>
  <si>
    <t>MTSS RAUDLATUL ISTIQOMAH</t>
  </si>
  <si>
    <t>JL. KLASEMAN-MARON KM. 04</t>
  </si>
  <si>
    <t>121235130045</t>
  </si>
  <si>
    <t>20581983</t>
  </si>
  <si>
    <t>MTSS NAHDLATUL ULAMA</t>
  </si>
  <si>
    <t>KY. AHMAD LEBAH</t>
  </si>
  <si>
    <t>121235130046</t>
  </si>
  <si>
    <t>20581984</t>
  </si>
  <si>
    <t>MTSS ZAINAL ABIDIN</t>
  </si>
  <si>
    <t>PONPES ZAINAL ABIDIN BRANI KULON</t>
  </si>
  <si>
    <t>121235130060</t>
  </si>
  <si>
    <t>20581979</t>
  </si>
  <si>
    <t>MTSS DARUS SALAM</t>
  </si>
  <si>
    <t>JL. CONDONG</t>
  </si>
  <si>
    <t>121235130072</t>
  </si>
  <si>
    <t>20581986</t>
  </si>
  <si>
    <t>MTSS RAUDLATUL FATAH</t>
  </si>
  <si>
    <t>DUSUN KRAJAN RT. 007/04</t>
  </si>
  <si>
    <t>121235130078</t>
  </si>
  <si>
    <t>20581975</t>
  </si>
  <si>
    <t>MTSS LUBBUL LABIB</t>
  </si>
  <si>
    <t>JL. KH. ACH. QUSYAIRI</t>
  </si>
  <si>
    <t>121235130093</t>
  </si>
  <si>
    <t>20581985</t>
  </si>
  <si>
    <t>MTSS NURUL HASAN</t>
  </si>
  <si>
    <t>JL. CONDONG DUSUN KRAJAN</t>
  </si>
  <si>
    <t>121235130128</t>
  </si>
  <si>
    <t>20581980</t>
  </si>
  <si>
    <t>MTSS AINUL HASAN</t>
  </si>
  <si>
    <t>Jl KH Hasan Genggong Gg  Satria Bd Wonorejo</t>
  </si>
  <si>
    <t>121235130130</t>
  </si>
  <si>
    <t>20581981</t>
  </si>
  <si>
    <t>JL. SIMPANG TIGA ASEM</t>
  </si>
  <si>
    <t>121235130131</t>
  </si>
  <si>
    <t>20581978</t>
  </si>
  <si>
    <t>MTSS WALISONGO 1 MARON</t>
  </si>
  <si>
    <t>JL. GENDING-MARON KM. 05</t>
  </si>
  <si>
    <t>121235130822</t>
  </si>
  <si>
    <t>70042184</t>
  </si>
  <si>
    <t>MTSS AL MU'IFFAH</t>
  </si>
  <si>
    <t>DUSUN NANAS RT 001 RW 002</t>
  </si>
  <si>
    <t>121135130001</t>
  </si>
  <si>
    <t>20581987</t>
  </si>
  <si>
    <t>MTSN 1 PROBOLINGGO</t>
  </si>
  <si>
    <t>JL. RAYA PANGLIMA SUDIRMAN NO. 59 KARANGANYAR</t>
  </si>
  <si>
    <t>121235130004</t>
  </si>
  <si>
    <t>20581994</t>
  </si>
  <si>
    <t>MTSS NURUL JADID</t>
  </si>
  <si>
    <t>JL. KH. ZAINI MUNIM PO. BOX. 01</t>
  </si>
  <si>
    <t>121235130037</t>
  </si>
  <si>
    <t>20581999</t>
  </si>
  <si>
    <t>JL. PP. AL-HIDAYAH</t>
  </si>
  <si>
    <t>121235130100</t>
  </si>
  <si>
    <t>20581997</t>
  </si>
  <si>
    <t>MTSS TARBIYATUL ISLAMIYAH</t>
  </si>
  <si>
    <t>121235130132</t>
  </si>
  <si>
    <t>20581988</t>
  </si>
  <si>
    <t>MTSS PANDEAN</t>
  </si>
  <si>
    <t>JL. PAKUNIRAN DUSUN KRAJAN RT. 16 RW. 06</t>
  </si>
  <si>
    <t>121235130133</t>
  </si>
  <si>
    <t>20581989</t>
  </si>
  <si>
    <t>JL. PESANTREN SUKODADI PAITON</t>
  </si>
  <si>
    <t>121235130134</t>
  </si>
  <si>
    <t>20581992</t>
  </si>
  <si>
    <t>MTSS BUSTANUL ABIDIN</t>
  </si>
  <si>
    <t>JL. P.B. SUDIRMAN BLK. PERUM PEGADAIAN JABUNG</t>
  </si>
  <si>
    <t>121235130135</t>
  </si>
  <si>
    <t>20581990</t>
  </si>
  <si>
    <t>JL. JOHARAN RT/RW. 07/03</t>
  </si>
  <si>
    <t>121235130136</t>
  </si>
  <si>
    <t>20581991</t>
  </si>
  <si>
    <t>MTSS NURUL YAQIN</t>
  </si>
  <si>
    <t>SUMBERANYAR</t>
  </si>
  <si>
    <t>121235130137</t>
  </si>
  <si>
    <t>20581995</t>
  </si>
  <si>
    <t>MTSS AZZAINIYAH 1</t>
  </si>
  <si>
    <t>DUSUN KRAJAN DESA RANDUMERAK</t>
  </si>
  <si>
    <t>121235130138</t>
  </si>
  <si>
    <t>20581998</t>
  </si>
  <si>
    <t>JL. TAMAN-PAITON</t>
  </si>
  <si>
    <t>121235130139</t>
  </si>
  <si>
    <t>20581993</t>
  </si>
  <si>
    <t>MTSS MAMBAUL HASAN</t>
  </si>
  <si>
    <t>JL. JOHARAN</t>
  </si>
  <si>
    <t>121235130140</t>
  </si>
  <si>
    <t>20581996</t>
  </si>
  <si>
    <t>MTSS AZZAINIYAH II</t>
  </si>
  <si>
    <t>JL. KH. ZAINI MUNIM</t>
  </si>
  <si>
    <t>121235130141</t>
  </si>
  <si>
    <t>20582001</t>
  </si>
  <si>
    <t>MTSS DARUL HIKMAH</t>
  </si>
  <si>
    <t>PATUKANGAN RT/RW. 10/03</t>
  </si>
  <si>
    <t>121235130142</t>
  </si>
  <si>
    <t>20582000</t>
  </si>
  <si>
    <t>MTSS NURUL QADIM</t>
  </si>
  <si>
    <t>JL. KH. HASYIM/K. MINO PO. BOX 03 JABUNG WETAN PAITON</t>
  </si>
  <si>
    <t>121235130189</t>
  </si>
  <si>
    <t>69928003</t>
  </si>
  <si>
    <t>MTSS SYARIEF HIDAYATULLAH</t>
  </si>
  <si>
    <t>JL. RAYA PAITON NO. 89</t>
  </si>
  <si>
    <t>121235130804</t>
  </si>
  <si>
    <t>MTS AL AZHAR AL SYARIF</t>
  </si>
  <si>
    <t>JL.PP. NURUL JADID 99 PAITON PROBOLINGGO</t>
  </si>
  <si>
    <t>121235130069</t>
  </si>
  <si>
    <t>69727648</t>
  </si>
  <si>
    <t>MTSS RAUDLATUS SHOLEH</t>
  </si>
  <si>
    <t>Pakuniran</t>
  </si>
  <si>
    <t>121235130073</t>
  </si>
  <si>
    <t>20582008</t>
  </si>
  <si>
    <t>MTSS RIYADLUS SHALIHIN</t>
  </si>
  <si>
    <t>121235130144</t>
  </si>
  <si>
    <t>20582010</t>
  </si>
  <si>
    <t>MTSS BAITUL MUTTAQIN</t>
  </si>
  <si>
    <t>121235130145</t>
  </si>
  <si>
    <t>20582011</t>
  </si>
  <si>
    <t>MTSS MIFTAHUL HASANAH</t>
  </si>
  <si>
    <t>121235130147</t>
  </si>
  <si>
    <t>20582009</t>
  </si>
  <si>
    <t>MTSS SUNAN AMPEL PAKUNIRAN</t>
  </si>
  <si>
    <t>JL. KERTONEGORO PAKUNIRAN</t>
  </si>
  <si>
    <t>121235130181</t>
  </si>
  <si>
    <t>69788379</t>
  </si>
  <si>
    <t>MTSS RAUDLATUL HIDAYAH</t>
  </si>
  <si>
    <t>121235130785</t>
  </si>
  <si>
    <t>69977768</t>
  </si>
  <si>
    <t>MTSS IHYAUL ISLAM</t>
  </si>
  <si>
    <t>DUSUN KRAJAN RT. 003/002 DESA ALAS PANDAN, KECAMATAN PAKUNIRAN</t>
  </si>
  <si>
    <t>121235130789</t>
  </si>
  <si>
    <t>69993652</t>
  </si>
  <si>
    <t>MTSS DARUL IHSAN</t>
  </si>
  <si>
    <t>Jl. Kertonegoro No. 01 Desa Kertonegoro Kec. Pakuniran Kab. Probolinggo</t>
  </si>
  <si>
    <t>121235130791</t>
  </si>
  <si>
    <t>70007467</t>
  </si>
  <si>
    <t>MTSS AL-HASYIMI</t>
  </si>
  <si>
    <t>JL. KALIDANDAN RT. 01 RW. 01</t>
  </si>
  <si>
    <t>121235130818</t>
  </si>
  <si>
    <t>70035523</t>
  </si>
  <si>
    <t>MTs DARUL ULUM ALPANCORI</t>
  </si>
  <si>
    <t>Jl Air Terjun RT/RW 009/004</t>
  </si>
  <si>
    <t>121235130819</t>
  </si>
  <si>
    <t>70039301</t>
  </si>
  <si>
    <t>MTs SIRAJUL ULUM</t>
  </si>
  <si>
    <t>Dusun Krajan RT/RW 007/004</t>
  </si>
  <si>
    <t>121235130824</t>
  </si>
  <si>
    <t>70045134</t>
  </si>
  <si>
    <t>MTS HIDAYATULLAH BIMO</t>
  </si>
  <si>
    <t>JALAN MAHONIAN DUSUN JELLUN RT.01 RW.01</t>
  </si>
  <si>
    <t>121135130002</t>
  </si>
  <si>
    <t>20582002</t>
  </si>
  <si>
    <t>MTSN 2 PROBOLINGGO</t>
  </si>
  <si>
    <t>Jl. Raya Karanggeger No.418</t>
  </si>
  <si>
    <t>121235130038</t>
  </si>
  <si>
    <t>20582003</t>
  </si>
  <si>
    <t>MTSS ICHYAUL ISLAM</t>
  </si>
  <si>
    <t>JL. CONDONG DUSUN KAPASAN</t>
  </si>
  <si>
    <t>121235130039</t>
  </si>
  <si>
    <t>20582004</t>
  </si>
  <si>
    <t>MTSS SALAFIYAH</t>
  </si>
  <si>
    <t>JL. CONDONG GANG II KH. NAWAWI SODIR</t>
  </si>
  <si>
    <t>121235130040</t>
  </si>
  <si>
    <t>20582006</t>
  </si>
  <si>
    <t>MTSS ZAINUL HASAN GENGGONG</t>
  </si>
  <si>
    <t>JL. KM. 03 PZH GENGGONG</t>
  </si>
  <si>
    <t>121235130143</t>
  </si>
  <si>
    <t>20582005</t>
  </si>
  <si>
    <t>MTSS USWATUN HASANAH</t>
  </si>
  <si>
    <t>121235130172</t>
  </si>
  <si>
    <t>20582007</t>
  </si>
  <si>
    <t>MTSS IZZATUL MUTAALLIMIN</t>
  </si>
  <si>
    <t>DUSUN KEBONAN</t>
  </si>
  <si>
    <t>121235130043</t>
  </si>
  <si>
    <t>20582015</t>
  </si>
  <si>
    <t>MTSS WALI SONGO</t>
  </si>
  <si>
    <t>Jalan Sukapura No.165</t>
  </si>
  <si>
    <t>121235130061</t>
  </si>
  <si>
    <t>20582016</t>
  </si>
  <si>
    <t>MASJID AL-BAROKAH LAWEYAN NO. 99A</t>
  </si>
  <si>
    <t>121235130080</t>
  </si>
  <si>
    <t>69853596</t>
  </si>
  <si>
    <t>MTSS NU BANJARSARI</t>
  </si>
  <si>
    <t>BANJARSARI</t>
  </si>
  <si>
    <t>121235130146</t>
  </si>
  <si>
    <t>20582014</t>
  </si>
  <si>
    <t>MTSS TARBIYATUL IHSAN</t>
  </si>
  <si>
    <t>DUSUN KALISAT RT/RW. 08/02</t>
  </si>
  <si>
    <t>121235130148</t>
  </si>
  <si>
    <t>20582012</t>
  </si>
  <si>
    <t>MTSS AL HIKMAH</t>
  </si>
  <si>
    <t>JL. SINGO WONGSO NO. 81 POHSANGIT LERES</t>
  </si>
  <si>
    <t>121235130168</t>
  </si>
  <si>
    <t>69853368</t>
  </si>
  <si>
    <t>Jl. Kyai Gede Dusun Blobo</t>
  </si>
  <si>
    <t>121235130810</t>
  </si>
  <si>
    <t>70034672</t>
  </si>
  <si>
    <t>MTs INTI</t>
  </si>
  <si>
    <t>Dusun Parus RT.002 RW.001</t>
  </si>
  <si>
    <t>121235130811</t>
  </si>
  <si>
    <t>70037172</t>
  </si>
  <si>
    <t>MTs AL-KARIM</t>
  </si>
  <si>
    <t>Dusun Kenongo</t>
  </si>
  <si>
    <t>121235130005</t>
  </si>
  <si>
    <t>20582017</t>
  </si>
  <si>
    <t>MTSS DARUL MUKHLASHIN</t>
  </si>
  <si>
    <t>JL. RAYA TEGALSIWALAN DUSUN KLOBUNGAN RT. 028 RW. 005</t>
  </si>
  <si>
    <t>121235130044</t>
  </si>
  <si>
    <t>20582021</t>
  </si>
  <si>
    <t>121235130149</t>
  </si>
  <si>
    <t>20582020</t>
  </si>
  <si>
    <t>DSN GRINTINGAN</t>
  </si>
  <si>
    <t>121235130151</t>
  </si>
  <si>
    <t>20582022</t>
  </si>
  <si>
    <t>MTSS BAHJATUL ULUM</t>
  </si>
  <si>
    <t>JL. RONGGOJALU PP. TARBIYATUS SALAFIYAH SUMBERMUNING RT / RW : 07 / 02 DESA TEGALSIWALAN</t>
  </si>
  <si>
    <t>121235130152</t>
  </si>
  <si>
    <t>20582019</t>
  </si>
  <si>
    <t>DUSUN. KRAJAN RT. 05 / RW. 01 DESA TEGALSIWALAN KEC. TEGALSIWALAN KAB. PROBOLINGGO</t>
  </si>
  <si>
    <t>121235130174</t>
  </si>
  <si>
    <t>20582018</t>
  </si>
  <si>
    <t>MTSS MANBAUL HIKAM</t>
  </si>
  <si>
    <t>JL. PON PES MANBAUL HIKAM DESA TEGALMOJO</t>
  </si>
  <si>
    <t>121235130803</t>
  </si>
  <si>
    <t>70039894</t>
  </si>
  <si>
    <t>MTs DARUL MUTTAQIN</t>
  </si>
  <si>
    <t>Jl. Ronggojalu No.78 Dusun. Krajan</t>
  </si>
  <si>
    <t>121235130806</t>
  </si>
  <si>
    <t>70036881</t>
  </si>
  <si>
    <t>MTs NURIL ANWAR</t>
  </si>
  <si>
    <t>121235130815</t>
  </si>
  <si>
    <t>70040360</t>
  </si>
  <si>
    <t>MTs MIFTAHUL HASAN AL LATIF</t>
  </si>
  <si>
    <t>Jl Dusun Bandungan RT 009 RW 003 Tegalsono</t>
  </si>
  <si>
    <t>121235130002</t>
  </si>
  <si>
    <t>69788281</t>
  </si>
  <si>
    <t>DUSUN KRAMAT RT. 016 RW.005</t>
  </si>
  <si>
    <t>121235130003</t>
  </si>
  <si>
    <t>20582034</t>
  </si>
  <si>
    <t>DUSUN KRAJAN RT. 001/RW. 001</t>
  </si>
  <si>
    <t>121235130047</t>
  </si>
  <si>
    <t>20582024</t>
  </si>
  <si>
    <t>MTSS NAHDLATUT THALIBIN</t>
  </si>
  <si>
    <t>Jl.Ky Maksum Dusun Kembang  Tegalwatu Tiris</t>
  </si>
  <si>
    <t>121235130062</t>
  </si>
  <si>
    <t>20582031</t>
  </si>
  <si>
    <t>MTSS MISBAHUL HASAN</t>
  </si>
  <si>
    <t>JL. BATU LAWANG, RT/RW. 001/001, DUSUN KRAJAN</t>
  </si>
  <si>
    <t>121235130063</t>
  </si>
  <si>
    <t>20582030</t>
  </si>
  <si>
    <t>MTSS DARUL MUSTHOFA</t>
  </si>
  <si>
    <t>Dusun Krajan RT:04 RW:02</t>
  </si>
  <si>
    <t>121235130067</t>
  </si>
  <si>
    <t>20582032</t>
  </si>
  <si>
    <t>MTSS DARUL HASAN</t>
  </si>
  <si>
    <t>JL. WIJAYA KUSUMA NO. 70</t>
  </si>
  <si>
    <t>121235130079</t>
  </si>
  <si>
    <t>20582036</t>
  </si>
  <si>
    <t>MTSS SIRAJUT THALIBIN</t>
  </si>
  <si>
    <t>JL. PP. SIRAJUT THALIBIN</t>
  </si>
  <si>
    <t>121235130150</t>
  </si>
  <si>
    <t>20582023</t>
  </si>
  <si>
    <t>TULUPARARI</t>
  </si>
  <si>
    <t>121235130153</t>
  </si>
  <si>
    <t>20582033</t>
  </si>
  <si>
    <t>MTSS SYEKH ABD QODIR AL JAILANI</t>
  </si>
  <si>
    <t>SYEKH ABDUL QODIR RT. 12 RW. 03</t>
  </si>
  <si>
    <t>121235130154</t>
  </si>
  <si>
    <t>20582028</t>
  </si>
  <si>
    <t>DUSUN KRAJAN RT. 04 RW. 01 SEGARAN TIRIS</t>
  </si>
  <si>
    <t>121235130156</t>
  </si>
  <si>
    <t>20582026</t>
  </si>
  <si>
    <t>MTSS BARAKATUL HASAN</t>
  </si>
  <si>
    <t>Jl. blimbing No. 2 Dusun Blimbingan</t>
  </si>
  <si>
    <t>121235130161</t>
  </si>
  <si>
    <t>20582029</t>
  </si>
  <si>
    <t>MTSS ILHAMUL HASAN</t>
  </si>
  <si>
    <t>JL. PP.ILHAMUL HASAN RT. 10 RW. 003 DUSUN RACEK TENGAH</t>
  </si>
  <si>
    <t>121235130162</t>
  </si>
  <si>
    <t>20582025</t>
  </si>
  <si>
    <t>MTSS RIYADLUS SHOLIHIN</t>
  </si>
  <si>
    <t>Sumur Bor Dusun Gembor 2 Rt.005 Rw.002</t>
  </si>
  <si>
    <t>121235130173</t>
  </si>
  <si>
    <t>69853597</t>
  </si>
  <si>
    <t>JL. RANU DUWAS RT. 05 RW. 02 DUSUN SEGARAN</t>
  </si>
  <si>
    <t>121235130188</t>
  </si>
  <si>
    <t>69941490</t>
  </si>
  <si>
    <t>MTSS HIDAYATUL ISTIQOMAH</t>
  </si>
  <si>
    <t>JL. MASJID SUDIRO</t>
  </si>
  <si>
    <t>121235130793</t>
  </si>
  <si>
    <t>70006746</t>
  </si>
  <si>
    <t>MTSS SUNAN KALIJOGO</t>
  </si>
  <si>
    <t>121235130795</t>
  </si>
  <si>
    <t>70006620</t>
  </si>
  <si>
    <t>MTSS MUHAMMAD SHODIQ II</t>
  </si>
  <si>
    <t>121135130003</t>
  </si>
  <si>
    <t>20582037</t>
  </si>
  <si>
    <t>MTSN 3 PROBOLINGGO</t>
  </si>
  <si>
    <t>JL. TAMBAK BAHAK NO. 01</t>
  </si>
  <si>
    <t>121235130155</t>
  </si>
  <si>
    <t>20582038</t>
  </si>
  <si>
    <t>MTSS DARUSSALAM TONGAS</t>
  </si>
  <si>
    <t>JL. GUNUNG TUGEL NO. 400 TONGAS KULON</t>
  </si>
  <si>
    <t>121235130163</t>
  </si>
  <si>
    <t>69788380</t>
  </si>
  <si>
    <t>MTSS MADINATUL ILMI</t>
  </si>
  <si>
    <t>DUSUN DARUNGAN RT 009 RW 004</t>
  </si>
  <si>
    <t>121235130177</t>
  </si>
  <si>
    <t>69788381</t>
  </si>
  <si>
    <t>MTSS HIDAYATUS SALAFIYAH</t>
  </si>
  <si>
    <t>JL. PESANTREN DUSUN MAKAM</t>
  </si>
  <si>
    <t>121235130050</t>
  </si>
  <si>
    <t>20582040</t>
  </si>
  <si>
    <t>Jl. Sunan Ampel No. 99</t>
  </si>
  <si>
    <t>121235130051</t>
  </si>
  <si>
    <t>20579297</t>
  </si>
  <si>
    <t>Jl. Kyai Wangi, Dusun Bindung Rt 03 Rw 01</t>
  </si>
  <si>
    <t>121235130052</t>
  </si>
  <si>
    <t>20585008</t>
  </si>
  <si>
    <t>MTSS AINUL YAQIN</t>
  </si>
  <si>
    <t>DUSUN GEDANGAN RT. 009 RW. 002 DESA SUMBERKARE</t>
  </si>
  <si>
    <t>121235130157</t>
  </si>
  <si>
    <t>20582042</t>
  </si>
  <si>
    <t>JL. RAYA SUKAPURA KM. 04</t>
  </si>
  <si>
    <t>121235130158</t>
  </si>
  <si>
    <t>20582041</t>
  </si>
  <si>
    <t>JL. LUMBANG DSN PELAN KEREP DESA SUMBERKARE KECAMATAN WONOMERTO</t>
  </si>
  <si>
    <t>121235130794</t>
  </si>
  <si>
    <t>70006622</t>
  </si>
  <si>
    <t>MTSS ALAWIYAH</t>
  </si>
  <si>
    <t>Jl. Trunorejo Dusun Dawuan</t>
  </si>
  <si>
    <t>JL. CONDONG RT. 06 RW. 02 DESA PAJARAKAN KULON KEC. PAJARAKAN KAB. PROBOLINGGO</t>
  </si>
  <si>
    <t>Status Konfirmasi</t>
  </si>
  <si>
    <t>Afiliasi Organisasi</t>
  </si>
  <si>
    <t>131235130001</t>
  </si>
  <si>
    <t>20584518</t>
  </si>
  <si>
    <t>MAS UMMUL QURO</t>
  </si>
  <si>
    <t>Madrasah Aliyah</t>
  </si>
  <si>
    <t>JL. RAYA BANTARAN NO. 39</t>
  </si>
  <si>
    <t>Sudah Konfirmasi</t>
  </si>
  <si>
    <t>131235130070</t>
  </si>
  <si>
    <t>69894871</t>
  </si>
  <si>
    <t>MAS MIFTAHUL ULUM AN-NUR</t>
  </si>
  <si>
    <t>Jl. Raya Wonoasih-Bantaran Km 03. Kropak Bantaran Probolinggo</t>
  </si>
  <si>
    <t>131235130077</t>
  </si>
  <si>
    <t>69941745</t>
  </si>
  <si>
    <t>MAS MIFTAHUL ULUM</t>
  </si>
  <si>
    <t>DUSUN LAMPEAN</t>
  </si>
  <si>
    <t>Belum Konfirmasi</t>
  </si>
  <si>
    <t>131235130096</t>
  </si>
  <si>
    <t>69975840</t>
  </si>
  <si>
    <t>MAS AL-ARIFIN</t>
  </si>
  <si>
    <t>Jl. Kedung Manggis Blok Jembatan RT 14 RW 04</t>
  </si>
  <si>
    <t>NU</t>
  </si>
  <si>
    <t>131235130105</t>
  </si>
  <si>
    <t>70006690</t>
  </si>
  <si>
    <t>MAS PROGRESIF UMMUL QURO</t>
  </si>
  <si>
    <t>131235130117</t>
  </si>
  <si>
    <t>70034356</t>
  </si>
  <si>
    <t>MA DARU MAFATIHIL ULUM</t>
  </si>
  <si>
    <t>JL. PESANTREN NO. 659 RT/RW : 012/005</t>
  </si>
  <si>
    <t>131235130131</t>
  </si>
  <si>
    <t>70034680</t>
  </si>
  <si>
    <t>MA IRSYADUDDINIYAH</t>
  </si>
  <si>
    <t>JL. RAYA PATOKAN NO. 73 RT/RW : 005/002</t>
  </si>
  <si>
    <t>131235130002</t>
  </si>
  <si>
    <t>20579871</t>
  </si>
  <si>
    <t>MAS MIRQATUL ULUM</t>
  </si>
  <si>
    <t>DUSUN NYABRANG</t>
  </si>
  <si>
    <t>131235130003</t>
  </si>
  <si>
    <t>20579872</t>
  </si>
  <si>
    <t>MAS MISBAHUL FATA</t>
  </si>
  <si>
    <t>JL. SIHA NO. 45 DUSUN SUKUN RT. 02 RW. 02</t>
  </si>
  <si>
    <t>131235130004</t>
  </si>
  <si>
    <t>20584513</t>
  </si>
  <si>
    <t>MAS SUNAN KALIJAGA</t>
  </si>
  <si>
    <t>DUSUN SEKOLAHAN RT. 011 RW. 004 BANYUANYAR TENGAH</t>
  </si>
  <si>
    <t>131235130060</t>
  </si>
  <si>
    <t>20579853</t>
  </si>
  <si>
    <t>MAS IHYAUL ISLAM</t>
  </si>
  <si>
    <t>KLENANG KIDUL</t>
  </si>
  <si>
    <t>131235130062</t>
  </si>
  <si>
    <t>60728136</t>
  </si>
  <si>
    <t>MAS NURIDDAHLANI</t>
  </si>
  <si>
    <t>JL. JEMBATAN BARU HM DAHLAN</t>
  </si>
  <si>
    <t>131235130098</t>
  </si>
  <si>
    <t>69993356</t>
  </si>
  <si>
    <t>MAS WALISONGO 2 BANYUANYAR</t>
  </si>
  <si>
    <t>JL. MASJID BESAR BANYUANYAR</t>
  </si>
  <si>
    <t>131235130112</t>
  </si>
  <si>
    <t>70006687</t>
  </si>
  <si>
    <t>MAS AL-KHOZINIYAH</t>
  </si>
  <si>
    <t>DUSUN PAO RT 07 RT 02</t>
  </si>
  <si>
    <t>131235130136</t>
  </si>
  <si>
    <t>70044832</t>
  </si>
  <si>
    <t>MA NURIL HISYAM</t>
  </si>
  <si>
    <t>JALAN PENDIL KRAJAN RT.27 RW.07</t>
  </si>
  <si>
    <t>131235130005</t>
  </si>
  <si>
    <t>20579845</t>
  </si>
  <si>
    <t>MAS BAHRUL ULUM</t>
  </si>
  <si>
    <t>131235130088</t>
  </si>
  <si>
    <t>69977841</t>
  </si>
  <si>
    <t>MAS NURUL WAHID AL-WAHYUNI</t>
  </si>
  <si>
    <t>JL. K. KATSIR DUSUN TALAR 02</t>
  </si>
  <si>
    <t>131235130133</t>
  </si>
  <si>
    <t>70045552</t>
  </si>
  <si>
    <t>MA MIFTAHUL KHAIR</t>
  </si>
  <si>
    <t>JALAN HABIB AHMAD</t>
  </si>
  <si>
    <t>131235130006</t>
  </si>
  <si>
    <t>20584506</t>
  </si>
  <si>
    <t>MAS AL-UM</t>
  </si>
  <si>
    <t>Lainnya</t>
  </si>
  <si>
    <t>131235130101</t>
  </si>
  <si>
    <t>70006686</t>
  </si>
  <si>
    <t>MAS DARUS SALAM NGEPOH</t>
  </si>
  <si>
    <t>DUSUN MAKAM RT. 07 RW. 02</t>
  </si>
  <si>
    <t>131235130007</t>
  </si>
  <si>
    <t>20579869</t>
  </si>
  <si>
    <t>MAS MIFTAHUL JANNAH</t>
  </si>
  <si>
    <t>JL. MAY JEND WIDODO 53 WANGKAL</t>
  </si>
  <si>
    <t>131235130008</t>
  </si>
  <si>
    <t>20584524</t>
  </si>
  <si>
    <t>MAS ZAINUL HASAN 2</t>
  </si>
  <si>
    <t>JL. KH. MOH. HASAN NO. 99</t>
  </si>
  <si>
    <t>131235130069</t>
  </si>
  <si>
    <t>69894867</t>
  </si>
  <si>
    <t>MAS DARUL HASAN</t>
  </si>
  <si>
    <t>131235130084</t>
  </si>
  <si>
    <t>69977837</t>
  </si>
  <si>
    <t>MAS MIFTAHUL HASAN</t>
  </si>
  <si>
    <t>131235130107</t>
  </si>
  <si>
    <t>70006685</t>
  </si>
  <si>
    <t>MAS KHOLAFIYAH HASANIYAH</t>
  </si>
  <si>
    <t>JL. R. SIDHARTA NO. 45 RT. 05 RW. 03 Desa Gading Wetan</t>
  </si>
  <si>
    <t>131235130114</t>
  </si>
  <si>
    <t>70034666</t>
  </si>
  <si>
    <t>MA ROBITHATUL QUR'AN</t>
  </si>
  <si>
    <t>131235130118</t>
  </si>
  <si>
    <t>70029187</t>
  </si>
  <si>
    <t>MA Nurul Anwar</t>
  </si>
  <si>
    <t>Jl. Raya Sentul Dusun Krajan RT 001 RW 001 Desa Sentul Kecamatan Gading Kabupaten Probolinggo</t>
  </si>
  <si>
    <t>131235130009</t>
  </si>
  <si>
    <t>20584520</t>
  </si>
  <si>
    <t>MAS WALISONGO</t>
  </si>
  <si>
    <t>Jl. Raya Sebaung Gending Probolinggo 67272</t>
  </si>
  <si>
    <t>131235130010</t>
  </si>
  <si>
    <t>20579870</t>
  </si>
  <si>
    <t>Jl. Banyubiru Dsn. Krajan Banyuanyar Lor Gending Probolinggo</t>
  </si>
  <si>
    <t>131235130071</t>
  </si>
  <si>
    <t>69886300</t>
  </si>
  <si>
    <t>MAS FATAHILLAH</t>
  </si>
  <si>
    <t>JL. PON.PES FATAHILLAH DUSUN TALANG RT. 03 RW. 05 DESA SUMBERKERANG</t>
  </si>
  <si>
    <t>131235130099</t>
  </si>
  <si>
    <t>69994778</t>
  </si>
  <si>
    <t>MAS TARBIYATUL ISLAM</t>
  </si>
  <si>
    <t>DUSUN KARNIN WETAN NO. 254 SUMBERKERANG</t>
  </si>
  <si>
    <t>131235130109</t>
  </si>
  <si>
    <t>70009431</t>
  </si>
  <si>
    <t>MAS KETERAMPILAN NURUR ROHMAH</t>
  </si>
  <si>
    <t>DUSUN DARUNGAN RT. 017 RW. 003</t>
  </si>
  <si>
    <t>131235130124</t>
  </si>
  <si>
    <t>70041160</t>
  </si>
  <si>
    <t>MA MODEL DARUSSALAM</t>
  </si>
  <si>
    <t>KLASEMAN</t>
  </si>
  <si>
    <t>131235130135</t>
  </si>
  <si>
    <t>70045243</t>
  </si>
  <si>
    <t>MA UNGGULAN MASLAHATUL UMMAH</t>
  </si>
  <si>
    <t>JALAN RAYA GENDING</t>
  </si>
  <si>
    <t>131235130011</t>
  </si>
  <si>
    <t>20584514</t>
  </si>
  <si>
    <t>MAS SYAFI'IYAH</t>
  </si>
  <si>
    <t>JL. KH ZAINUL MUIN PP NURUR RAHMAH</t>
  </si>
  <si>
    <t>131235130095</t>
  </si>
  <si>
    <t>69975839</t>
  </si>
  <si>
    <t>MAS AL-KHOIRIYAH</t>
  </si>
  <si>
    <t>131235130119</t>
  </si>
  <si>
    <t>70028215</t>
  </si>
  <si>
    <t>MA TERPADU NURUL ANWAR</t>
  </si>
  <si>
    <t>Dusun Krajan RT.10/Rw.05</t>
  </si>
  <si>
    <t>131235130126</t>
  </si>
  <si>
    <t>70043404</t>
  </si>
  <si>
    <t>MA PROGRESIF BUMI AL-QUR'AN KOTAANYAR</t>
  </si>
  <si>
    <t>Jl. Raya Gondosuli No.02</t>
  </si>
  <si>
    <t>131235130012</t>
  </si>
  <si>
    <t>20584521</t>
  </si>
  <si>
    <t>MAS ZAINUL ANWAR</t>
  </si>
  <si>
    <t>ALASSUMUR KULON KRAKSAAN</t>
  </si>
  <si>
    <t>131235130013</t>
  </si>
  <si>
    <t>20584510</t>
  </si>
  <si>
    <t>MAS SIROJUL ISLAM</t>
  </si>
  <si>
    <t>JL. KH MUNIR CHOZIN NO. 8</t>
  </si>
  <si>
    <t>131235130014</t>
  </si>
  <si>
    <t>20579873</t>
  </si>
  <si>
    <t>MAS NAHDLATUL ULAMA'</t>
  </si>
  <si>
    <t>JL. MAYJEND PANJAITAN 16 A KEL. SIDOMUKTI KEC. KRAKSAAN KAB. PROBOLINGGO</t>
  </si>
  <si>
    <t>131235130015</t>
  </si>
  <si>
    <t>20584515</t>
  </si>
  <si>
    <t>MAS SYEKH ABDUL QODIR AL JAILANI RANGKANG</t>
  </si>
  <si>
    <t>JL. JOGOSARI NO.09</t>
  </si>
  <si>
    <t>131235130016</t>
  </si>
  <si>
    <t>20579858</t>
  </si>
  <si>
    <t>MAS NURUL ISLAM</t>
  </si>
  <si>
    <t>JL. PELABUHAN NO. 381 KALIBUNTU KRAKSAAN PROBOLINGGO 67282</t>
  </si>
  <si>
    <t>131235130017</t>
  </si>
  <si>
    <t>69726471</t>
  </si>
  <si>
    <t>MAS PLUS AL-MASHDUQIAH</t>
  </si>
  <si>
    <t>JL. IR. H. JUANDA NO. 370</t>
  </si>
  <si>
    <t>Mandiri</t>
  </si>
  <si>
    <t>131235130018</t>
  </si>
  <si>
    <t>20579843</t>
  </si>
  <si>
    <t>MAS BADRIDDUJA</t>
  </si>
  <si>
    <t>131235130019</t>
  </si>
  <si>
    <t>20579848</t>
  </si>
  <si>
    <t>MAS DARUL LUGHAH WAL KAROMAH</t>
  </si>
  <si>
    <t>Jl. Mayjen Panjaitan No. 12</t>
  </si>
  <si>
    <t>131235130020</t>
  </si>
  <si>
    <t>20579879</t>
  </si>
  <si>
    <t>MAS NURUL QUR'AN</t>
  </si>
  <si>
    <t>Jl. Ir. H. Juanda No. 41</t>
  </si>
  <si>
    <t>131235130110</t>
  </si>
  <si>
    <t>70007066</t>
  </si>
  <si>
    <t>MAS PLUS TARUNA ISLAM AL-KAUTSAR</t>
  </si>
  <si>
    <t>JL. PATTIMURA NO. 1</t>
  </si>
  <si>
    <t>131235130116</t>
  </si>
  <si>
    <t>70034664</t>
  </si>
  <si>
    <t>MA NURUD DZALAM</t>
  </si>
  <si>
    <t>Dusun Wakaf RT. 03 RW. 07</t>
  </si>
  <si>
    <t>131235130021</t>
  </si>
  <si>
    <t>20584505</t>
  </si>
  <si>
    <t>MAS AL-MUTTAHIDAH</t>
  </si>
  <si>
    <t>Jl. Kh. Rofii Abd. Karim Dusun Krajan</t>
  </si>
  <si>
    <t>131235130022</t>
  </si>
  <si>
    <t>20584511</t>
  </si>
  <si>
    <t>MAS SUNAN AMPEL</t>
  </si>
  <si>
    <t>131235130023</t>
  </si>
  <si>
    <t>20579875</t>
  </si>
  <si>
    <t>MAS NURUD DAKWAH</t>
  </si>
  <si>
    <t>JL. PENANGAN NO. 97 A</t>
  </si>
  <si>
    <t>131235130024</t>
  </si>
  <si>
    <t>20584525</t>
  </si>
  <si>
    <t>MAS ZAINUL HASAN 3</t>
  </si>
  <si>
    <t>Jl. Pahlawan No. 04 Krejengan</t>
  </si>
  <si>
    <t>131235130025</t>
  </si>
  <si>
    <t>20579851</t>
  </si>
  <si>
    <t>MAS DARUT TAUHID</t>
  </si>
  <si>
    <t>JL. KH. HASAN SAIFOURRIDZAL. NO. 06 TANJUNGSARI</t>
  </si>
  <si>
    <t>131235130059</t>
  </si>
  <si>
    <t>20577752</t>
  </si>
  <si>
    <t>MAS AL HUSNA</t>
  </si>
  <si>
    <t>131235130061</t>
  </si>
  <si>
    <t>20584507</t>
  </si>
  <si>
    <t>MAS RAUDLATUL MUTAALLIMIN</t>
  </si>
  <si>
    <t>JL. KH. ACH. NURUDDIN NO. 20 DUSUN KRAJAN DESA OPO-OPO</t>
  </si>
  <si>
    <t>131235130067</t>
  </si>
  <si>
    <t>69894868</t>
  </si>
  <si>
    <t>MAS NURUL ISTIFADAH</t>
  </si>
  <si>
    <t>131235130082</t>
  </si>
  <si>
    <t>69963551</t>
  </si>
  <si>
    <t>MAS SIRAJUL ULUM</t>
  </si>
  <si>
    <t>DUSUN KRAJAN II</t>
  </si>
  <si>
    <t>131235130132</t>
  </si>
  <si>
    <t>70034673</t>
  </si>
  <si>
    <t>MA BAROKATUL HASAN</t>
  </si>
  <si>
    <t>Dusun Asem Rt 02 Rw 02</t>
  </si>
  <si>
    <t>131235130026</t>
  </si>
  <si>
    <t>20584512</t>
  </si>
  <si>
    <t>MAS SUNAN GIRI</t>
  </si>
  <si>
    <t>DUSUN TENGAH, DESA KRUCIL, RT 011, RW 002</t>
  </si>
  <si>
    <t>131235130086</t>
  </si>
  <si>
    <t>69977839</t>
  </si>
  <si>
    <t>MAS NU TARBIYATUS SHIBYAN</t>
  </si>
  <si>
    <t>Jl Dewi Rengganis</t>
  </si>
  <si>
    <t>131235130087</t>
  </si>
  <si>
    <t>69977840</t>
  </si>
  <si>
    <t>JL. JERANGJANG</t>
  </si>
  <si>
    <t>131235130104</t>
  </si>
  <si>
    <t>70006806</t>
  </si>
  <si>
    <t>MAS PLUS TARBIYATUL ISLAM</t>
  </si>
  <si>
    <t>JL. GADING-PANJILARAS KM. 08 RT. 009 RW. 002 DUSUN SENENG TENGAH</t>
  </si>
  <si>
    <t>131235130113</t>
  </si>
  <si>
    <t>70034522</t>
  </si>
  <si>
    <t>MA MIFTAHUL ULUM</t>
  </si>
  <si>
    <t>Dusun Kramat RT/RW 018/007</t>
  </si>
  <si>
    <t>131235130115</t>
  </si>
  <si>
    <t>70035262</t>
  </si>
  <si>
    <t>MA MUHAMMAD SHODIQ</t>
  </si>
  <si>
    <t>DUSUN KERTAKATA RT. 005 RW. 002</t>
  </si>
  <si>
    <t>131235130127</t>
  </si>
  <si>
    <t>70035668</t>
  </si>
  <si>
    <t>MA ALHIDAYAH MUHAMMAD SHODIQ</t>
  </si>
  <si>
    <t>DUSUN DUREN RT. 005 RW. 002</t>
  </si>
  <si>
    <t>131235130128</t>
  </si>
  <si>
    <t>70034681</t>
  </si>
  <si>
    <t>MA MAMBAUL ULUM</t>
  </si>
  <si>
    <t>Jalan Raya Sumberduren, RT 010 RW 003</t>
  </si>
  <si>
    <t>131235130130</t>
  </si>
  <si>
    <t>70034679</t>
  </si>
  <si>
    <t>MA WALI SONGO</t>
  </si>
  <si>
    <t>Kertosuko</t>
  </si>
  <si>
    <t>131235130137</t>
  </si>
  <si>
    <t>70045012</t>
  </si>
  <si>
    <t>MA MIFTAHUL ISLAM KROBUNGAN</t>
  </si>
  <si>
    <t>131235130066</t>
  </si>
  <si>
    <t>69815360</t>
  </si>
  <si>
    <t>MAS MIFTAHUL KHOIR</t>
  </si>
  <si>
    <t>JL. TRUNOREJO NO. 75 DESA MENYONO</t>
  </si>
  <si>
    <t>131235130027</t>
  </si>
  <si>
    <t>20584517</t>
  </si>
  <si>
    <t>MAS THOYYIB HASYIM</t>
  </si>
  <si>
    <t>JL. KY. HASYIM JORONGAN LECES</t>
  </si>
  <si>
    <t>131235130028</t>
  </si>
  <si>
    <t>20579881</t>
  </si>
  <si>
    <t>MAS NURUR RAHMAH</t>
  </si>
  <si>
    <t>131235130029</t>
  </si>
  <si>
    <t>20579860</t>
  </si>
  <si>
    <t>Dusun  Kyai  Hasan Rt/Rw 003/004  kerpangan leces probolinggo</t>
  </si>
  <si>
    <t>131235130063</t>
  </si>
  <si>
    <t>69849466</t>
  </si>
  <si>
    <t>MAS HIKMATUL ULUM</t>
  </si>
  <si>
    <t>JL. RONGGOJALU NO. 02</t>
  </si>
  <si>
    <t>131235130065</t>
  </si>
  <si>
    <t>69815359</t>
  </si>
  <si>
    <t>MAS SULLAMUL HIDAYAH</t>
  </si>
  <si>
    <t>Dusun Campuran RT 03 RW 08</t>
  </si>
  <si>
    <t>131235130121</t>
  </si>
  <si>
    <t>70035521</t>
  </si>
  <si>
    <t>MA NURUL ULUM</t>
  </si>
  <si>
    <t>Dusun Kerpangan Selatan RT/RW : 06/12</t>
  </si>
  <si>
    <t>131235130129</t>
  </si>
  <si>
    <t>70035240</t>
  </si>
  <si>
    <t>MA NUURUL JAMAAL</t>
  </si>
  <si>
    <t>Dusun Krajan RT/RW 008/001</t>
  </si>
  <si>
    <t>131235130064</t>
  </si>
  <si>
    <t>69815358</t>
  </si>
  <si>
    <t>MAS DARUS SHOLIHIN</t>
  </si>
  <si>
    <t>131235130072</t>
  </si>
  <si>
    <t>69894869</t>
  </si>
  <si>
    <t>MAS ZAINUL HASAN V</t>
  </si>
  <si>
    <t>Jl. Raya Bromo No. 200</t>
  </si>
  <si>
    <t>131235130123</t>
  </si>
  <si>
    <t>70035259</t>
  </si>
  <si>
    <t>MA AL - HAQIQY</t>
  </si>
  <si>
    <t>Dsn. Krajan RT/RW 003/001</t>
  </si>
  <si>
    <t>131235130030</t>
  </si>
  <si>
    <t>20579874</t>
  </si>
  <si>
    <t>MAS NU MARON</t>
  </si>
  <si>
    <t>JL. KYAI AHMAD ABDURROHIM MARON WETAN</t>
  </si>
  <si>
    <t>131235130031</t>
  </si>
  <si>
    <t>20579861</t>
  </si>
  <si>
    <t>MAS RAUDLATUL ISTIQOMAH</t>
  </si>
  <si>
    <t>JL. KLASEMAN-MARON. DESA SUKO KECAMATAN.MARON RT. 004.RW. 001</t>
  </si>
  <si>
    <t>131235130032</t>
  </si>
  <si>
    <t>20579856</t>
  </si>
  <si>
    <t>MAS LUBBUL LABIB</t>
  </si>
  <si>
    <t>131235130033</t>
  </si>
  <si>
    <t>20584504</t>
  </si>
  <si>
    <t>MAS AINUL HASAN</t>
  </si>
  <si>
    <t>JL. KH. HASAN GENGGONG GG. SATRIA BD</t>
  </si>
  <si>
    <t>131235130074</t>
  </si>
  <si>
    <t>69941748</t>
  </si>
  <si>
    <t>MAS SUNAN BONANG</t>
  </si>
  <si>
    <t>131235130075</t>
  </si>
  <si>
    <t>69941747</t>
  </si>
  <si>
    <t>MAS NURUL HASAN</t>
  </si>
  <si>
    <t>JL. CONDONG-PAJARAKAN DUSUN KRAJAN</t>
  </si>
  <si>
    <t>131235130092</t>
  </si>
  <si>
    <t>69977845</t>
  </si>
  <si>
    <t>MAS RAUDLATUL FATAH</t>
  </si>
  <si>
    <t>131235130111</t>
  </si>
  <si>
    <t>70007067</t>
  </si>
  <si>
    <t>MAS DARUL FALAH</t>
  </si>
  <si>
    <t>DUSUN KRAJAN RT. 04 RW. 02</t>
  </si>
  <si>
    <t>131135130001</t>
  </si>
  <si>
    <t>20579855</t>
  </si>
  <si>
    <t>MAN 1 PROBOLINGGO</t>
  </si>
  <si>
    <t>JL. RAYA KARANGANYAR PAITON</t>
  </si>
  <si>
    <t>131235130034</t>
  </si>
  <si>
    <t>20579866</t>
  </si>
  <si>
    <t>MAS MAMBAUL ULUM</t>
  </si>
  <si>
    <t>131235130035</t>
  </si>
  <si>
    <t>20579854</t>
  </si>
  <si>
    <t>MAS ISLAMIYAH SYAFIIYAH</t>
  </si>
  <si>
    <t>DESA SUMBERANYAR</t>
  </si>
  <si>
    <t>131235130036</t>
  </si>
  <si>
    <t>20579842</t>
  </si>
  <si>
    <t>MAS ARRIYADLAH PANDEAN</t>
  </si>
  <si>
    <t>JL. PAKUNIRAN PANDEAN PAITON PROBOLINGGO 67291</t>
  </si>
  <si>
    <t>131235130037</t>
  </si>
  <si>
    <t>20579850</t>
  </si>
  <si>
    <t>MAS DARUL ULUM</t>
  </si>
  <si>
    <t>131235130038</t>
  </si>
  <si>
    <t>20579864</t>
  </si>
  <si>
    <t>MAS MAMBAUL HASAN</t>
  </si>
  <si>
    <t>JL. JOHARAN SUMBERREJO PAITON</t>
  </si>
  <si>
    <t>131235130039</t>
  </si>
  <si>
    <t>20579877</t>
  </si>
  <si>
    <t>MAS NURUL HIDAYAH</t>
  </si>
  <si>
    <t>JL. JOHARAN DUSUN KRAJANRT. 07 RW. 03</t>
  </si>
  <si>
    <t>131235130040</t>
  </si>
  <si>
    <t>20579878</t>
  </si>
  <si>
    <t>MAS NURUL JADID</t>
  </si>
  <si>
    <t>Desa Karanganyar Kecamatan Paiton Kabupaten Probolinggo</t>
  </si>
  <si>
    <t>131235130041</t>
  </si>
  <si>
    <t>20579880</t>
  </si>
  <si>
    <t>MAS NURUL YAQIN</t>
  </si>
  <si>
    <t>JL. KOTAANYAR - SUMBERANYAR</t>
  </si>
  <si>
    <t>131235130068</t>
  </si>
  <si>
    <t>69894870</t>
  </si>
  <si>
    <t>MAS NURUL QADIM</t>
  </si>
  <si>
    <t>JL. KH. HASYIM / KYAI MINO PO BOX 03</t>
  </si>
  <si>
    <t>131235130090</t>
  </si>
  <si>
    <t>69977843</t>
  </si>
  <si>
    <t>MAS SYARIEF HIDAYATULLAH</t>
  </si>
  <si>
    <t>Jl. Raya Paiton No. 89</t>
  </si>
  <si>
    <t>131235130047</t>
  </si>
  <si>
    <t>20579846</t>
  </si>
  <si>
    <t>MAS BAITUL MUTTAQIN</t>
  </si>
  <si>
    <t>JL. PAKUNIRAN.DS GLAGAH PAKUNIRAN</t>
  </si>
  <si>
    <t>131235130048</t>
  </si>
  <si>
    <t>20584523</t>
  </si>
  <si>
    <t>MAS ZAINUL HASAN 04</t>
  </si>
  <si>
    <t>JL. KERTONEGORO NO. 912</t>
  </si>
  <si>
    <t>131235130049</t>
  </si>
  <si>
    <t>20579867</t>
  </si>
  <si>
    <t>MAS MIFTAHUL HASANAH</t>
  </si>
  <si>
    <t>131235130093</t>
  </si>
  <si>
    <t>69977846</t>
  </si>
  <si>
    <t>MAS MIFTAHUL ULUM PAKUNIRAN</t>
  </si>
  <si>
    <t>DUSUN MARGOAYU RT. 25 RW. 07 DESA PAKUNIRAN KECAMATAN PAKUNIRAN KABUPATEN PROBOL</t>
  </si>
  <si>
    <t>131235130108</t>
  </si>
  <si>
    <t>70006655</t>
  </si>
  <si>
    <t>MAS AHMAD SYARIFUDDIN</t>
  </si>
  <si>
    <t>DUSUN SIYEM RT. 005 RW. 004</t>
  </si>
  <si>
    <t>131135130002</t>
  </si>
  <si>
    <t>20579882</t>
  </si>
  <si>
    <t>MAN 2 PROBOLINGGO</t>
  </si>
  <si>
    <t>JL. RAYA KARANGGEGER KEC. PAJARAKAN</t>
  </si>
  <si>
    <t>131235130042</t>
  </si>
  <si>
    <t>20579862</t>
  </si>
  <si>
    <t>MAS ZAINUL HASAN 1 GENGGONG</t>
  </si>
  <si>
    <t>Jl Condong Karangbong Pajarakan</t>
  </si>
  <si>
    <t>131235130043</t>
  </si>
  <si>
    <t>20579859</t>
  </si>
  <si>
    <t>MAS SALAFIYAH</t>
  </si>
  <si>
    <t>JL. CONDONG DSN. PESANTREN GG. II</t>
  </si>
  <si>
    <t>131235130044</t>
  </si>
  <si>
    <t>20584519</t>
  </si>
  <si>
    <t>MAS USWATUN HASANAH</t>
  </si>
  <si>
    <t>Jl. Condong Doser Indah Selogudig Wetan</t>
  </si>
  <si>
    <t>131235130045</t>
  </si>
  <si>
    <t>20579857</t>
  </si>
  <si>
    <t>MAS MODEL ZAINUL HASAN</t>
  </si>
  <si>
    <t>KARANGBONG PAJARAKAN PROBOLINGGO</t>
  </si>
  <si>
    <t>131235130046</t>
  </si>
  <si>
    <t>20546478</t>
  </si>
  <si>
    <t>Jl. Condong No 08 Dusun Kapasan Rt/rw 09/03 Ponpes Subulus Salam</t>
  </si>
  <si>
    <t>131235130050</t>
  </si>
  <si>
    <t>20584516</t>
  </si>
  <si>
    <t>MAS TARBIYATUL IHSAN</t>
  </si>
  <si>
    <t>JL. BRAWIJAYA GANG PESANTREN DSN KALISAT</t>
  </si>
  <si>
    <t>131235130073</t>
  </si>
  <si>
    <t>69894872</t>
  </si>
  <si>
    <t>131235130089</t>
  </si>
  <si>
    <t>69977842</t>
  </si>
  <si>
    <t>JL. KYAI GEDE DUSUN BLOBO</t>
  </si>
  <si>
    <t>131235130106</t>
  </si>
  <si>
    <t>70006689</t>
  </si>
  <si>
    <t>MAS NURUL ULUM</t>
  </si>
  <si>
    <t>JL. MASJID AL BAROKAH NO. 92A RT. 13 RW. 06</t>
  </si>
  <si>
    <t>131235130051</t>
  </si>
  <si>
    <t>20579868</t>
  </si>
  <si>
    <t>MAS MIFTAHUL HUDA</t>
  </si>
  <si>
    <t>131235130052</t>
  </si>
  <si>
    <t>20579865</t>
  </si>
  <si>
    <t>MAS MAMBAUL HIKAM</t>
  </si>
  <si>
    <t>JL. PONDOK PESANTREN MANBAUL HIKAM</t>
  </si>
  <si>
    <t>131235130053</t>
  </si>
  <si>
    <t>20579844</t>
  </si>
  <si>
    <t>MAS BAHJATUL ULUM</t>
  </si>
  <si>
    <t>DUSUN SUMBERMUNING</t>
  </si>
  <si>
    <t>131235130054</t>
  </si>
  <si>
    <t>20579849</t>
  </si>
  <si>
    <t>MAS DARUL MUKHLASHIN</t>
  </si>
  <si>
    <t>Jl. Raya Tegalsiwalan</t>
  </si>
  <si>
    <t>131235130078</t>
  </si>
  <si>
    <t>69955744</t>
  </si>
  <si>
    <t>MAS NAHDLATUL ULAMA MIFTAHUL ULUM</t>
  </si>
  <si>
    <t>Jl. Balai Desa Sumberkledung</t>
  </si>
  <si>
    <t>131235130134</t>
  </si>
  <si>
    <t>70045486</t>
  </si>
  <si>
    <t>MA HIKMATUL HASANAH</t>
  </si>
  <si>
    <t>DUSUN KOSAMBI RT.13 RW.02</t>
  </si>
  <si>
    <t>131235130055</t>
  </si>
  <si>
    <t>20584508</t>
  </si>
  <si>
    <t>MAS RIYADLUS SHOLIHIN</t>
  </si>
  <si>
    <t>131235130056</t>
  </si>
  <si>
    <t>20584509</t>
  </si>
  <si>
    <t>MAS SIRAJUT THALIBIN</t>
  </si>
  <si>
    <t>131235130057</t>
  </si>
  <si>
    <t>20579847</t>
  </si>
  <si>
    <t>MAS BARAKATUL HASAN</t>
  </si>
  <si>
    <t>JL. BLIMBING NO. 2</t>
  </si>
  <si>
    <t>131235130079</t>
  </si>
  <si>
    <t>69941746</t>
  </si>
  <si>
    <t>MAS NU MAMBAUL ULUM</t>
  </si>
  <si>
    <t>Jl. KARANG TENGAH 007/003</t>
  </si>
  <si>
    <t>131235130085</t>
  </si>
  <si>
    <t>69977838</t>
  </si>
  <si>
    <t>MAS MISBAHUL HASAN</t>
  </si>
  <si>
    <t>JL. BATU LAWANG, DUSUN KRAJAN</t>
  </si>
  <si>
    <t>131235130091</t>
  </si>
  <si>
    <t>69977844</t>
  </si>
  <si>
    <t>MAS DARUL MUSTHOFA</t>
  </si>
  <si>
    <t>131235130102</t>
  </si>
  <si>
    <t>70006688</t>
  </si>
  <si>
    <t>MAS ILHAMUL HASAN</t>
  </si>
  <si>
    <t>DUSUN TENGAH RT. 10 RW. 03</t>
  </si>
  <si>
    <t>131235130103</t>
  </si>
  <si>
    <t>70006902</t>
  </si>
  <si>
    <t>MAS NU DARUL HASAN</t>
  </si>
  <si>
    <t>Jl. Wijaya Kusuma, RT 007 RW 002 Bangsal</t>
  </si>
  <si>
    <t>131235130125</t>
  </si>
  <si>
    <t>70040406</t>
  </si>
  <si>
    <t>MA SUNAN KALIJOGO</t>
  </si>
  <si>
    <t>Dusun Timur Sungai RT 08 RW 03</t>
  </si>
  <si>
    <t>131235130080</t>
  </si>
  <si>
    <t>69977835</t>
  </si>
  <si>
    <t>MAS AR-RAUDLAH</t>
  </si>
  <si>
    <t>Jl Kyai Fadil Dusun Krajan</t>
  </si>
  <si>
    <t>131235130122</t>
  </si>
  <si>
    <t>70035665</t>
  </si>
  <si>
    <t>MA AL AMIN</t>
  </si>
  <si>
    <t>dusun krajan rt 02 01</t>
  </si>
  <si>
    <t>131235130094</t>
  </si>
  <si>
    <t>69977847</t>
  </si>
  <si>
    <t>MAS AL-BAROKAH</t>
  </si>
  <si>
    <t>131235130120</t>
  </si>
  <si>
    <t>70034670</t>
  </si>
  <si>
    <t>MA RIYADLUS SHOLIHIN</t>
  </si>
  <si>
    <t>Dusun Pelan Kerep RT.001 RW.001</t>
  </si>
  <si>
    <t>131235130100</t>
  </si>
  <si>
    <t>MAS PLUS SABILUTTAIBIN</t>
  </si>
  <si>
    <t>JL. BANYUBIRU DUSUN KUBAT NO. 5</t>
  </si>
  <si>
    <t>RA</t>
  </si>
  <si>
    <t>MI</t>
  </si>
  <si>
    <t>KECAMATAN/KKM</t>
  </si>
  <si>
    <t>Lama sekali</t>
  </si>
  <si>
    <t>JUMLAH</t>
  </si>
  <si>
    <t>QUATA PENGAWAS</t>
  </si>
  <si>
    <t>DAMPAK ATURAN</t>
  </si>
  <si>
    <t>SUMBERAN BESUK RT. 07 RW. 03, Desa/Kel. Sumberan, Kec. Besuk</t>
  </si>
  <si>
    <t>Jl PAHLAWAN RT. 02 RW. 01, Desa/Kel. Krejengan, Kec. Krejengan</t>
  </si>
  <si>
    <t>DUSUN KRAJAN 1 RT. 5 RW. 1, Desa/Kel. Clarak, Kec. Leces</t>
  </si>
  <si>
    <t>DUSUN GADING RT. 13 RW. 4, Desa/Kel. Wonorejo, Kec. Maron</t>
  </si>
  <si>
    <t>TAMBELANG TIMUR RT. 009 RW. 02, Desa/Kel. Krucil, Kec. Krucil</t>
  </si>
  <si>
    <t>Jl. BANTARAN GG. DAHLIA RT. 09 RW. 10, Desa/Kel. Sumberkedawung, Kec. Leces</t>
  </si>
  <si>
    <t>JL. MAWAR NO.433b  DUSUN KAMPUNG BARU RT. 17 RW. 08, Desa/Kel. Sukodadi, Kec. Paiton</t>
  </si>
  <si>
    <t>DUSUN KRAJAN RT. 12 RW. 06, Desa/Kel. Triwungan, Kec. Kota Anyar</t>
  </si>
  <si>
    <t>DUSUN KASENGAN RT. 04 RW. 02, Desa/Kel. Sumberkatimoho, Kec. Krejengan</t>
  </si>
  <si>
    <t>GANG KRAMAT RT. 06 RW. 02, Desa/Kel. Condong, Kec. Gading</t>
  </si>
  <si>
    <t>Pondok Pabean Indah 
Blok Kavling No KK 06 RT. 06 RW. 06, Desa/Kel. Pabean, Kec. Dringu</t>
  </si>
  <si>
    <t>DUSUN KRAJAN RT. 012 RW. 04, Desa/Kel. Sidomulyo, Kec. Kota Anyar</t>
  </si>
  <si>
    <t>JL. RAWA TIRTA RT. 01 RW. 08, Desa/Kel. Sumberkedawung, Kec. Leces</t>
  </si>
  <si>
    <t>DUSUN KRAJAN 1 RT. 03 RW. 01, Desa/Kel. Dawuhan, Kec. Krejengan</t>
  </si>
  <si>
    <t>Jl. DR. SALEH RT. 1 RW. 3, Desa/Kel. Sumberlele, Kec. Kraksaan</t>
  </si>
  <si>
    <t>SATREYAN RT. 2 RW. 7, Desa/Kel. Satreyan, Kec. Maron</t>
  </si>
  <si>
    <t>DUSUN KAUMAN RT. 03 RW. 02, Desa/Kel. Sukomulyo, Kec. Pajarakan</t>
  </si>
  <si>
    <t>JL. SLANA TIRTA RT. 01 RW. 08, Desa/Kel. Sumberkedawung, Kec. Leces</t>
  </si>
  <si>
    <t>DUSUN SERREH RT. 004 RW. 03, Desa/Kel. Duren, Kec. Gading</t>
  </si>
  <si>
    <t>JL.Cangkring no. 09 RT. 08 RW. 02, Desa/Kel. kanigaran, Kec. Kanigaran</t>
  </si>
  <si>
    <t>JL TENGGER DUSUN PACAR RT. 07 RW. 02, Desa/Kel. Jangur, Kec. Sumber Asih</t>
  </si>
  <si>
    <t>JL PAHLAWAN RT. 01 RW. 02, Desa/Kel. Krejengan, Kec. Krejengan</t>
  </si>
  <si>
    <t>DUSUN SIYEM RT. 01 RW. 04, Desa/Kel. Sogaan, Kec. Pakuniran</t>
  </si>
  <si>
    <t>DUSUN PENDOPO RT. 2 RW. 1, Desa/Kel. Liprak Kidul, Kec. Banyu Anyar</t>
  </si>
  <si>
    <t>KARANGANOM RT. 09 RW. 05, Desa/Kel. Karanganyar, Kec. Paiton</t>
  </si>
  <si>
    <t>Paiton</t>
  </si>
  <si>
    <t>Besuk</t>
  </si>
  <si>
    <t>Gading</t>
  </si>
  <si>
    <t>Kotaanyar</t>
  </si>
  <si>
    <t>Dringu</t>
  </si>
  <si>
    <t>Krejengan</t>
  </si>
  <si>
    <t>Leces</t>
  </si>
  <si>
    <t>Banyuanyar</t>
  </si>
  <si>
    <t>Maron</t>
  </si>
  <si>
    <t>Krucil</t>
  </si>
  <si>
    <t>Tiris</t>
  </si>
  <si>
    <t>Gending</t>
  </si>
  <si>
    <t>Tegalsiwalan</t>
  </si>
  <si>
    <t>Wonoasih</t>
  </si>
  <si>
    <t>Sumberasih</t>
  </si>
  <si>
    <t>Kuripan</t>
  </si>
  <si>
    <t>Kraksaan</t>
  </si>
  <si>
    <t>Wonomerto</t>
  </si>
  <si>
    <t>Kedopok</t>
  </si>
  <si>
    <t>Kademangan</t>
  </si>
  <si>
    <t>Pajarakan</t>
  </si>
  <si>
    <t>Bantaran</t>
  </si>
  <si>
    <t>Kanigaran</t>
  </si>
  <si>
    <t>WILAYAH LAMA</t>
  </si>
  <si>
    <t>WILAYAH BARU</t>
  </si>
  <si>
    <t>Pengawas RA, MI Kec. Tiris Barat</t>
  </si>
  <si>
    <t>KECAMATAN</t>
  </si>
  <si>
    <t>ALAMAT RUMAH</t>
  </si>
  <si>
    <t>=IF(VLOOKUP($U$10;'Input NIlai'!$B$9:$Q$66;2)="";"";VLOOKUP($U$10;'Input NIlai'!$B$9:$Q$65;2))</t>
  </si>
  <si>
    <t>Tongas</t>
  </si>
  <si>
    <t>Tiris Barat</t>
  </si>
  <si>
    <t>Tiris Timur</t>
  </si>
  <si>
    <t>Sumber, Sukapura dan Lumbang</t>
  </si>
  <si>
    <t>Dringu dan Gending</t>
  </si>
  <si>
    <t>QUOTA PENGAWAS</t>
  </si>
  <si>
    <t>TMT PENSIUN</t>
  </si>
  <si>
    <t>NO</t>
  </si>
  <si>
    <t>TMT SP</t>
  </si>
  <si>
    <t>JUMLAH PENGAWAS RA/MI</t>
  </si>
  <si>
    <t>JENIS KELAMIN</t>
  </si>
  <si>
    <t>QUATA</t>
  </si>
  <si>
    <t>PENGAWAS</t>
  </si>
  <si>
    <t>JENIS</t>
  </si>
  <si>
    <t>KELAMIN</t>
  </si>
  <si>
    <t>Lumbang</t>
  </si>
  <si>
    <t>Sukapura</t>
  </si>
  <si>
    <t>Sumber</t>
  </si>
  <si>
    <t>JUMLAH PENGAWAS MTs/MA</t>
  </si>
  <si>
    <t>x</t>
  </si>
  <si>
    <t>Perempuan</t>
  </si>
  <si>
    <t>Laki-laki</t>
  </si>
  <si>
    <t>Dari Gending</t>
  </si>
  <si>
    <t>LEMBAGA TAMBAHAN</t>
  </si>
  <si>
    <t>TMT SP WILAYAH LAMA</t>
  </si>
  <si>
    <t>LEMBAGA</t>
  </si>
  <si>
    <t>TAMBAHAN</t>
  </si>
  <si>
    <t>JUMLAH PENGAWAS</t>
  </si>
  <si>
    <t>JENJANG SESUAI SK KEPENGAWAS AWAL</t>
  </si>
  <si>
    <t>Pengawas MTs</t>
  </si>
  <si>
    <t>Pengawas RA</t>
  </si>
  <si>
    <t>Pengawas MI</t>
  </si>
  <si>
    <t>Pengawas RA/MI</t>
  </si>
  <si>
    <t>Pengawas MTs/MA</t>
  </si>
  <si>
    <t>X</t>
  </si>
  <si>
    <t>Kotaanyar, Pakuniran</t>
  </si>
  <si>
    <t>Lumbang, Tongas, Kuripan</t>
  </si>
  <si>
    <t>Sumberasih,Wonomerto</t>
  </si>
  <si>
    <t>DESKRIPSI PEMBAGIAN KUOTA PENGAWAS DAN WILAYAH BINAAN 2025</t>
  </si>
  <si>
    <t>PEMBAGIAN KUOTA PENGAWAS MTS/MA DAN WILAYAH BINAAN 2025</t>
  </si>
  <si>
    <t>PEMBAGIAN KUOTA PENGAWAS RA-MI DAN WILAYAH BINAAN 2025</t>
  </si>
  <si>
    <t>10 satuan pendidikan RA/MI</t>
  </si>
  <si>
    <t>Bagi Pengawas RA/MI :</t>
  </si>
  <si>
    <t>dan atau 60 guru RA/MI</t>
  </si>
  <si>
    <t>Bagi Pengawas MTs/MA :</t>
  </si>
  <si>
    <t>dan atau 40 guru MTs/MA/MAK</t>
  </si>
  <si>
    <t>7 satuan pendidikan MTs/MA/MAK</t>
  </si>
  <si>
    <t>DATA PENGAWAS MADRASAH KANKEMENAG KAB. PROBOLINGGO JENJANG MTS / MA</t>
  </si>
  <si>
    <t>DATA PENGAWAS MADRASAH KANKEMENAG KAB. PROBOLINGGO JENJANG RA/MI</t>
  </si>
  <si>
    <t>TOTAL LEMBAGA</t>
  </si>
  <si>
    <t>RA/MI/MTS/MA</t>
  </si>
  <si>
    <t>Memiliki jumlah minimal binaan sesuai ketentuan (salah satu harus memenuhi) Sebagaimana dalam Simpatika/Emis 4.0</t>
  </si>
  <si>
    <t>DESKRIPSI PEMBAGIAN KUOTA PENGAWAS MTs/MA DAN WILAYAH BINAAN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</si>
</sst>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21]dd\ mmmm\ yyyy;@"/>
  </numFmts>
  <fonts count="5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u/>
      <sz val="10"/>
      <color rgb="FF0000FF"/>
      <name val="Roboto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8"/>
      <color rgb="FF000000"/>
      <name val="Calibri"/>
      <family val="2"/>
    </font>
    <font>
      <b/>
      <sz val="12"/>
      <name val="Times New Roman"/>
      <family val="1"/>
    </font>
    <font>
      <b/>
      <sz val="14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0000"/>
      <name val="Calibri"/>
      <family val="2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sz val="11"/>
      <name val="Calibri"/>
      <family val="2"/>
    </font>
    <font>
      <b/>
      <sz val="14"/>
      <color rgb="FFFF0000"/>
      <name val="Calibri"/>
      <family val="2"/>
    </font>
    <font>
      <b/>
      <sz val="18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rgb="FFDFDFDF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rgb="FF5B3F86"/>
      </left>
      <right style="thin">
        <color rgb="FF442F65"/>
      </right>
      <top style="thin">
        <color rgb="FF442F6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9" fillId="0" borderId="0"/>
    <xf numFmtId="0" fontId="30" fillId="0" borderId="0"/>
    <xf numFmtId="0" fontId="40" fillId="0" borderId="0"/>
  </cellStyleXfs>
  <cellXfs count="618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0" xfId="0" applyAlignment="1">
      <alignment horizontal="left"/>
    </xf>
    <xf numFmtId="0" fontId="26" fillId="2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7" fillId="0" borderId="3" xfId="0" applyFont="1" applyBorder="1" applyAlignment="1">
      <alignment vertical="center"/>
    </xf>
    <xf numFmtId="164" fontId="27" fillId="0" borderId="3" xfId="0" applyNumberFormat="1" applyFont="1" applyBorder="1" applyAlignment="1">
      <alignment horizontal="left" vertical="center"/>
    </xf>
    <xf numFmtId="0" fontId="27" fillId="0" borderId="3" xfId="0" quotePrefix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7" fillId="3" borderId="3" xfId="0" applyFont="1" applyFill="1" applyBorder="1" applyAlignment="1">
      <alignment vertical="center"/>
    </xf>
    <xf numFmtId="164" fontId="27" fillId="3" borderId="3" xfId="0" quotePrefix="1" applyNumberFormat="1" applyFont="1" applyFill="1" applyBorder="1" applyAlignment="1">
      <alignment horizontal="left" vertical="center"/>
    </xf>
    <xf numFmtId="0" fontId="31" fillId="0" borderId="8" xfId="0" quotePrefix="1" applyFont="1" applyBorder="1" applyAlignment="1">
      <alignment horizontal="center" vertical="center"/>
    </xf>
    <xf numFmtId="164" fontId="27" fillId="0" borderId="8" xfId="0" applyNumberFormat="1" applyFont="1" applyBorder="1" applyAlignment="1">
      <alignment horizontal="left" vertical="center"/>
    </xf>
    <xf numFmtId="0" fontId="31" fillId="0" borderId="3" xfId="0" quotePrefix="1" applyFont="1" applyBorder="1" applyAlignment="1">
      <alignment horizontal="center" vertical="center"/>
    </xf>
    <xf numFmtId="0" fontId="27" fillId="0" borderId="5" xfId="0" quotePrefix="1" applyFont="1" applyBorder="1" applyAlignment="1">
      <alignment horizontal="center" vertical="center"/>
    </xf>
    <xf numFmtId="164" fontId="27" fillId="0" borderId="5" xfId="0" applyNumberFormat="1" applyFont="1" applyBorder="1" applyAlignment="1">
      <alignment horizontal="left" vertical="center"/>
    </xf>
    <xf numFmtId="164" fontId="27" fillId="0" borderId="6" xfId="0" applyNumberFormat="1" applyFont="1" applyBorder="1" applyAlignment="1">
      <alignment horizontal="left" vertical="center"/>
    </xf>
    <xf numFmtId="164" fontId="27" fillId="3" borderId="3" xfId="0" applyNumberFormat="1" applyFont="1" applyFill="1" applyBorder="1" applyAlignment="1">
      <alignment horizontal="left" vertical="center"/>
    </xf>
    <xf numFmtId="49" fontId="27" fillId="0" borderId="3" xfId="0" quotePrefix="1" applyNumberFormat="1" applyFont="1" applyBorder="1" applyAlignment="1">
      <alignment horizontal="center" vertical="center"/>
    </xf>
    <xf numFmtId="49" fontId="27" fillId="3" borderId="3" xfId="0" quotePrefix="1" applyNumberFormat="1" applyFont="1" applyFill="1" applyBorder="1" applyAlignment="1">
      <alignment horizontal="center" vertical="center"/>
    </xf>
    <xf numFmtId="0" fontId="27" fillId="3" borderId="6" xfId="1" quotePrefix="1" applyFont="1" applyFill="1" applyBorder="1" applyAlignment="1" applyProtection="1">
      <alignment horizontal="center" vertical="center"/>
      <protection locked="0"/>
    </xf>
    <xf numFmtId="0" fontId="27" fillId="0" borderId="6" xfId="1" applyFont="1" applyBorder="1" applyAlignment="1" applyProtection="1">
      <alignment horizontal="center" vertical="center"/>
      <protection locked="0"/>
    </xf>
    <xf numFmtId="0" fontId="27" fillId="0" borderId="6" xfId="1" applyFont="1" applyBorder="1" applyAlignment="1">
      <alignment horizontal="left" vertical="center"/>
    </xf>
    <xf numFmtId="0" fontId="27" fillId="0" borderId="3" xfId="1" quotePrefix="1" applyFont="1" applyBorder="1" applyAlignment="1">
      <alignment horizontal="center" vertical="center"/>
    </xf>
    <xf numFmtId="0" fontId="27" fillId="0" borderId="3" xfId="1" applyFont="1" applyBorder="1" applyAlignment="1">
      <alignment horizontal="left" vertical="center"/>
    </xf>
    <xf numFmtId="0" fontId="27" fillId="0" borderId="3" xfId="1" applyFont="1" applyBorder="1" applyAlignment="1">
      <alignment horizontal="center" vertical="center"/>
    </xf>
    <xf numFmtId="0" fontId="27" fillId="3" borderId="3" xfId="1" quotePrefix="1" applyFont="1" applyFill="1" applyBorder="1" applyAlignment="1" applyProtection="1">
      <alignment horizontal="center" vertical="center"/>
      <protection locked="0"/>
    </xf>
    <xf numFmtId="0" fontId="27" fillId="3" borderId="3" xfId="1" applyFont="1" applyFill="1" applyBorder="1" applyAlignment="1" applyProtection="1">
      <alignment horizontal="center" vertical="center"/>
      <protection locked="0"/>
    </xf>
    <xf numFmtId="0" fontId="31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164" fontId="27" fillId="3" borderId="5" xfId="0" applyNumberFormat="1" applyFont="1" applyFill="1" applyBorder="1" applyAlignment="1">
      <alignment horizontal="left" vertical="center"/>
    </xf>
    <xf numFmtId="0" fontId="27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27" fillId="3" borderId="3" xfId="1" applyFont="1" applyFill="1" applyBorder="1" applyAlignment="1">
      <alignment horizontal="left" vertical="center"/>
    </xf>
    <xf numFmtId="0" fontId="27" fillId="0" borderId="5" xfId="1" quotePrefix="1" applyFont="1" applyBorder="1" applyAlignment="1">
      <alignment horizontal="center" vertical="center"/>
    </xf>
    <xf numFmtId="0" fontId="27" fillId="3" borderId="5" xfId="1" applyFont="1" applyFill="1" applyBorder="1" applyAlignment="1">
      <alignment horizontal="left" vertical="center"/>
    </xf>
    <xf numFmtId="49" fontId="27" fillId="0" borderId="3" xfId="0" applyNumberFormat="1" applyFont="1" applyBorder="1" applyAlignment="1">
      <alignment horizontal="center" vertical="center"/>
    </xf>
    <xf numFmtId="0" fontId="27" fillId="3" borderId="3" xfId="1" quotePrefix="1" applyFont="1" applyFill="1" applyBorder="1" applyAlignment="1">
      <alignment horizontal="center" vertical="center"/>
    </xf>
    <xf numFmtId="0" fontId="27" fillId="3" borderId="3" xfId="1" applyFont="1" applyFill="1" applyBorder="1" applyAlignment="1" applyProtection="1">
      <alignment horizontal="left" vertical="center"/>
      <protection locked="0"/>
    </xf>
    <xf numFmtId="164" fontId="27" fillId="3" borderId="3" xfId="0" quotePrefix="1" applyNumberFormat="1" applyFont="1" applyFill="1" applyBorder="1" applyAlignment="1">
      <alignment horizontal="left" vertical="top"/>
    </xf>
    <xf numFmtId="164" fontId="28" fillId="3" borderId="3" xfId="0" applyNumberFormat="1" applyFont="1" applyFill="1" applyBorder="1" applyAlignment="1">
      <alignment horizontal="left"/>
    </xf>
    <xf numFmtId="164" fontId="28" fillId="3" borderId="3" xfId="0" quotePrefix="1" applyNumberFormat="1" applyFont="1" applyFill="1" applyBorder="1" applyAlignment="1">
      <alignment horizontal="left"/>
    </xf>
    <xf numFmtId="0" fontId="28" fillId="0" borderId="5" xfId="0" applyFont="1" applyBorder="1"/>
    <xf numFmtId="0" fontId="27" fillId="0" borderId="9" xfId="0" quotePrefix="1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27" fillId="3" borderId="5" xfId="0" applyFont="1" applyFill="1" applyBorder="1" applyAlignment="1">
      <alignment vertical="center"/>
    </xf>
    <xf numFmtId="0" fontId="25" fillId="0" borderId="3" xfId="0" applyFont="1" applyBorder="1"/>
    <xf numFmtId="0" fontId="25" fillId="0" borderId="3" xfId="0" applyFont="1" applyBorder="1" applyAlignment="1">
      <alignment horizontal="left" vertical="center"/>
    </xf>
    <xf numFmtId="0" fontId="25" fillId="0" borderId="3" xfId="0" applyFont="1" applyBorder="1" applyAlignment="1">
      <alignment vertical="center"/>
    </xf>
    <xf numFmtId="0" fontId="27" fillId="3" borderId="2" xfId="0" applyFont="1" applyFill="1" applyBorder="1" applyAlignment="1">
      <alignment vertical="center"/>
    </xf>
    <xf numFmtId="0" fontId="27" fillId="3" borderId="4" xfId="0" applyFont="1" applyFill="1" applyBorder="1" applyAlignment="1">
      <alignment vertical="center"/>
    </xf>
    <xf numFmtId="0" fontId="27" fillId="3" borderId="8" xfId="0" applyFont="1" applyFill="1" applyBorder="1" applyAlignment="1">
      <alignment vertical="center"/>
    </xf>
    <xf numFmtId="0" fontId="27" fillId="3" borderId="6" xfId="1" applyFont="1" applyFill="1" applyBorder="1" applyAlignment="1" applyProtection="1">
      <alignment horizontal="left" vertical="center"/>
      <protection locked="0"/>
    </xf>
    <xf numFmtId="0" fontId="32" fillId="3" borderId="3" xfId="0" applyFont="1" applyFill="1" applyBorder="1"/>
    <xf numFmtId="0" fontId="32" fillId="3" borderId="3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3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/>
    </xf>
    <xf numFmtId="0" fontId="23" fillId="0" borderId="3" xfId="0" applyFont="1" applyBorder="1"/>
    <xf numFmtId="0" fontId="22" fillId="0" borderId="3" xfId="0" applyFont="1" applyBorder="1"/>
    <xf numFmtId="0" fontId="21" fillId="0" borderId="3" xfId="0" applyFont="1" applyBorder="1"/>
    <xf numFmtId="0" fontId="20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8" fillId="0" borderId="3" xfId="0" applyFont="1" applyBorder="1"/>
    <xf numFmtId="0" fontId="17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5" fillId="3" borderId="3" xfId="0" applyFont="1" applyFill="1" applyBorder="1"/>
    <xf numFmtId="0" fontId="15" fillId="0" borderId="3" xfId="0" applyFont="1" applyBorder="1"/>
    <xf numFmtId="0" fontId="15" fillId="0" borderId="6" xfId="0" applyFont="1" applyBorder="1"/>
    <xf numFmtId="0" fontId="15" fillId="0" borderId="8" xfId="0" applyFont="1" applyBorder="1" applyAlignment="1">
      <alignment horizontal="left" vertical="center"/>
    </xf>
    <xf numFmtId="0" fontId="15" fillId="3" borderId="5" xfId="0" applyFont="1" applyFill="1" applyBorder="1"/>
    <xf numFmtId="49" fontId="27" fillId="0" borderId="4" xfId="0" quotePrefix="1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164" fontId="27" fillId="3" borderId="4" xfId="0" applyNumberFormat="1" applyFont="1" applyFill="1" applyBorder="1" applyAlignment="1">
      <alignment horizontal="left" vertical="center"/>
    </xf>
    <xf numFmtId="0" fontId="18" fillId="0" borderId="4" xfId="0" applyFont="1" applyBorder="1"/>
    <xf numFmtId="0" fontId="14" fillId="0" borderId="8" xfId="0" applyFont="1" applyBorder="1" applyAlignment="1">
      <alignment horizontal="left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0" fillId="0" borderId="3" xfId="0" quotePrefix="1" applyBorder="1" applyAlignment="1">
      <alignment horizontal="center"/>
    </xf>
    <xf numFmtId="0" fontId="12" fillId="3" borderId="3" xfId="0" quotePrefix="1" applyFont="1" applyFill="1" applyBorder="1" applyAlignment="1">
      <alignment horizontal="center"/>
    </xf>
    <xf numFmtId="0" fontId="12" fillId="0" borderId="3" xfId="0" quotePrefix="1" applyFont="1" applyBorder="1" applyAlignment="1">
      <alignment horizontal="center"/>
    </xf>
    <xf numFmtId="49" fontId="12" fillId="0" borderId="3" xfId="0" quotePrefix="1" applyNumberFormat="1" applyFont="1" applyBorder="1" applyAlignment="1">
      <alignment horizontal="center"/>
    </xf>
    <xf numFmtId="0" fontId="12" fillId="0" borderId="3" xfId="0" quotePrefix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/>
    </xf>
    <xf numFmtId="0" fontId="33" fillId="4" borderId="10" xfId="0" quotePrefix="1" applyFont="1" applyFill="1" applyBorder="1" applyAlignment="1">
      <alignment horizontal="center" vertical="top" wrapText="1"/>
    </xf>
    <xf numFmtId="49" fontId="12" fillId="3" borderId="3" xfId="0" quotePrefix="1" applyNumberFormat="1" applyFont="1" applyFill="1" applyBorder="1" applyAlignment="1">
      <alignment horizontal="center"/>
    </xf>
    <xf numFmtId="0" fontId="12" fillId="3" borderId="5" xfId="0" quotePrefix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center" vertical="center"/>
    </xf>
    <xf numFmtId="0" fontId="11" fillId="3" borderId="3" xfId="0" applyFont="1" applyFill="1" applyBorder="1"/>
    <xf numFmtId="0" fontId="11" fillId="2" borderId="1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vertical="center"/>
    </xf>
    <xf numFmtId="0" fontId="11" fillId="3" borderId="0" xfId="0" applyFont="1" applyFill="1"/>
    <xf numFmtId="0" fontId="10" fillId="0" borderId="3" xfId="0" applyFont="1" applyBorder="1"/>
    <xf numFmtId="0" fontId="9" fillId="3" borderId="3" xfId="0" quotePrefix="1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7" fillId="0" borderId="3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3" xfId="0" applyFont="1" applyBorder="1" applyAlignment="1">
      <alignment vertical="center"/>
    </xf>
    <xf numFmtId="0" fontId="6" fillId="3" borderId="3" xfId="0" applyFont="1" applyFill="1" applyBorder="1"/>
    <xf numFmtId="0" fontId="6" fillId="0" borderId="3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8" xfId="0" applyFont="1" applyBorder="1"/>
    <xf numFmtId="0" fontId="5" fillId="0" borderId="3" xfId="0" applyFont="1" applyBorder="1" applyAlignment="1">
      <alignment horizontal="center" vertical="center"/>
    </xf>
    <xf numFmtId="0" fontId="5" fillId="0" borderId="5" xfId="0" applyFont="1" applyBorder="1"/>
    <xf numFmtId="0" fontId="4" fillId="3" borderId="3" xfId="0" applyFont="1" applyFill="1" applyBorder="1"/>
    <xf numFmtId="0" fontId="3" fillId="3" borderId="3" xfId="0" applyFont="1" applyFill="1" applyBorder="1"/>
    <xf numFmtId="0" fontId="2" fillId="3" borderId="3" xfId="0" applyFont="1" applyFill="1" applyBorder="1"/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/>
    <xf numFmtId="0" fontId="0" fillId="0" borderId="0" xfId="0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/>
    </xf>
    <xf numFmtId="14" fontId="35" fillId="0" borderId="1" xfId="0" applyNumberFormat="1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/>
    </xf>
    <xf numFmtId="0" fontId="35" fillId="0" borderId="1" xfId="0" quotePrefix="1" applyFont="1" applyBorder="1" applyAlignment="1">
      <alignment horizontal="left" vertical="center"/>
    </xf>
    <xf numFmtId="0" fontId="35" fillId="0" borderId="13" xfId="0" applyFont="1" applyBorder="1" applyAlignment="1">
      <alignment horizontal="left" vertical="center"/>
    </xf>
    <xf numFmtId="0" fontId="35" fillId="0" borderId="13" xfId="0" quotePrefix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0" fillId="0" borderId="13" xfId="0" applyBorder="1"/>
    <xf numFmtId="0" fontId="0" fillId="0" borderId="1" xfId="0" applyBorder="1"/>
    <xf numFmtId="0" fontId="6" fillId="0" borderId="1" xfId="0" applyFont="1" applyBorder="1" applyAlignment="1">
      <alignment vertical="top" wrapText="1"/>
    </xf>
    <xf numFmtId="0" fontId="15" fillId="3" borderId="1" xfId="0" applyFont="1" applyFill="1" applyBorder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22" fillId="0" borderId="1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27" fillId="0" borderId="1" xfId="1" applyFont="1" applyBorder="1" applyAlignment="1">
      <alignment horizontal="left" vertical="top" wrapText="1"/>
    </xf>
    <xf numFmtId="0" fontId="21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8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7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23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27" fillId="3" borderId="1" xfId="0" applyFont="1" applyFill="1" applyBorder="1" applyAlignment="1">
      <alignment vertical="top" wrapText="1"/>
    </xf>
    <xf numFmtId="0" fontId="27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27" fillId="3" borderId="1" xfId="0" applyFont="1" applyFill="1" applyBorder="1" applyAlignment="1">
      <alignment vertical="top"/>
    </xf>
    <xf numFmtId="0" fontId="27" fillId="0" borderId="1" xfId="1" applyFont="1" applyBorder="1" applyAlignment="1" applyProtection="1">
      <alignment horizontal="center" vertical="top"/>
      <protection locked="0"/>
    </xf>
    <xf numFmtId="0" fontId="27" fillId="0" borderId="1" xfId="0" applyFont="1" applyBorder="1" applyAlignment="1">
      <alignment horizontal="center" vertical="top"/>
    </xf>
    <xf numFmtId="0" fontId="27" fillId="3" borderId="1" xfId="1" applyFont="1" applyFill="1" applyBorder="1" applyAlignment="1">
      <alignment horizontal="left" vertical="top"/>
    </xf>
    <xf numFmtId="0" fontId="27" fillId="0" borderId="1" xfId="1" applyFont="1" applyBorder="1" applyAlignment="1">
      <alignment horizontal="left" vertical="top"/>
    </xf>
    <xf numFmtId="0" fontId="27" fillId="3" borderId="1" xfId="1" applyFont="1" applyFill="1" applyBorder="1" applyAlignment="1" applyProtection="1">
      <alignment horizontal="left" vertical="top"/>
      <protection locked="0"/>
    </xf>
    <xf numFmtId="0" fontId="27" fillId="3" borderId="1" xfId="1" applyFont="1" applyFill="1" applyBorder="1" applyAlignment="1" applyProtection="1">
      <alignment horizontal="center" vertical="top"/>
      <protection locked="0"/>
    </xf>
    <xf numFmtId="0" fontId="31" fillId="0" borderId="1" xfId="0" applyFont="1" applyBorder="1" applyAlignment="1">
      <alignment horizontal="center" vertical="top"/>
    </xf>
    <xf numFmtId="0" fontId="24" fillId="3" borderId="1" xfId="0" applyFont="1" applyFill="1" applyBorder="1" applyAlignment="1">
      <alignment horizontal="center" vertical="top"/>
    </xf>
    <xf numFmtId="0" fontId="27" fillId="3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32" fillId="3" borderId="1" xfId="0" applyFont="1" applyFill="1" applyBorder="1" applyAlignment="1">
      <alignment vertical="top"/>
    </xf>
    <xf numFmtId="49" fontId="24" fillId="0" borderId="1" xfId="0" applyNumberFormat="1" applyFont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27" fillId="0" borderId="1" xfId="1" applyFont="1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164" fontId="27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0" fillId="0" borderId="0" xfId="0" applyAlignment="1">
      <alignment wrapText="1"/>
    </xf>
    <xf numFmtId="164" fontId="27" fillId="0" borderId="1" xfId="0" applyNumberFormat="1" applyFont="1" applyBorder="1" applyAlignment="1">
      <alignment horizontal="left" vertical="top" indent="1"/>
    </xf>
    <xf numFmtId="164" fontId="27" fillId="3" borderId="1" xfId="0" applyNumberFormat="1" applyFont="1" applyFill="1" applyBorder="1" applyAlignment="1">
      <alignment horizontal="left" vertical="top" indent="1"/>
    </xf>
    <xf numFmtId="164" fontId="27" fillId="3" borderId="1" xfId="0" quotePrefix="1" applyNumberFormat="1" applyFont="1" applyFill="1" applyBorder="1" applyAlignment="1">
      <alignment horizontal="left" vertical="top" indent="1"/>
    </xf>
    <xf numFmtId="164" fontId="28" fillId="3" borderId="1" xfId="0" applyNumberFormat="1" applyFont="1" applyFill="1" applyBorder="1" applyAlignment="1">
      <alignment horizontal="left" vertical="top" indent="1"/>
    </xf>
    <xf numFmtId="0" fontId="12" fillId="0" borderId="1" xfId="0" quotePrefix="1" applyFont="1" applyBorder="1" applyAlignment="1">
      <alignment horizontal="left" vertical="top" indent="1"/>
    </xf>
    <xf numFmtId="0" fontId="11" fillId="3" borderId="1" xfId="0" applyFont="1" applyFill="1" applyBorder="1" applyAlignment="1">
      <alignment horizontal="left" vertical="top" indent="1"/>
    </xf>
    <xf numFmtId="0" fontId="12" fillId="3" borderId="1" xfId="0" quotePrefix="1" applyFont="1" applyFill="1" applyBorder="1" applyAlignment="1">
      <alignment horizontal="left" vertical="top" indent="1"/>
    </xf>
    <xf numFmtId="0" fontId="1" fillId="3" borderId="1" xfId="0" applyFont="1" applyFill="1" applyBorder="1" applyAlignment="1">
      <alignment horizontal="left" vertical="top" indent="1"/>
    </xf>
    <xf numFmtId="0" fontId="27" fillId="0" borderId="1" xfId="0" quotePrefix="1" applyFont="1" applyBorder="1" applyAlignment="1">
      <alignment horizontal="left" vertical="top" indent="1"/>
    </xf>
    <xf numFmtId="0" fontId="27" fillId="3" borderId="1" xfId="0" applyFont="1" applyFill="1" applyBorder="1" applyAlignment="1">
      <alignment horizontal="left" vertical="top" indent="1"/>
    </xf>
    <xf numFmtId="0" fontId="27" fillId="0" borderId="1" xfId="1" quotePrefix="1" applyFont="1" applyBorder="1" applyAlignment="1">
      <alignment horizontal="left" vertical="top" indent="1"/>
    </xf>
    <xf numFmtId="0" fontId="27" fillId="3" borderId="1" xfId="1" applyFont="1" applyFill="1" applyBorder="1" applyAlignment="1">
      <alignment horizontal="left" vertical="top" indent="1"/>
    </xf>
    <xf numFmtId="0" fontId="27" fillId="3" borderId="1" xfId="1" quotePrefix="1" applyFont="1" applyFill="1" applyBorder="1" applyAlignment="1" applyProtection="1">
      <alignment horizontal="left" vertical="top" indent="1"/>
      <protection locked="0"/>
    </xf>
    <xf numFmtId="0" fontId="27" fillId="3" borderId="1" xfId="1" applyFont="1" applyFill="1" applyBorder="1" applyAlignment="1" applyProtection="1">
      <alignment horizontal="left" vertical="top" indent="1"/>
      <protection locked="0"/>
    </xf>
    <xf numFmtId="0" fontId="27" fillId="3" borderId="1" xfId="1" quotePrefix="1" applyFont="1" applyFill="1" applyBorder="1" applyAlignment="1">
      <alignment horizontal="left" vertical="top" indent="1"/>
    </xf>
    <xf numFmtId="49" fontId="12" fillId="0" borderId="1" xfId="0" applyNumberFormat="1" applyFont="1" applyBorder="1" applyAlignment="1">
      <alignment horizontal="left" vertical="top" indent="1"/>
    </xf>
    <xf numFmtId="0" fontId="0" fillId="0" borderId="1" xfId="0" quotePrefix="1" applyBorder="1" applyAlignment="1">
      <alignment horizontal="left" vertical="top" indent="1"/>
    </xf>
    <xf numFmtId="49" fontId="12" fillId="0" borderId="1" xfId="0" quotePrefix="1" applyNumberFormat="1" applyFont="1" applyBorder="1" applyAlignment="1">
      <alignment horizontal="left" vertical="top" indent="1"/>
    </xf>
    <xf numFmtId="0" fontId="9" fillId="3" borderId="1" xfId="0" quotePrefix="1" applyFont="1" applyFill="1" applyBorder="1" applyAlignment="1">
      <alignment horizontal="left" vertical="top" indent="1"/>
    </xf>
    <xf numFmtId="49" fontId="12" fillId="3" borderId="1" xfId="0" quotePrefix="1" applyNumberFormat="1" applyFont="1" applyFill="1" applyBorder="1" applyAlignment="1">
      <alignment horizontal="left" vertical="top" indent="1"/>
    </xf>
    <xf numFmtId="0" fontId="8" fillId="3" borderId="1" xfId="0" applyFont="1" applyFill="1" applyBorder="1" applyAlignment="1">
      <alignment horizontal="left" vertical="top" indent="1"/>
    </xf>
    <xf numFmtId="49" fontId="27" fillId="0" borderId="1" xfId="0" quotePrefix="1" applyNumberFormat="1" applyFont="1" applyBorder="1" applyAlignment="1">
      <alignment horizontal="left" vertical="top" indent="1"/>
    </xf>
    <xf numFmtId="0" fontId="31" fillId="0" borderId="1" xfId="0" quotePrefix="1" applyFont="1" applyBorder="1" applyAlignment="1">
      <alignment horizontal="left" vertical="top" indent="1"/>
    </xf>
    <xf numFmtId="0" fontId="27" fillId="0" borderId="1" xfId="0" applyFont="1" applyBorder="1" applyAlignment="1">
      <alignment horizontal="left" vertical="top" indent="1"/>
    </xf>
    <xf numFmtId="0" fontId="2" fillId="3" borderId="1" xfId="0" applyFont="1" applyFill="1" applyBorder="1" applyAlignment="1">
      <alignment horizontal="left" vertical="top" indent="1"/>
    </xf>
    <xf numFmtId="0" fontId="32" fillId="3" borderId="1" xfId="0" applyFont="1" applyFill="1" applyBorder="1" applyAlignment="1">
      <alignment horizontal="left" vertical="top" indent="1"/>
    </xf>
    <xf numFmtId="0" fontId="3" fillId="3" borderId="1" xfId="0" applyFont="1" applyFill="1" applyBorder="1" applyAlignment="1">
      <alignment horizontal="left" vertical="top" indent="1"/>
    </xf>
    <xf numFmtId="49" fontId="27" fillId="3" borderId="1" xfId="0" quotePrefix="1" applyNumberFormat="1" applyFont="1" applyFill="1" applyBorder="1" applyAlignment="1">
      <alignment horizontal="left" vertical="top" indent="1"/>
    </xf>
    <xf numFmtId="49" fontId="27" fillId="0" borderId="1" xfId="0" applyNumberFormat="1" applyFont="1" applyBorder="1" applyAlignment="1">
      <alignment horizontal="left" vertical="top" indent="1"/>
    </xf>
    <xf numFmtId="0" fontId="6" fillId="0" borderId="1" xfId="0" applyFont="1" applyBorder="1" applyAlignment="1">
      <alignment horizontal="left" vertical="top" wrapText="1" indent="1"/>
    </xf>
    <xf numFmtId="0" fontId="15" fillId="3" borderId="1" xfId="0" applyFont="1" applyFill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 indent="1"/>
    </xf>
    <xf numFmtId="0" fontId="22" fillId="0" borderId="1" xfId="0" applyFont="1" applyBorder="1" applyAlignment="1">
      <alignment horizontal="left" vertical="top" wrapText="1" indent="1"/>
    </xf>
    <xf numFmtId="0" fontId="28" fillId="0" borderId="1" xfId="0" applyFont="1" applyBorder="1" applyAlignment="1">
      <alignment horizontal="left" vertical="top" wrapText="1" indent="1"/>
    </xf>
    <xf numFmtId="0" fontId="27" fillId="0" borderId="1" xfId="1" applyFont="1" applyBorder="1" applyAlignment="1">
      <alignment horizontal="left" vertical="top" wrapText="1" indent="1"/>
    </xf>
    <xf numFmtId="0" fontId="21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 indent="1"/>
    </xf>
    <xf numFmtId="0" fontId="18" fillId="0" borderId="1" xfId="0" applyFont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 indent="1"/>
    </xf>
    <xf numFmtId="0" fontId="27" fillId="3" borderId="1" xfId="0" applyFont="1" applyFill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23" fillId="0" borderId="1" xfId="0" applyFont="1" applyBorder="1" applyAlignment="1">
      <alignment horizontal="left" vertical="top" wrapText="1" indent="1"/>
    </xf>
    <xf numFmtId="0" fontId="27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 indent="1"/>
    </xf>
    <xf numFmtId="0" fontId="10" fillId="0" borderId="1" xfId="0" applyFont="1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7" fillId="3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left" vertical="top" indent="1"/>
    </xf>
    <xf numFmtId="15" fontId="26" fillId="0" borderId="0" xfId="0" applyNumberFormat="1" applyFont="1" applyAlignment="1">
      <alignment horizontal="center" wrapText="1"/>
    </xf>
    <xf numFmtId="0" fontId="6" fillId="0" borderId="1" xfId="0" applyFont="1" applyBorder="1" applyAlignment="1">
      <alignment horizontal="left" vertical="top" indent="1"/>
    </xf>
    <xf numFmtId="0" fontId="11" fillId="3" borderId="1" xfId="0" applyFont="1" applyFill="1" applyBorder="1" applyAlignment="1">
      <alignment horizontal="center" vertical="top"/>
    </xf>
    <xf numFmtId="0" fontId="27" fillId="3" borderId="1" xfId="1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40" fillId="5" borderId="1" xfId="3" applyFill="1" applyBorder="1" applyAlignment="1">
      <alignment horizontal="center" vertical="center"/>
    </xf>
    <xf numFmtId="0" fontId="40" fillId="0" borderId="0" xfId="3"/>
    <xf numFmtId="0" fontId="40" fillId="0" borderId="1" xfId="3" applyBorder="1" applyAlignment="1">
      <alignment horizontal="center" vertical="center"/>
    </xf>
    <xf numFmtId="0" fontId="40" fillId="0" borderId="1" xfId="3" applyBorder="1" applyAlignment="1">
      <alignment vertical="center"/>
    </xf>
    <xf numFmtId="0" fontId="40" fillId="0" borderId="0" xfId="3" applyAlignment="1">
      <alignment horizontal="center" vertical="center"/>
    </xf>
    <xf numFmtId="0" fontId="40" fillId="0" borderId="1" xfId="3" applyBorder="1"/>
    <xf numFmtId="0" fontId="40" fillId="5" borderId="14" xfId="3" applyFill="1" applyBorder="1" applyAlignment="1">
      <alignment horizontal="center" vertical="center"/>
    </xf>
    <xf numFmtId="0" fontId="40" fillId="0" borderId="1" xfId="0" applyFont="1" applyBorder="1"/>
    <xf numFmtId="0" fontId="41" fillId="5" borderId="1" xfId="3" applyFont="1" applyFill="1" applyBorder="1" applyAlignment="1">
      <alignment horizontal="center" vertical="center" wrapText="1"/>
    </xf>
    <xf numFmtId="0" fontId="40" fillId="6" borderId="1" xfId="3" applyFill="1" applyBorder="1" applyAlignment="1">
      <alignment horizontal="center" vertical="center"/>
    </xf>
    <xf numFmtId="0" fontId="40" fillId="9" borderId="1" xfId="3" applyFill="1" applyBorder="1" applyAlignment="1">
      <alignment horizontal="center"/>
    </xf>
    <xf numFmtId="0" fontId="40" fillId="9" borderId="1" xfId="3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6" fillId="9" borderId="1" xfId="0" applyFont="1" applyFill="1" applyBorder="1" applyAlignment="1">
      <alignment horizontal="center" vertical="top"/>
    </xf>
    <xf numFmtId="0" fontId="40" fillId="6" borderId="1" xfId="3" applyFill="1" applyBorder="1" applyAlignment="1">
      <alignment vertical="center"/>
    </xf>
    <xf numFmtId="0" fontId="40" fillId="6" borderId="0" xfId="3" applyFill="1"/>
    <xf numFmtId="0" fontId="40" fillId="11" borderId="1" xfId="3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 indent="1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indent="1"/>
    </xf>
    <xf numFmtId="0" fontId="4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6" fillId="5" borderId="1" xfId="0" applyFont="1" applyFill="1" applyBorder="1" applyAlignment="1">
      <alignment horizontal="left" vertical="top" indent="1"/>
    </xf>
    <xf numFmtId="0" fontId="6" fillId="7" borderId="1" xfId="0" applyFont="1" applyFill="1" applyBorder="1" applyAlignment="1">
      <alignment horizontal="left" vertical="top" indent="1"/>
    </xf>
    <xf numFmtId="0" fontId="6" fillId="9" borderId="1" xfId="0" applyFont="1" applyFill="1" applyBorder="1" applyAlignment="1">
      <alignment horizontal="left" vertical="top" inden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26" fillId="12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left" vertical="top" indent="1"/>
    </xf>
    <xf numFmtId="0" fontId="41" fillId="10" borderId="6" xfId="3" applyFont="1" applyFill="1" applyBorder="1" applyAlignment="1">
      <alignment horizontal="center" vertical="center"/>
    </xf>
    <xf numFmtId="0" fontId="43" fillId="8" borderId="6" xfId="3" applyFont="1" applyFill="1" applyBorder="1" applyAlignment="1">
      <alignment horizontal="center" vertical="center" wrapText="1"/>
    </xf>
    <xf numFmtId="0" fontId="41" fillId="10" borderId="6" xfId="3" applyFont="1" applyFill="1" applyBorder="1" applyAlignment="1">
      <alignment horizontal="center" vertical="center" wrapText="1"/>
    </xf>
    <xf numFmtId="0" fontId="41" fillId="14" borderId="16" xfId="3" applyFont="1" applyFill="1" applyBorder="1" applyAlignment="1">
      <alignment horizontal="center" vertical="center" wrapText="1"/>
    </xf>
    <xf numFmtId="0" fontId="40" fillId="13" borderId="1" xfId="3" applyFill="1" applyBorder="1" applyAlignment="1">
      <alignment horizontal="center" vertical="center"/>
    </xf>
    <xf numFmtId="0" fontId="41" fillId="8" borderId="16" xfId="3" applyFont="1" applyFill="1" applyBorder="1" applyAlignment="1">
      <alignment horizontal="center" vertical="center" wrapText="1"/>
    </xf>
    <xf numFmtId="0" fontId="41" fillId="8" borderId="7" xfId="3" applyFont="1" applyFill="1" applyBorder="1" applyAlignment="1">
      <alignment horizontal="center" vertical="center" wrapText="1"/>
    </xf>
    <xf numFmtId="0" fontId="40" fillId="11" borderId="1" xfId="0" applyFont="1" applyFill="1" applyBorder="1"/>
    <xf numFmtId="0" fontId="40" fillId="15" borderId="1" xfId="3" applyFill="1" applyBorder="1" applyAlignment="1">
      <alignment horizontal="center" vertical="center"/>
    </xf>
    <xf numFmtId="0" fontId="41" fillId="9" borderId="1" xfId="3" applyFont="1" applyFill="1" applyBorder="1" applyAlignment="1">
      <alignment horizontal="center" vertical="center"/>
    </xf>
    <xf numFmtId="0" fontId="40" fillId="15" borderId="16" xfId="3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15" borderId="16" xfId="0" applyFill="1" applyBorder="1" applyAlignment="1">
      <alignment vertical="center" wrapText="1"/>
    </xf>
    <xf numFmtId="0" fontId="0" fillId="1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6" xfId="0" applyBorder="1" applyAlignment="1">
      <alignment vertical="center" wrapText="1"/>
    </xf>
    <xf numFmtId="0" fontId="0" fillId="15" borderId="16" xfId="0" applyFill="1" applyBorder="1" applyAlignment="1">
      <alignment vertical="center"/>
    </xf>
    <xf numFmtId="0" fontId="40" fillId="15" borderId="16" xfId="0" applyFont="1" applyFill="1" applyBorder="1" applyAlignment="1">
      <alignment vertical="center"/>
    </xf>
    <xf numFmtId="0" fontId="40" fillId="0" borderId="16" xfId="0" applyFont="1" applyBorder="1" applyAlignment="1">
      <alignment vertical="center" wrapText="1"/>
    </xf>
    <xf numFmtId="0" fontId="0" fillId="5" borderId="16" xfId="0" applyFill="1" applyBorder="1" applyAlignment="1">
      <alignment vertical="center"/>
    </xf>
    <xf numFmtId="0" fontId="40" fillId="0" borderId="0" xfId="3" applyAlignment="1">
      <alignment vertical="top" wrapText="1"/>
    </xf>
    <xf numFmtId="0" fontId="40" fillId="0" borderId="2" xfId="3" applyBorder="1" applyAlignment="1">
      <alignment vertical="top" wrapText="1"/>
    </xf>
    <xf numFmtId="0" fontId="41" fillId="5" borderId="20" xfId="3" applyFont="1" applyFill="1" applyBorder="1" applyAlignment="1">
      <alignment horizontal="center"/>
    </xf>
    <xf numFmtId="0" fontId="41" fillId="5" borderId="21" xfId="3" applyFont="1" applyFill="1" applyBorder="1" applyAlignment="1">
      <alignment horizontal="center"/>
    </xf>
    <xf numFmtId="0" fontId="40" fillId="0" borderId="18" xfId="3" applyBorder="1" applyAlignment="1">
      <alignment horizontal="center"/>
    </xf>
    <xf numFmtId="0" fontId="0" fillId="15" borderId="1" xfId="0" applyFill="1" applyBorder="1"/>
    <xf numFmtId="0" fontId="40" fillId="15" borderId="0" xfId="3" applyFill="1"/>
    <xf numFmtId="0" fontId="40" fillId="15" borderId="1" xfId="0" applyFont="1" applyFill="1" applyBorder="1"/>
    <xf numFmtId="0" fontId="27" fillId="5" borderId="1" xfId="0" applyFont="1" applyFill="1" applyBorder="1" applyAlignment="1">
      <alignment horizontal="left" vertical="top" indent="1"/>
    </xf>
    <xf numFmtId="0" fontId="27" fillId="17" borderId="1" xfId="0" applyFont="1" applyFill="1" applyBorder="1" applyAlignment="1">
      <alignment horizontal="left" vertical="top" indent="1"/>
    </xf>
    <xf numFmtId="0" fontId="41" fillId="10" borderId="7" xfId="3" applyFont="1" applyFill="1" applyBorder="1" applyAlignment="1">
      <alignment horizontal="center" vertical="center" wrapText="1"/>
    </xf>
    <xf numFmtId="0" fontId="41" fillId="10" borderId="16" xfId="3" applyFont="1" applyFill="1" applyBorder="1" applyAlignment="1">
      <alignment horizontal="center" vertical="center" wrapText="1"/>
    </xf>
    <xf numFmtId="0" fontId="41" fillId="5" borderId="19" xfId="3" applyFont="1" applyFill="1" applyBorder="1" applyAlignment="1">
      <alignment horizontal="left"/>
    </xf>
    <xf numFmtId="0" fontId="40" fillId="0" borderId="1" xfId="3" applyBorder="1" applyAlignment="1" applyProtection="1">
      <alignment horizontal="center" vertical="center"/>
      <protection locked="0"/>
    </xf>
    <xf numFmtId="0" fontId="41" fillId="9" borderId="1" xfId="3" applyFont="1" applyFill="1" applyBorder="1" applyAlignment="1" applyProtection="1">
      <alignment horizontal="center" vertical="center"/>
      <protection locked="0"/>
    </xf>
    <xf numFmtId="0" fontId="40" fillId="0" borderId="0" xfId="3" applyProtection="1">
      <protection locked="0"/>
    </xf>
    <xf numFmtId="0" fontId="40" fillId="0" borderId="1" xfId="3" applyBorder="1" applyAlignment="1" applyProtection="1">
      <alignment horizontal="left" vertical="center" indent="1"/>
      <protection hidden="1"/>
    </xf>
    <xf numFmtId="0" fontId="40" fillId="0" borderId="1" xfId="3" applyBorder="1" applyAlignment="1" applyProtection="1">
      <alignment horizontal="left" vertical="center" wrapText="1" indent="1"/>
      <protection hidden="1"/>
    </xf>
    <xf numFmtId="0" fontId="40" fillId="0" borderId="1" xfId="3" applyBorder="1" applyAlignment="1" applyProtection="1">
      <alignment horizontal="left" indent="1"/>
      <protection hidden="1"/>
    </xf>
    <xf numFmtId="0" fontId="40" fillId="0" borderId="1" xfId="3" applyBorder="1" applyAlignment="1" applyProtection="1">
      <alignment horizontal="center" vertical="center"/>
      <protection hidden="1"/>
    </xf>
    <xf numFmtId="0" fontId="40" fillId="0" borderId="16" xfId="3" applyBorder="1" applyAlignment="1" applyProtection="1">
      <alignment horizontal="center" vertical="center"/>
      <protection hidden="1"/>
    </xf>
    <xf numFmtId="0" fontId="40" fillId="0" borderId="16" xfId="3" applyBorder="1" applyAlignment="1" applyProtection="1">
      <alignment horizontal="center" vertical="center" wrapText="1"/>
      <protection hidden="1"/>
    </xf>
    <xf numFmtId="0" fontId="40" fillId="9" borderId="1" xfId="3" applyFill="1" applyBorder="1" applyAlignment="1" applyProtection="1">
      <alignment horizontal="center"/>
      <protection hidden="1"/>
    </xf>
    <xf numFmtId="0" fontId="40" fillId="18" borderId="1" xfId="3" applyFill="1" applyBorder="1" applyAlignment="1" applyProtection="1">
      <alignment horizontal="center" vertical="center"/>
      <protection hidden="1"/>
    </xf>
    <xf numFmtId="0" fontId="40" fillId="18" borderId="1" xfId="3" applyFill="1" applyBorder="1" applyAlignment="1" applyProtection="1">
      <alignment horizontal="center" vertical="center"/>
      <protection locked="0"/>
    </xf>
    <xf numFmtId="0" fontId="40" fillId="18" borderId="16" xfId="3" applyFill="1" applyBorder="1" applyAlignment="1" applyProtection="1">
      <alignment horizontal="center" vertical="center"/>
      <protection hidden="1"/>
    </xf>
    <xf numFmtId="0" fontId="40" fillId="18" borderId="1" xfId="3" applyFill="1" applyBorder="1" applyAlignment="1" applyProtection="1">
      <alignment horizontal="left" vertical="center" indent="1"/>
      <protection hidden="1"/>
    </xf>
    <xf numFmtId="0" fontId="40" fillId="18" borderId="1" xfId="3" applyFill="1" applyBorder="1" applyAlignment="1" applyProtection="1">
      <alignment horizontal="left" vertical="center" wrapText="1" indent="1"/>
      <protection hidden="1"/>
    </xf>
    <xf numFmtId="0" fontId="40" fillId="18" borderId="1" xfId="3" applyFill="1" applyBorder="1" applyAlignment="1" applyProtection="1">
      <alignment horizontal="left" indent="1"/>
      <protection hidden="1"/>
    </xf>
    <xf numFmtId="0" fontId="40" fillId="18" borderId="16" xfId="3" applyFill="1" applyBorder="1" applyAlignment="1" applyProtection="1">
      <alignment horizontal="center" vertical="center"/>
      <protection locked="0"/>
    </xf>
    <xf numFmtId="0" fontId="40" fillId="18" borderId="16" xfId="3" applyFill="1" applyBorder="1" applyAlignment="1" applyProtection="1">
      <alignment horizontal="center" vertical="center" wrapText="1"/>
      <protection hidden="1"/>
    </xf>
    <xf numFmtId="0" fontId="41" fillId="9" borderId="16" xfId="3" applyFont="1" applyFill="1" applyBorder="1" applyAlignment="1" applyProtection="1">
      <alignment horizontal="center" vertical="center" wrapText="1"/>
      <protection locked="0"/>
    </xf>
    <xf numFmtId="0" fontId="41" fillId="16" borderId="1" xfId="3" applyFont="1" applyFill="1" applyBorder="1" applyAlignment="1" applyProtection="1">
      <alignment horizontal="center" vertical="center"/>
      <protection hidden="1"/>
    </xf>
    <xf numFmtId="0" fontId="41" fillId="9" borderId="1" xfId="3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vertical="center" wrapText="1"/>
    </xf>
    <xf numFmtId="0" fontId="27" fillId="3" borderId="6" xfId="0" applyFont="1" applyFill="1" applyBorder="1" applyAlignment="1">
      <alignment vertical="top"/>
    </xf>
    <xf numFmtId="0" fontId="40" fillId="18" borderId="6" xfId="3" applyFill="1" applyBorder="1" applyAlignment="1" applyProtection="1">
      <alignment horizontal="center" vertical="center" wrapText="1"/>
      <protection hidden="1"/>
    </xf>
    <xf numFmtId="0" fontId="40" fillId="18" borderId="7" xfId="3" applyFill="1" applyBorder="1" applyAlignment="1" applyProtection="1">
      <alignment horizontal="center" vertical="center" wrapText="1"/>
      <protection hidden="1"/>
    </xf>
    <xf numFmtId="0" fontId="41" fillId="0" borderId="1" xfId="3" applyFont="1" applyBorder="1" applyAlignment="1" applyProtection="1">
      <alignment horizontal="right"/>
      <protection locked="0"/>
    </xf>
    <xf numFmtId="0" fontId="40" fillId="18" borderId="6" xfId="3" applyFill="1" applyBorder="1" applyAlignment="1" applyProtection="1">
      <alignment horizontal="center" vertical="center"/>
      <protection hidden="1"/>
    </xf>
    <xf numFmtId="0" fontId="40" fillId="18" borderId="7" xfId="3" applyFill="1" applyBorder="1" applyAlignment="1" applyProtection="1">
      <alignment horizontal="center" vertical="center"/>
      <protection hidden="1"/>
    </xf>
    <xf numFmtId="0" fontId="40" fillId="0" borderId="7" xfId="3" applyBorder="1" applyAlignment="1" applyProtection="1">
      <alignment horizontal="center" vertical="center" wrapText="1"/>
      <protection hidden="1"/>
    </xf>
    <xf numFmtId="0" fontId="40" fillId="0" borderId="6" xfId="3" applyBorder="1" applyAlignment="1" applyProtection="1">
      <alignment horizontal="center" vertical="center" wrapText="1"/>
      <protection hidden="1"/>
    </xf>
    <xf numFmtId="0" fontId="40" fillId="0" borderId="6" xfId="3" applyBorder="1" applyAlignment="1" applyProtection="1">
      <alignment horizontal="center" vertical="center"/>
      <protection hidden="1"/>
    </xf>
    <xf numFmtId="0" fontId="40" fillId="0" borderId="7" xfId="3" applyBorder="1" applyAlignment="1" applyProtection="1">
      <alignment horizontal="center" vertical="center"/>
      <protection hidden="1"/>
    </xf>
    <xf numFmtId="0" fontId="40" fillId="5" borderId="1" xfId="3" applyFill="1" applyBorder="1" applyAlignment="1" applyProtection="1">
      <alignment horizontal="center" vertical="center"/>
      <protection hidden="1"/>
    </xf>
    <xf numFmtId="0" fontId="40" fillId="15" borderId="7" xfId="3" applyFill="1" applyBorder="1" applyAlignment="1">
      <alignment horizontal="center" vertical="center"/>
    </xf>
    <xf numFmtId="0" fontId="40" fillId="9" borderId="0" xfId="3" applyFill="1" applyAlignment="1">
      <alignment horizontal="center" wrapText="1"/>
    </xf>
    <xf numFmtId="0" fontId="41" fillId="5" borderId="1" xfId="3" applyFont="1" applyFill="1" applyBorder="1" applyAlignment="1">
      <alignment horizontal="center" vertical="center"/>
    </xf>
    <xf numFmtId="0" fontId="41" fillId="0" borderId="0" xfId="3" applyFont="1"/>
    <xf numFmtId="0" fontId="41" fillId="9" borderId="16" xfId="3" applyFont="1" applyFill="1" applyBorder="1" applyAlignment="1">
      <alignment horizontal="center" vertical="center" wrapText="1"/>
    </xf>
    <xf numFmtId="0" fontId="40" fillId="9" borderId="7" xfId="3" applyFill="1" applyBorder="1" applyAlignment="1">
      <alignment horizontal="center" wrapText="1"/>
    </xf>
    <xf numFmtId="0" fontId="40" fillId="18" borderId="1" xfId="3" applyFill="1" applyBorder="1" applyAlignment="1" applyProtection="1">
      <alignment horizontal="left" vertical="center"/>
      <protection hidden="1"/>
    </xf>
    <xf numFmtId="0" fontId="40" fillId="18" borderId="1" xfId="3" applyFill="1" applyBorder="1" applyAlignment="1" applyProtection="1">
      <alignment horizontal="left" vertical="center" wrapText="1"/>
      <protection hidden="1"/>
    </xf>
    <xf numFmtId="0" fontId="40" fillId="0" borderId="0" xfId="3" applyAlignment="1">
      <alignment vertical="center"/>
    </xf>
    <xf numFmtId="0" fontId="0" fillId="5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40" fillId="0" borderId="1" xfId="3" applyFill="1" applyBorder="1" applyAlignment="1">
      <alignment horizontal="center" vertical="center"/>
    </xf>
    <xf numFmtId="0" fontId="40" fillId="0" borderId="1" xfId="3" applyFill="1" applyBorder="1" applyAlignment="1">
      <alignment horizontal="center" vertical="center" wrapText="1"/>
    </xf>
    <xf numFmtId="0" fontId="40" fillId="0" borderId="0" xfId="3" applyFill="1"/>
    <xf numFmtId="0" fontId="40" fillId="0" borderId="1" xfId="3" applyFill="1" applyBorder="1" applyAlignment="1">
      <alignment horizontal="left" vertical="center"/>
    </xf>
    <xf numFmtId="0" fontId="40" fillId="0" borderId="16" xfId="3" applyFill="1" applyBorder="1" applyAlignment="1">
      <alignment horizontal="center" vertical="center" wrapText="1"/>
    </xf>
    <xf numFmtId="0" fontId="40" fillId="0" borderId="1" xfId="3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40" fillId="7" borderId="1" xfId="3" applyFill="1" applyBorder="1" applyAlignment="1">
      <alignment horizontal="center" vertical="center"/>
    </xf>
    <xf numFmtId="0" fontId="40" fillId="7" borderId="1" xfId="3" applyFill="1" applyBorder="1" applyAlignment="1">
      <alignment vertical="center" wrapText="1"/>
    </xf>
    <xf numFmtId="0" fontId="40" fillId="7" borderId="16" xfId="3" applyFill="1" applyBorder="1" applyAlignment="1">
      <alignment vertical="center" wrapText="1"/>
    </xf>
    <xf numFmtId="0" fontId="40" fillId="7" borderId="16" xfId="3" applyFill="1" applyBorder="1" applyAlignment="1">
      <alignment horizontal="center" vertical="center"/>
    </xf>
    <xf numFmtId="0" fontId="40" fillId="7" borderId="1" xfId="3" applyFill="1" applyBorder="1" applyAlignment="1">
      <alignment vertical="center"/>
    </xf>
    <xf numFmtId="0" fontId="40" fillId="7" borderId="1" xfId="3" applyFill="1" applyBorder="1" applyAlignment="1">
      <alignment horizontal="center" vertical="center" wrapText="1"/>
    </xf>
    <xf numFmtId="0" fontId="40" fillId="7" borderId="1" xfId="3" applyFill="1" applyBorder="1" applyAlignment="1">
      <alignment horizontal="left" vertical="center" indent="1"/>
    </xf>
    <xf numFmtId="0" fontId="40" fillId="7" borderId="1" xfId="3" applyFill="1" applyBorder="1" applyAlignment="1">
      <alignment horizontal="left" vertical="center" wrapText="1"/>
    </xf>
    <xf numFmtId="0" fontId="40" fillId="7" borderId="1" xfId="3" applyFill="1" applyBorder="1" applyAlignment="1">
      <alignment horizontal="left" vertical="center"/>
    </xf>
    <xf numFmtId="0" fontId="26" fillId="0" borderId="1" xfId="0" applyFont="1" applyBorder="1" applyAlignment="1" applyProtection="1">
      <alignment vertical="center"/>
      <protection locked="0"/>
    </xf>
    <xf numFmtId="0" fontId="26" fillId="18" borderId="1" xfId="0" applyFont="1" applyFill="1" applyBorder="1" applyAlignment="1" applyProtection="1">
      <alignment vertical="center"/>
      <protection locked="0"/>
    </xf>
    <xf numFmtId="0" fontId="26" fillId="0" borderId="16" xfId="0" applyFont="1" applyBorder="1" applyAlignment="1" applyProtection="1">
      <alignment vertical="center" wrapText="1"/>
      <protection locked="0"/>
    </xf>
    <xf numFmtId="0" fontId="40" fillId="0" borderId="1" xfId="3" applyFill="1" applyBorder="1" applyAlignment="1">
      <alignment horizontal="center" vertical="center"/>
    </xf>
    <xf numFmtId="0" fontId="40" fillId="0" borderId="1" xfId="3" applyFill="1" applyBorder="1" applyAlignment="1">
      <alignment horizontal="left" vertical="center" wrapText="1" indent="1"/>
    </xf>
    <xf numFmtId="0" fontId="40" fillId="0" borderId="1" xfId="3" applyFill="1" applyBorder="1" applyAlignment="1">
      <alignment vertical="center"/>
    </xf>
    <xf numFmtId="0" fontId="40" fillId="0" borderId="1" xfId="3" applyFill="1" applyBorder="1" applyAlignment="1">
      <alignment vertical="center" wrapText="1"/>
    </xf>
    <xf numFmtId="0" fontId="45" fillId="0" borderId="0" xfId="3" applyFont="1" applyAlignment="1">
      <alignment vertical="center" wrapText="1"/>
    </xf>
    <xf numFmtId="0" fontId="40" fillId="0" borderId="1" xfId="3" applyFill="1" applyBorder="1" applyAlignment="1">
      <alignment horizontal="left" vertical="center" wrapText="1"/>
    </xf>
    <xf numFmtId="0" fontId="46" fillId="8" borderId="7" xfId="3" applyFont="1" applyFill="1" applyBorder="1" applyAlignment="1">
      <alignment horizontal="center" vertical="center" wrapText="1"/>
    </xf>
    <xf numFmtId="0" fontId="40" fillId="18" borderId="1" xfId="3" applyFill="1" applyBorder="1" applyAlignment="1" applyProtection="1">
      <alignment vertical="center"/>
      <protection locked="0"/>
    </xf>
    <xf numFmtId="0" fontId="40" fillId="0" borderId="1" xfId="3" applyBorder="1" applyAlignment="1" applyProtection="1">
      <alignment vertical="center"/>
      <protection locked="0"/>
    </xf>
    <xf numFmtId="0" fontId="40" fillId="0" borderId="1" xfId="3" applyFill="1" applyBorder="1" applyAlignment="1" applyProtection="1">
      <alignment vertical="center"/>
      <protection locked="0"/>
    </xf>
    <xf numFmtId="0" fontId="40" fillId="0" borderId="1" xfId="3" applyBorder="1" applyAlignment="1">
      <alignment horizontal="center" vertical="center"/>
    </xf>
    <xf numFmtId="0" fontId="40" fillId="0" borderId="24" xfId="3" applyBorder="1" applyAlignment="1">
      <alignment horizontal="center" vertical="center"/>
    </xf>
    <xf numFmtId="0" fontId="40" fillId="0" borderId="14" xfId="3" applyBorder="1" applyAlignment="1">
      <alignment horizontal="center" vertical="center"/>
    </xf>
    <xf numFmtId="0" fontId="40" fillId="6" borderId="14" xfId="3" applyFill="1" applyBorder="1" applyAlignment="1">
      <alignment horizontal="center" vertical="center"/>
    </xf>
    <xf numFmtId="0" fontId="41" fillId="8" borderId="6" xfId="3" applyFont="1" applyFill="1" applyBorder="1" applyAlignment="1">
      <alignment horizontal="center" vertical="center" wrapText="1"/>
    </xf>
    <xf numFmtId="0" fontId="47" fillId="5" borderId="25" xfId="3" applyFont="1" applyFill="1" applyBorder="1"/>
    <xf numFmtId="0" fontId="47" fillId="5" borderId="26" xfId="3" applyFont="1" applyFill="1" applyBorder="1"/>
    <xf numFmtId="0" fontId="47" fillId="5" borderId="27" xfId="3" applyFont="1" applyFill="1" applyBorder="1"/>
    <xf numFmtId="0" fontId="47" fillId="5" borderId="22" xfId="3" applyFont="1" applyFill="1" applyBorder="1"/>
    <xf numFmtId="0" fontId="47" fillId="5" borderId="0" xfId="3" applyFont="1" applyFill="1" applyBorder="1"/>
    <xf numFmtId="0" fontId="47" fillId="5" borderId="23" xfId="3" applyFont="1" applyFill="1" applyBorder="1"/>
    <xf numFmtId="0" fontId="47" fillId="5" borderId="24" xfId="3" applyFont="1" applyFill="1" applyBorder="1"/>
    <xf numFmtId="0" fontId="47" fillId="5" borderId="2" xfId="3" applyFont="1" applyFill="1" applyBorder="1"/>
    <xf numFmtId="0" fontId="47" fillId="5" borderId="28" xfId="3" applyFont="1" applyFill="1" applyBorder="1"/>
    <xf numFmtId="0" fontId="0" fillId="0" borderId="1" xfId="0" applyBorder="1" applyAlignment="1">
      <alignment horizontal="center" vertical="center"/>
    </xf>
    <xf numFmtId="0" fontId="12" fillId="0" borderId="1" xfId="0" quotePrefix="1" applyFont="1" applyBorder="1" applyAlignment="1">
      <alignment horizontal="left" vertical="center"/>
    </xf>
    <xf numFmtId="0" fontId="42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7" fillId="0" borderId="1" xfId="0" quotePrefix="1" applyFont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1" applyFont="1" applyBorder="1" applyAlignment="1" applyProtection="1">
      <alignment horizontal="center" vertical="center"/>
      <protection locked="0"/>
    </xf>
    <xf numFmtId="0" fontId="2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vertical="center" wrapText="1"/>
    </xf>
    <xf numFmtId="0" fontId="27" fillId="3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7" fillId="0" borderId="1" xfId="1" quotePrefix="1" applyFont="1" applyBorder="1" applyAlignment="1">
      <alignment horizontal="left" vertical="center"/>
    </xf>
    <xf numFmtId="0" fontId="27" fillId="3" borderId="1" xfId="1" applyFont="1" applyFill="1" applyBorder="1" applyAlignment="1">
      <alignment horizontal="left" vertical="center"/>
    </xf>
    <xf numFmtId="0" fontId="27" fillId="3" borderId="1" xfId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1" applyFont="1" applyBorder="1" applyAlignment="1">
      <alignment horizontal="left" vertical="center" wrapText="1"/>
    </xf>
    <xf numFmtId="0" fontId="27" fillId="3" borderId="1" xfId="1" quotePrefix="1" applyFont="1" applyFill="1" applyBorder="1" applyAlignment="1" applyProtection="1">
      <alignment horizontal="left" vertical="center"/>
      <protection locked="0"/>
    </xf>
    <xf numFmtId="0" fontId="27" fillId="3" borderId="1" xfId="1" applyFont="1" applyFill="1" applyBorder="1" applyAlignment="1" applyProtection="1">
      <alignment horizontal="left" vertical="center"/>
      <protection locked="0"/>
    </xf>
    <xf numFmtId="0" fontId="27" fillId="3" borderId="1" xfId="1" applyFont="1" applyFill="1" applyBorder="1" applyAlignment="1" applyProtection="1">
      <alignment horizontal="center" vertical="center"/>
      <protection locked="0"/>
    </xf>
    <xf numFmtId="0" fontId="42" fillId="7" borderId="1" xfId="1" applyFont="1" applyFill="1" applyBorder="1" applyAlignment="1" applyProtection="1">
      <alignment horizontal="left" vertical="center"/>
      <protection locked="0"/>
    </xf>
    <xf numFmtId="164" fontId="27" fillId="3" borderId="1" xfId="0" applyNumberFormat="1" applyFont="1" applyFill="1" applyBorder="1" applyAlignment="1">
      <alignment horizontal="left" vertical="center"/>
    </xf>
    <xf numFmtId="164" fontId="27" fillId="3" borderId="1" xfId="0" quotePrefix="1" applyNumberFormat="1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11" fillId="3" borderId="1" xfId="0" applyFont="1" applyFill="1" applyBorder="1" applyAlignment="1">
      <alignment horizontal="left" vertical="center"/>
    </xf>
    <xf numFmtId="0" fontId="27" fillId="3" borderId="1" xfId="1" quotePrefix="1" applyFont="1" applyFill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 wrapText="1"/>
    </xf>
    <xf numFmtId="49" fontId="12" fillId="0" borderId="1" xfId="0" quotePrefix="1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27" fillId="0" borderId="1" xfId="0" quotePrefix="1" applyNumberFormat="1" applyFont="1" applyBorder="1" applyAlignment="1">
      <alignment horizontal="left" vertical="center"/>
    </xf>
    <xf numFmtId="164" fontId="28" fillId="3" borderId="1" xfId="0" applyNumberFormat="1" applyFont="1" applyFill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7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31" fillId="0" borderId="1" xfId="0" quotePrefix="1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7" fillId="5" borderId="1" xfId="1" applyFont="1" applyFill="1" applyBorder="1" applyAlignment="1" applyProtection="1">
      <alignment horizontal="left" vertical="center"/>
      <protection locked="0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/>
    </xf>
    <xf numFmtId="0" fontId="32" fillId="3" borderId="1" xfId="0" applyFont="1" applyFill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32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1" applyFont="1" applyBorder="1" applyAlignment="1">
      <alignment horizontal="left" vertical="center"/>
    </xf>
    <xf numFmtId="0" fontId="27" fillId="9" borderId="1" xfId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27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41" fillId="0" borderId="31" xfId="3" applyFont="1" applyBorder="1" applyAlignment="1">
      <alignment horizontal="center" vertical="center"/>
    </xf>
    <xf numFmtId="0" fontId="40" fillId="16" borderId="16" xfId="3" applyFill="1" applyBorder="1" applyAlignment="1">
      <alignment horizontal="center" vertical="center"/>
    </xf>
    <xf numFmtId="0" fontId="40" fillId="16" borderId="7" xfId="3" applyFill="1" applyBorder="1" applyAlignment="1">
      <alignment horizontal="center" vertical="center"/>
    </xf>
    <xf numFmtId="0" fontId="40" fillId="16" borderId="1" xfId="3" applyFill="1" applyBorder="1" applyAlignment="1">
      <alignment horizontal="center" vertical="center"/>
    </xf>
    <xf numFmtId="0" fontId="50" fillId="0" borderId="0" xfId="0" applyFont="1" applyAlignment="1">
      <alignment vertical="center" wrapText="1"/>
    </xf>
    <xf numFmtId="0" fontId="55" fillId="3" borderId="1" xfId="0" applyFont="1" applyFill="1" applyBorder="1" applyAlignment="1">
      <alignment horizontal="center" vertical="center"/>
    </xf>
    <xf numFmtId="0" fontId="49" fillId="0" borderId="0" xfId="0" applyFont="1" applyAlignment="1">
      <alignment vertical="center" wrapText="1"/>
    </xf>
    <xf numFmtId="0" fontId="48" fillId="0" borderId="2" xfId="3" applyFont="1" applyBorder="1" applyAlignment="1">
      <alignment horizontal="center" vertical="center" wrapText="1"/>
    </xf>
    <xf numFmtId="0" fontId="48" fillId="0" borderId="2" xfId="3" applyFont="1" applyBorder="1" applyAlignment="1">
      <alignment horizontal="center" vertical="center"/>
    </xf>
    <xf numFmtId="0" fontId="45" fillId="0" borderId="2" xfId="3" applyFont="1" applyBorder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2" fillId="0" borderId="1" xfId="3" applyFont="1" applyBorder="1" applyAlignment="1">
      <alignment horizontal="center" vertical="center" wrapText="1"/>
    </xf>
    <xf numFmtId="0" fontId="40" fillId="13" borderId="13" xfId="3" applyFill="1" applyBorder="1" applyAlignment="1">
      <alignment horizontal="center" vertical="center"/>
    </xf>
    <xf numFmtId="0" fontId="40" fillId="13" borderId="1" xfId="3" applyFill="1" applyBorder="1" applyAlignment="1">
      <alignment horizontal="center" vertical="center"/>
    </xf>
    <xf numFmtId="0" fontId="40" fillId="0" borderId="16" xfId="3" applyBorder="1" applyAlignment="1">
      <alignment horizontal="center" vertical="center"/>
    </xf>
    <xf numFmtId="0" fontId="40" fillId="0" borderId="7" xfId="3" applyBorder="1" applyAlignment="1">
      <alignment horizontal="center" vertical="center"/>
    </xf>
    <xf numFmtId="0" fontId="40" fillId="15" borderId="16" xfId="3" applyFill="1" applyBorder="1" applyAlignment="1">
      <alignment horizontal="center" vertical="center"/>
    </xf>
    <xf numFmtId="0" fontId="40" fillId="15" borderId="6" xfId="3" applyFill="1" applyBorder="1" applyAlignment="1">
      <alignment horizontal="center" vertical="center"/>
    </xf>
    <xf numFmtId="0" fontId="40" fillId="15" borderId="7" xfId="3" applyFill="1" applyBorder="1" applyAlignment="1">
      <alignment horizontal="center" vertical="center"/>
    </xf>
    <xf numFmtId="0" fontId="41" fillId="0" borderId="1" xfId="3" applyFont="1" applyBorder="1" applyAlignment="1">
      <alignment horizontal="center" vertical="center" wrapText="1"/>
    </xf>
    <xf numFmtId="0" fontId="40" fillId="0" borderId="7" xfId="3" applyBorder="1" applyAlignment="1">
      <alignment horizontal="center" vertical="center" wrapText="1"/>
    </xf>
    <xf numFmtId="0" fontId="40" fillId="0" borderId="13" xfId="3" applyBorder="1" applyAlignment="1">
      <alignment horizontal="center" vertical="center"/>
    </xf>
    <xf numFmtId="0" fontId="40" fillId="0" borderId="1" xfId="3" applyBorder="1" applyAlignment="1">
      <alignment horizontal="center" vertical="center"/>
    </xf>
    <xf numFmtId="0" fontId="40" fillId="0" borderId="16" xfId="3" applyBorder="1" applyAlignment="1">
      <alignment horizontal="center" vertical="center" wrapText="1"/>
    </xf>
    <xf numFmtId="0" fontId="40" fillId="0" borderId="6" xfId="3" applyBorder="1" applyAlignment="1">
      <alignment horizontal="center" vertical="center" wrapText="1"/>
    </xf>
    <xf numFmtId="0" fontId="40" fillId="6" borderId="1" xfId="3" applyFill="1" applyBorder="1" applyAlignment="1">
      <alignment horizontal="center" vertical="center" wrapText="1"/>
    </xf>
    <xf numFmtId="0" fontId="53" fillId="19" borderId="14" xfId="3" applyFont="1" applyFill="1" applyBorder="1" applyAlignment="1">
      <alignment horizontal="center" vertical="center" wrapText="1"/>
    </xf>
    <xf numFmtId="0" fontId="53" fillId="19" borderId="15" xfId="3" applyFont="1" applyFill="1" applyBorder="1" applyAlignment="1">
      <alignment horizontal="center" vertical="center" wrapText="1"/>
    </xf>
    <xf numFmtId="0" fontId="53" fillId="19" borderId="13" xfId="3" applyFont="1" applyFill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center" vertical="center" wrapText="1"/>
    </xf>
    <xf numFmtId="0" fontId="41" fillId="8" borderId="1" xfId="3" applyFont="1" applyFill="1" applyBorder="1" applyAlignment="1">
      <alignment horizontal="center" vertical="center" wrapText="1"/>
    </xf>
    <xf numFmtId="0" fontId="41" fillId="10" borderId="7" xfId="3" applyFont="1" applyFill="1" applyBorder="1" applyAlignment="1">
      <alignment horizontal="center" vertical="center" wrapText="1"/>
    </xf>
    <xf numFmtId="0" fontId="41" fillId="10" borderId="1" xfId="3" applyFont="1" applyFill="1" applyBorder="1" applyAlignment="1">
      <alignment horizontal="center" vertical="center" wrapText="1"/>
    </xf>
    <xf numFmtId="0" fontId="26" fillId="18" borderId="16" xfId="0" applyFont="1" applyFill="1" applyBorder="1" applyAlignment="1" applyProtection="1">
      <alignment vertical="center" wrapText="1"/>
      <protection locked="0"/>
    </xf>
    <xf numFmtId="0" fontId="26" fillId="18" borderId="7" xfId="0" applyFont="1" applyFill="1" applyBorder="1" applyAlignment="1" applyProtection="1">
      <alignment vertical="center" wrapText="1"/>
      <protection locked="0"/>
    </xf>
    <xf numFmtId="0" fontId="40" fillId="18" borderId="16" xfId="3" applyFill="1" applyBorder="1" applyAlignment="1" applyProtection="1">
      <alignment horizontal="center" vertical="center"/>
      <protection hidden="1"/>
    </xf>
    <xf numFmtId="0" fontId="40" fillId="18" borderId="7" xfId="3" applyFill="1" applyBorder="1" applyAlignment="1" applyProtection="1">
      <alignment horizontal="center" vertical="center"/>
      <protection hidden="1"/>
    </xf>
    <xf numFmtId="0" fontId="26" fillId="0" borderId="16" xfId="0" applyFont="1" applyBorder="1" applyAlignment="1" applyProtection="1">
      <alignment vertical="center"/>
      <protection locked="0"/>
    </xf>
    <xf numFmtId="0" fontId="26" fillId="0" borderId="7" xfId="0" applyFont="1" applyBorder="1" applyAlignment="1" applyProtection="1">
      <alignment vertical="center"/>
      <protection locked="0"/>
    </xf>
    <xf numFmtId="0" fontId="40" fillId="18" borderId="6" xfId="3" applyFill="1" applyBorder="1" applyAlignment="1" applyProtection="1">
      <alignment horizontal="center" vertical="center"/>
      <protection hidden="1"/>
    </xf>
    <xf numFmtId="0" fontId="40" fillId="18" borderId="16" xfId="3" applyFill="1" applyBorder="1" applyAlignment="1" applyProtection="1">
      <alignment horizontal="center" vertical="center" wrapText="1"/>
      <protection hidden="1"/>
    </xf>
    <xf numFmtId="0" fontId="40" fillId="18" borderId="6" xfId="3" applyFill="1" applyBorder="1" applyAlignment="1" applyProtection="1">
      <alignment horizontal="center" vertical="center" wrapText="1"/>
      <protection hidden="1"/>
    </xf>
    <xf numFmtId="0" fontId="40" fillId="18" borderId="7" xfId="3" applyFill="1" applyBorder="1" applyAlignment="1" applyProtection="1">
      <alignment horizontal="center" vertical="center" wrapText="1"/>
      <protection hidden="1"/>
    </xf>
    <xf numFmtId="0" fontId="40" fillId="0" borderId="16" xfId="3" applyBorder="1" applyAlignment="1" applyProtection="1">
      <alignment horizontal="center" vertical="center"/>
      <protection hidden="1"/>
    </xf>
    <xf numFmtId="0" fontId="40" fillId="0" borderId="6" xfId="3" applyBorder="1" applyAlignment="1" applyProtection="1">
      <alignment horizontal="center" vertical="center"/>
      <protection hidden="1"/>
    </xf>
    <xf numFmtId="0" fontId="40" fillId="0" borderId="7" xfId="3" applyBorder="1" applyAlignment="1" applyProtection="1">
      <alignment horizontal="center" vertical="center"/>
      <protection hidden="1"/>
    </xf>
    <xf numFmtId="0" fontId="26" fillId="0" borderId="16" xfId="0" applyFont="1" applyBorder="1" applyAlignment="1" applyProtection="1">
      <alignment vertical="center" wrapText="1"/>
      <protection locked="0"/>
    </xf>
    <xf numFmtId="0" fontId="26" fillId="0" borderId="6" xfId="0" applyFont="1" applyBorder="1" applyAlignment="1" applyProtection="1">
      <alignment vertical="center" wrapText="1"/>
      <protection locked="0"/>
    </xf>
    <xf numFmtId="0" fontId="26" fillId="0" borderId="7" xfId="0" applyFont="1" applyBorder="1" applyAlignment="1" applyProtection="1">
      <alignment vertical="center" wrapText="1"/>
      <protection locked="0"/>
    </xf>
    <xf numFmtId="0" fontId="40" fillId="0" borderId="16" xfId="3" applyBorder="1" applyAlignment="1" applyProtection="1">
      <alignment horizontal="center" vertical="center" wrapText="1"/>
      <protection hidden="1"/>
    </xf>
    <xf numFmtId="0" fontId="40" fillId="0" borderId="6" xfId="3" applyBorder="1" applyAlignment="1" applyProtection="1">
      <alignment horizontal="center" vertical="center" wrapText="1"/>
      <protection hidden="1"/>
    </xf>
    <xf numFmtId="0" fontId="40" fillId="0" borderId="7" xfId="3" applyBorder="1" applyAlignment="1" applyProtection="1">
      <alignment horizontal="center" vertical="center" wrapText="1"/>
      <protection hidden="1"/>
    </xf>
    <xf numFmtId="0" fontId="26" fillId="18" borderId="16" xfId="0" applyFont="1" applyFill="1" applyBorder="1" applyAlignment="1" applyProtection="1">
      <alignment vertical="center"/>
      <protection locked="0"/>
    </xf>
    <xf numFmtId="0" fontId="26" fillId="18" borderId="6" xfId="0" applyFont="1" applyFill="1" applyBorder="1" applyAlignment="1" applyProtection="1">
      <alignment vertical="center"/>
      <protection locked="0"/>
    </xf>
    <xf numFmtId="0" fontId="26" fillId="18" borderId="7" xfId="0" applyFont="1" applyFill="1" applyBorder="1" applyAlignment="1" applyProtection="1">
      <alignment vertical="center"/>
      <protection locked="0"/>
    </xf>
    <xf numFmtId="0" fontId="41" fillId="18" borderId="16" xfId="0" applyFont="1" applyFill="1" applyBorder="1" applyAlignment="1" applyProtection="1">
      <alignment vertical="center"/>
      <protection locked="0"/>
    </xf>
    <xf numFmtId="0" fontId="41" fillId="18" borderId="6" xfId="0" applyFont="1" applyFill="1" applyBorder="1" applyAlignment="1" applyProtection="1">
      <alignment vertical="center"/>
      <protection locked="0"/>
    </xf>
    <xf numFmtId="0" fontId="41" fillId="0" borderId="16" xfId="0" applyFont="1" applyBorder="1" applyAlignment="1" applyProtection="1">
      <alignment vertical="center" wrapText="1"/>
      <protection locked="0"/>
    </xf>
    <xf numFmtId="0" fontId="41" fillId="0" borderId="6" xfId="0" applyFont="1" applyBorder="1" applyAlignment="1" applyProtection="1">
      <alignment vertical="center" wrapText="1"/>
      <protection locked="0"/>
    </xf>
    <xf numFmtId="0" fontId="26" fillId="0" borderId="6" xfId="0" applyFont="1" applyBorder="1" applyAlignment="1" applyProtection="1">
      <alignment vertical="center"/>
      <protection locked="0"/>
    </xf>
    <xf numFmtId="0" fontId="26" fillId="18" borderId="6" xfId="0" applyFont="1" applyFill="1" applyBorder="1" applyAlignment="1" applyProtection="1">
      <alignment vertical="center" wrapText="1"/>
      <protection locked="0"/>
    </xf>
    <xf numFmtId="0" fontId="41" fillId="9" borderId="1" xfId="3" applyFont="1" applyFill="1" applyBorder="1" applyAlignment="1" applyProtection="1">
      <alignment horizontal="center" vertical="center" wrapText="1"/>
      <protection locked="0"/>
    </xf>
    <xf numFmtId="0" fontId="41" fillId="9" borderId="16" xfId="3" applyFont="1" applyFill="1" applyBorder="1" applyAlignment="1" applyProtection="1">
      <alignment horizontal="center" vertical="center" wrapText="1"/>
      <protection locked="0"/>
    </xf>
    <xf numFmtId="0" fontId="41" fillId="9" borderId="7" xfId="3" applyFont="1" applyFill="1" applyBorder="1" applyAlignment="1" applyProtection="1">
      <alignment horizontal="center" vertical="center" wrapText="1"/>
      <protection locked="0"/>
    </xf>
    <xf numFmtId="0" fontId="40" fillId="18" borderId="16" xfId="3" applyFill="1" applyBorder="1" applyAlignment="1" applyProtection="1">
      <alignment horizontal="left" vertical="center" indent="1"/>
      <protection hidden="1"/>
    </xf>
    <xf numFmtId="0" fontId="40" fillId="18" borderId="6" xfId="3" applyFill="1" applyBorder="1" applyAlignment="1" applyProtection="1">
      <alignment horizontal="left" vertical="center" indent="1"/>
      <protection hidden="1"/>
    </xf>
    <xf numFmtId="0" fontId="40" fillId="18" borderId="7" xfId="3" applyFill="1" applyBorder="1" applyAlignment="1" applyProtection="1">
      <alignment horizontal="left" vertical="center" indent="1"/>
      <protection hidden="1"/>
    </xf>
    <xf numFmtId="0" fontId="41" fillId="16" borderId="16" xfId="3" applyFont="1" applyFill="1" applyBorder="1" applyAlignment="1" applyProtection="1">
      <alignment horizontal="center" vertical="center"/>
      <protection hidden="1"/>
    </xf>
    <xf numFmtId="0" fontId="41" fillId="16" borderId="6" xfId="3" applyFont="1" applyFill="1" applyBorder="1" applyAlignment="1" applyProtection="1">
      <alignment horizontal="center" vertical="center"/>
      <protection hidden="1"/>
    </xf>
    <xf numFmtId="0" fontId="41" fillId="16" borderId="7" xfId="3" applyFont="1" applyFill="1" applyBorder="1" applyAlignment="1" applyProtection="1">
      <alignment horizontal="center" vertical="center"/>
      <protection hidden="1"/>
    </xf>
    <xf numFmtId="0" fontId="40" fillId="18" borderId="16" xfId="3" applyFill="1" applyBorder="1" applyAlignment="1" applyProtection="1">
      <alignment horizontal="left" vertical="center" wrapText="1" indent="1"/>
      <protection hidden="1"/>
    </xf>
    <xf numFmtId="0" fontId="40" fillId="18" borderId="6" xfId="3" applyFill="1" applyBorder="1" applyAlignment="1" applyProtection="1">
      <alignment horizontal="left" vertical="center" wrapText="1" indent="1"/>
      <protection hidden="1"/>
    </xf>
    <xf numFmtId="0" fontId="40" fillId="18" borderId="7" xfId="3" applyFill="1" applyBorder="1" applyAlignment="1" applyProtection="1">
      <alignment horizontal="left" vertical="center" wrapText="1" indent="1"/>
      <protection hidden="1"/>
    </xf>
    <xf numFmtId="0" fontId="41" fillId="16" borderId="1" xfId="3" applyFont="1" applyFill="1" applyBorder="1" applyAlignment="1" applyProtection="1">
      <alignment horizontal="center" vertical="center"/>
      <protection locked="0"/>
    </xf>
    <xf numFmtId="0" fontId="40" fillId="18" borderId="16" xfId="3" applyFill="1" applyBorder="1" applyAlignment="1" applyProtection="1">
      <alignment vertical="center"/>
      <protection locked="0"/>
    </xf>
    <xf numFmtId="0" fontId="40" fillId="18" borderId="6" xfId="3" applyFill="1" applyBorder="1" applyAlignment="1" applyProtection="1">
      <alignment vertical="center"/>
      <protection locked="0"/>
    </xf>
    <xf numFmtId="0" fontId="40" fillId="18" borderId="7" xfId="3" applyFill="1" applyBorder="1" applyAlignment="1" applyProtection="1">
      <alignment vertical="center"/>
      <protection locked="0"/>
    </xf>
    <xf numFmtId="0" fontId="40" fillId="5" borderId="16" xfId="3" applyFill="1" applyBorder="1" applyAlignment="1" applyProtection="1">
      <alignment horizontal="left" vertical="center"/>
      <protection hidden="1"/>
    </xf>
    <xf numFmtId="0" fontId="40" fillId="5" borderId="6" xfId="3" applyFill="1" applyBorder="1" applyAlignment="1" applyProtection="1">
      <alignment horizontal="left" vertical="center"/>
      <protection hidden="1"/>
    </xf>
    <xf numFmtId="0" fontId="40" fillId="5" borderId="7" xfId="3" applyFill="1" applyBorder="1" applyAlignment="1" applyProtection="1">
      <alignment horizontal="left" vertical="center"/>
      <protection hidden="1"/>
    </xf>
    <xf numFmtId="0" fontId="54" fillId="0" borderId="0" xfId="3" applyFont="1" applyAlignment="1">
      <alignment horizontal="center" vertical="center" wrapText="1"/>
    </xf>
    <xf numFmtId="0" fontId="45" fillId="0" borderId="1" xfId="3" applyFont="1" applyBorder="1" applyAlignment="1">
      <alignment horizontal="center" vertical="center"/>
    </xf>
    <xf numFmtId="0" fontId="40" fillId="0" borderId="1" xfId="3" applyBorder="1" applyAlignment="1" applyProtection="1">
      <alignment horizontal="center" vertical="center" wrapText="1"/>
      <protection locked="0"/>
    </xf>
    <xf numFmtId="0" fontId="26" fillId="0" borderId="1" xfId="0" applyFont="1" applyBorder="1" applyAlignment="1" applyProtection="1">
      <alignment vertical="center" wrapText="1"/>
      <protection locked="0"/>
    </xf>
    <xf numFmtId="0" fontId="40" fillId="0" borderId="1" xfId="3" applyFill="1" applyBorder="1" applyAlignment="1">
      <alignment vertical="center" wrapText="1"/>
    </xf>
    <xf numFmtId="0" fontId="40" fillId="0" borderId="16" xfId="3" applyFill="1" applyBorder="1" applyAlignment="1">
      <alignment horizontal="left" vertical="center" wrapText="1" indent="1"/>
    </xf>
    <xf numFmtId="0" fontId="40" fillId="0" borderId="7" xfId="3" applyFill="1" applyBorder="1" applyAlignment="1">
      <alignment horizontal="left" vertical="center" wrapText="1" indent="1"/>
    </xf>
    <xf numFmtId="0" fontId="40" fillId="0" borderId="16" xfId="3" applyFill="1" applyBorder="1" applyAlignment="1">
      <alignment vertical="center" wrapText="1"/>
    </xf>
    <xf numFmtId="0" fontId="40" fillId="0" borderId="7" xfId="3" applyFill="1" applyBorder="1" applyAlignment="1">
      <alignment vertical="center" wrapText="1"/>
    </xf>
    <xf numFmtId="0" fontId="40" fillId="0" borderId="16" xfId="3" applyFill="1" applyBorder="1" applyAlignment="1">
      <alignment vertical="center"/>
    </xf>
    <xf numFmtId="0" fontId="40" fillId="0" borderId="7" xfId="3" applyFill="1" applyBorder="1" applyAlignment="1">
      <alignment vertical="center"/>
    </xf>
    <xf numFmtId="0" fontId="40" fillId="0" borderId="16" xfId="3" applyFill="1" applyBorder="1" applyAlignment="1">
      <alignment horizontal="center" vertical="center" wrapText="1"/>
    </xf>
    <xf numFmtId="0" fontId="40" fillId="0" borderId="6" xfId="3" applyFill="1" applyBorder="1" applyAlignment="1">
      <alignment horizontal="center" vertical="center" wrapText="1"/>
    </xf>
    <xf numFmtId="0" fontId="40" fillId="0" borderId="7" xfId="3" applyFill="1" applyBorder="1" applyAlignment="1">
      <alignment horizontal="center" vertical="center" wrapText="1"/>
    </xf>
    <xf numFmtId="0" fontId="40" fillId="0" borderId="16" xfId="3" applyFill="1" applyBorder="1" applyAlignment="1">
      <alignment horizontal="left" vertical="center" wrapText="1"/>
    </xf>
    <xf numFmtId="0" fontId="40" fillId="0" borderId="6" xfId="3" applyFill="1" applyBorder="1" applyAlignment="1">
      <alignment horizontal="left" vertical="center" wrapText="1"/>
    </xf>
    <xf numFmtId="0" fontId="40" fillId="0" borderId="7" xfId="3" applyFill="1" applyBorder="1" applyAlignment="1">
      <alignment horizontal="left" vertical="center" wrapText="1"/>
    </xf>
    <xf numFmtId="0" fontId="40" fillId="0" borderId="6" xfId="3" applyFill="1" applyBorder="1" applyAlignment="1">
      <alignment vertical="center" wrapText="1"/>
    </xf>
    <xf numFmtId="0" fontId="40" fillId="0" borderId="6" xfId="3" applyFill="1" applyBorder="1" applyAlignment="1">
      <alignment horizontal="left" vertical="center" wrapText="1" indent="1"/>
    </xf>
    <xf numFmtId="0" fontId="40" fillId="0" borderId="6" xfId="3" applyFill="1" applyBorder="1" applyAlignment="1">
      <alignment vertical="center"/>
    </xf>
    <xf numFmtId="0" fontId="40" fillId="0" borderId="1" xfId="3" applyFill="1" applyBorder="1" applyAlignment="1">
      <alignment vertical="center"/>
    </xf>
    <xf numFmtId="0" fontId="40" fillId="0" borderId="1" xfId="3" applyFill="1" applyBorder="1" applyAlignment="1">
      <alignment horizontal="center" vertical="center" wrapText="1"/>
    </xf>
    <xf numFmtId="0" fontId="40" fillId="0" borderId="1" xfId="3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40" fillId="0" borderId="1" xfId="3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40" fillId="0" borderId="16" xfId="3" applyFill="1" applyBorder="1" applyAlignment="1">
      <alignment horizontal="center" vertical="center"/>
    </xf>
    <xf numFmtId="0" fontId="40" fillId="0" borderId="7" xfId="3" applyFill="1" applyBorder="1" applyAlignment="1">
      <alignment horizontal="center" vertical="center"/>
    </xf>
    <xf numFmtId="0" fontId="40" fillId="16" borderId="16" xfId="3" applyFill="1" applyBorder="1" applyAlignment="1">
      <alignment horizontal="center" vertical="center"/>
    </xf>
    <xf numFmtId="0" fontId="40" fillId="16" borderId="6" xfId="3" applyFill="1" applyBorder="1" applyAlignment="1">
      <alignment horizontal="center" vertical="center"/>
    </xf>
    <xf numFmtId="0" fontId="40" fillId="16" borderId="7" xfId="3" applyFill="1" applyBorder="1" applyAlignment="1">
      <alignment horizontal="center" vertical="center"/>
    </xf>
    <xf numFmtId="0" fontId="40" fillId="16" borderId="16" xfId="3" applyFill="1" applyBorder="1" applyAlignment="1">
      <alignment horizontal="center" vertical="center" wrapText="1"/>
    </xf>
    <xf numFmtId="0" fontId="40" fillId="16" borderId="7" xfId="3" applyFill="1" applyBorder="1" applyAlignment="1">
      <alignment horizontal="center" vertical="center" wrapText="1"/>
    </xf>
    <xf numFmtId="0" fontId="40" fillId="16" borderId="1" xfId="3" applyFill="1" applyBorder="1" applyAlignment="1">
      <alignment horizontal="center" vertical="center"/>
    </xf>
    <xf numFmtId="0" fontId="54" fillId="0" borderId="1" xfId="3" applyFont="1" applyBorder="1" applyAlignment="1">
      <alignment horizontal="center" vertical="center" wrapText="1"/>
    </xf>
    <xf numFmtId="0" fontId="41" fillId="5" borderId="29" xfId="3" applyFont="1" applyFill="1" applyBorder="1" applyAlignment="1">
      <alignment horizontal="left" vertical="center"/>
    </xf>
    <xf numFmtId="0" fontId="41" fillId="5" borderId="30" xfId="3" applyFont="1" applyFill="1" applyBorder="1" applyAlignment="1">
      <alignment horizontal="left" vertical="center"/>
    </xf>
    <xf numFmtId="0" fontId="41" fillId="16" borderId="1" xfId="3" applyFont="1" applyFill="1" applyBorder="1" applyAlignment="1">
      <alignment horizontal="center" vertical="center"/>
    </xf>
    <xf numFmtId="0" fontId="51" fillId="0" borderId="1" xfId="3" applyFont="1" applyBorder="1" applyAlignment="1">
      <alignment horizontal="center" vertical="center" wrapText="1"/>
    </xf>
    <xf numFmtId="0" fontId="41" fillId="8" borderId="16" xfId="3" applyFont="1" applyFill="1" applyBorder="1" applyAlignment="1">
      <alignment horizontal="center" vertical="center" wrapText="1"/>
    </xf>
    <xf numFmtId="0" fontId="41" fillId="8" borderId="7" xfId="3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44" fillId="0" borderId="15" xfId="1" quotePrefix="1" applyFont="1" applyBorder="1" applyAlignment="1">
      <alignment horizontal="left" vertical="center"/>
    </xf>
    <xf numFmtId="0" fontId="44" fillId="0" borderId="15" xfId="1" applyFont="1" applyBorder="1" applyAlignment="1">
      <alignment horizontal="left" vertical="center"/>
    </xf>
    <xf numFmtId="0" fontId="44" fillId="0" borderId="17" xfId="1" applyFont="1" applyBorder="1" applyAlignment="1">
      <alignment horizontal="left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99FF"/>
      <color rgb="FF66FF99"/>
      <color rgb="FFCCCCFF"/>
      <color rgb="FF99CCFF"/>
      <color rgb="FF00FFFF"/>
      <color rgb="FFFFFFFF"/>
      <color rgb="FF66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166830</xdr:rowOff>
    </xdr:from>
    <xdr:to>
      <xdr:col>16</xdr:col>
      <xdr:colOff>266700</xdr:colOff>
      <xdr:row>21</xdr:row>
      <xdr:rowOff>147255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66830"/>
          <a:ext cx="9429750" cy="384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o8b1Uci2lLrtAT7REnp5p2uRo93ewTvG" TargetMode="External"/><Relationship Id="rId18" Type="http://schemas.openxmlformats.org/officeDocument/2006/relationships/hyperlink" Target="https://drive.google.com/open?id=1fK5FtrN7SZlIgTEERshXy9APvrh7dAyW" TargetMode="External"/><Relationship Id="rId26" Type="http://schemas.openxmlformats.org/officeDocument/2006/relationships/hyperlink" Target="https://drive.google.com/open?id=1nk53vNIsGTBwcRWNcNzzqP1TLxahJrhJ" TargetMode="External"/><Relationship Id="rId39" Type="http://schemas.openxmlformats.org/officeDocument/2006/relationships/hyperlink" Target="https://drive.google.com/open?id=1FC4shLeaJLvb0Nj6u6IXa8yzbMdDCnbu" TargetMode="External"/><Relationship Id="rId21" Type="http://schemas.openxmlformats.org/officeDocument/2006/relationships/hyperlink" Target="https://drive.google.com/open?id=1mzPRAYdWnY8QEID_vKuCLuDScRRULaFC" TargetMode="External"/><Relationship Id="rId34" Type="http://schemas.openxmlformats.org/officeDocument/2006/relationships/hyperlink" Target="https://drive.google.com/open?id=1dLe9Azh85ue6VcdhFIPpG4xJbsjyphUp" TargetMode="External"/><Relationship Id="rId42" Type="http://schemas.openxmlformats.org/officeDocument/2006/relationships/hyperlink" Target="https://drive.google.com/open?id=1eLuC1lDCdVLnfmAsehKCtWkCtKZxTuDU" TargetMode="External"/><Relationship Id="rId47" Type="http://schemas.openxmlformats.org/officeDocument/2006/relationships/hyperlink" Target="https://drive.google.com/open?id=1sQGklXquexxhTQeP31mJhGp7bhP8pPT4" TargetMode="External"/><Relationship Id="rId50" Type="http://schemas.openxmlformats.org/officeDocument/2006/relationships/hyperlink" Target="https://drive.google.com/open?id=1OxiB4LeyjEw1F2wT_bHOj5bxuNuS-nrU" TargetMode="External"/><Relationship Id="rId55" Type="http://schemas.openxmlformats.org/officeDocument/2006/relationships/hyperlink" Target="https://drive.google.com/open?id=1uvVMbGZCzO7u-wo9BW8XI2VlccWXbZH1" TargetMode="External"/><Relationship Id="rId63" Type="http://schemas.openxmlformats.org/officeDocument/2006/relationships/hyperlink" Target="https://drive.google.com/open?id=1TR8svft04LUadEepGrKAsqUAcvzwgx6O" TargetMode="External"/><Relationship Id="rId68" Type="http://schemas.openxmlformats.org/officeDocument/2006/relationships/hyperlink" Target="http://subihastutik_gmail.com/" TargetMode="External"/><Relationship Id="rId7" Type="http://schemas.openxmlformats.org/officeDocument/2006/relationships/hyperlink" Target="https://drive.google.com/open?id=11DHO2wfD9RlNteVHT6wgCIFWR4mBPZMp" TargetMode="External"/><Relationship Id="rId2" Type="http://schemas.openxmlformats.org/officeDocument/2006/relationships/hyperlink" Target="https://drive.google.com/open?id=1Fs8O7AyoCSTTC0DdPWJKltQe6Bd1YlZJ" TargetMode="External"/><Relationship Id="rId16" Type="http://schemas.openxmlformats.org/officeDocument/2006/relationships/hyperlink" Target="https://drive.google.com/open?id=1HcACCVv-5VhE8JvDO9mLxWUf13cUYy7Y" TargetMode="External"/><Relationship Id="rId29" Type="http://schemas.openxmlformats.org/officeDocument/2006/relationships/hyperlink" Target="https://drive.google.com/open?id=1iNJ5SxSjXRg3EkSMMzfnqhYdibAPuG1W" TargetMode="External"/><Relationship Id="rId1" Type="http://schemas.openxmlformats.org/officeDocument/2006/relationships/hyperlink" Target="https://drive.google.com/open?id=1V8Sr3gVfzmE1o_W2d5JRVogW94GqiMSj" TargetMode="External"/><Relationship Id="rId6" Type="http://schemas.openxmlformats.org/officeDocument/2006/relationships/hyperlink" Target="https://drive.google.com/open?id=1t2_uMY1wl0LMyRE1h1qBK1ie17146WrQ" TargetMode="External"/><Relationship Id="rId11" Type="http://schemas.openxmlformats.org/officeDocument/2006/relationships/hyperlink" Target="https://drive.google.com/open?id=1txluyWuAZlM4ZRMhxQEJcTvx5BUbYLdl" TargetMode="External"/><Relationship Id="rId24" Type="http://schemas.openxmlformats.org/officeDocument/2006/relationships/hyperlink" Target="https://drive.google.com/open?id=1IUyiuJXeotKggSDm49yeDzCCxxbg1SpR" TargetMode="External"/><Relationship Id="rId32" Type="http://schemas.openxmlformats.org/officeDocument/2006/relationships/hyperlink" Target="https://drive.google.com/open?id=1OT8cU6UjmKqMJvnFrlcPdMVFOxmvFkyc" TargetMode="External"/><Relationship Id="rId37" Type="http://schemas.openxmlformats.org/officeDocument/2006/relationships/hyperlink" Target="https://drive.google.com/open?id=1PzQqhW2RrHv72PYN0hhzw7bEQXJv5byF" TargetMode="External"/><Relationship Id="rId40" Type="http://schemas.openxmlformats.org/officeDocument/2006/relationships/hyperlink" Target="https://drive.google.com/open?id=1wigmELPrKq4MDauE3_dwAauxsf6V7Hgv" TargetMode="External"/><Relationship Id="rId45" Type="http://schemas.openxmlformats.org/officeDocument/2006/relationships/hyperlink" Target="https://drive.google.com/open?id=12BhGEwk8aWHulWDUrfiK29_OcBWYmyps" TargetMode="External"/><Relationship Id="rId53" Type="http://schemas.openxmlformats.org/officeDocument/2006/relationships/hyperlink" Target="https://drive.google.com/open?id=1pr0H2AcErcDjv3OlIdWeJ8vBXojEhNcd" TargetMode="External"/><Relationship Id="rId58" Type="http://schemas.openxmlformats.org/officeDocument/2006/relationships/hyperlink" Target="https://drive.google.com/open?id=10MlZovJL5AnyBeac6QrEZTMDGafktJSm" TargetMode="External"/><Relationship Id="rId66" Type="http://schemas.openxmlformats.org/officeDocument/2006/relationships/hyperlink" Target="https://drive.google.com/open?id=113usGc2IIktosAhdoD2TodlV6yRQaSrO" TargetMode="External"/><Relationship Id="rId5" Type="http://schemas.openxmlformats.org/officeDocument/2006/relationships/hyperlink" Target="https://drive.google.com/open?id=1oebmlybFeZKBPXYAxiVtyj-q7Dy8Bsg_" TargetMode="External"/><Relationship Id="rId15" Type="http://schemas.openxmlformats.org/officeDocument/2006/relationships/hyperlink" Target="https://drive.google.com/open?id=1srSbu20y-mo_gAbd-XGZOdS-q_MCV9n9" TargetMode="External"/><Relationship Id="rId23" Type="http://schemas.openxmlformats.org/officeDocument/2006/relationships/hyperlink" Target="https://drive.google.com/open?id=1rafi2DGGyF1JwlySnmZfa2c5cG6Z9LVk" TargetMode="External"/><Relationship Id="rId28" Type="http://schemas.openxmlformats.org/officeDocument/2006/relationships/hyperlink" Target="https://drive.google.com/open?id=1ktUD9HhaUzR_7od8FpC6JzzSbG8sr_CH" TargetMode="External"/><Relationship Id="rId36" Type="http://schemas.openxmlformats.org/officeDocument/2006/relationships/hyperlink" Target="https://drive.google.com/open?id=1GbTMHjGs6pZ8YaSeW9WAoLm9qenxK092" TargetMode="External"/><Relationship Id="rId49" Type="http://schemas.openxmlformats.org/officeDocument/2006/relationships/hyperlink" Target="https://drive.google.com/open?id=1X8D41zwdiDa8mMxrGlhcMK6PJK_tPMy0" TargetMode="External"/><Relationship Id="rId57" Type="http://schemas.openxmlformats.org/officeDocument/2006/relationships/hyperlink" Target="https://drive.google.com/open?id=1M2fvXr82pxecLqcdDISI5HImKv34o5_j" TargetMode="External"/><Relationship Id="rId61" Type="http://schemas.openxmlformats.org/officeDocument/2006/relationships/hyperlink" Target="https://drive.google.com/open?id=1q7trGauhk1yIXgvMwl8zwleL5bo3gGCW" TargetMode="External"/><Relationship Id="rId10" Type="http://schemas.openxmlformats.org/officeDocument/2006/relationships/hyperlink" Target="https://drive.google.com/open?id=1UUyNrUHbqeQwExG0WwhUJOPt1FvI-gWy" TargetMode="External"/><Relationship Id="rId19" Type="http://schemas.openxmlformats.org/officeDocument/2006/relationships/hyperlink" Target="https://drive.google.com/open?id=15wsFh4tMnrbRK8CzRfCJVSLdopTDQsrZ" TargetMode="External"/><Relationship Id="rId31" Type="http://schemas.openxmlformats.org/officeDocument/2006/relationships/hyperlink" Target="https://drive.google.com/open?id=1nyxmGQEqYgHqH8mn11HbG_q6ff-pb0B5" TargetMode="External"/><Relationship Id="rId44" Type="http://schemas.openxmlformats.org/officeDocument/2006/relationships/hyperlink" Target="https://drive.google.com/open?id=1zJBN1Ymf9s7gG7ze1_HivDYMcSEvB7N-" TargetMode="External"/><Relationship Id="rId52" Type="http://schemas.openxmlformats.org/officeDocument/2006/relationships/hyperlink" Target="https://drive.google.com/open?id=1waITdvPpzXQRmAqBHrAiCItdA6R-u6dA" TargetMode="External"/><Relationship Id="rId60" Type="http://schemas.openxmlformats.org/officeDocument/2006/relationships/hyperlink" Target="https://drive.google.com/open?id=1999A8ITDTz_YXSmEV1xQSbfbdT5_IoPi" TargetMode="External"/><Relationship Id="rId65" Type="http://schemas.openxmlformats.org/officeDocument/2006/relationships/hyperlink" Target="https://drive.google.com/open?id=1IivF7qjRsMlr4wxbwR8hiAmLryV8UmcH" TargetMode="External"/><Relationship Id="rId4" Type="http://schemas.openxmlformats.org/officeDocument/2006/relationships/hyperlink" Target="https://drive.google.com/open?id=1iQdvpi09hQ219bQwCCOlJqNvv_0-OZtQ" TargetMode="External"/><Relationship Id="rId9" Type="http://schemas.openxmlformats.org/officeDocument/2006/relationships/hyperlink" Target="https://drive.google.com/open?id=1awtsqaIVsDH6IKdQK1CU_G-HZiUgUAkH" TargetMode="External"/><Relationship Id="rId14" Type="http://schemas.openxmlformats.org/officeDocument/2006/relationships/hyperlink" Target="https://drive.google.com/open?id=1Gx6Cb__JRGBrZ-3r577t4x4yUc35Xha4" TargetMode="External"/><Relationship Id="rId22" Type="http://schemas.openxmlformats.org/officeDocument/2006/relationships/hyperlink" Target="https://drive.google.com/open?id=1y0ntkSNPVe6SbMSUGhxLOGVCKNAcaN9e" TargetMode="External"/><Relationship Id="rId27" Type="http://schemas.openxmlformats.org/officeDocument/2006/relationships/hyperlink" Target="https://drive.google.com/open?id=1Qj-gpJp2wTwFmC8NpNMEqqueYX6SszLM" TargetMode="External"/><Relationship Id="rId30" Type="http://schemas.openxmlformats.org/officeDocument/2006/relationships/hyperlink" Target="https://drive.google.com/open?id=1RhW0JVNAMPEux6pJUE-ssg6xYpv0OL_w" TargetMode="External"/><Relationship Id="rId35" Type="http://schemas.openxmlformats.org/officeDocument/2006/relationships/hyperlink" Target="https://drive.google.com/open?id=1kP3V_2r4f0dDn5__yLrK4IQxjImX2uLp" TargetMode="External"/><Relationship Id="rId43" Type="http://schemas.openxmlformats.org/officeDocument/2006/relationships/hyperlink" Target="https://drive.google.com/open?id=1Yy3hD8g7z0Joll6IeR1UXwNZWi4nOKeN" TargetMode="External"/><Relationship Id="rId48" Type="http://schemas.openxmlformats.org/officeDocument/2006/relationships/hyperlink" Target="https://drive.google.com/open?id=1Yb0XJ5sKzA8eSlaTwWDG61cNdGhVpf1Z" TargetMode="External"/><Relationship Id="rId56" Type="http://schemas.openxmlformats.org/officeDocument/2006/relationships/hyperlink" Target="https://drive.google.com/open?id=1OAmM03LmMvcMdFjTgD3p9bJr2mt4pAva" TargetMode="External"/><Relationship Id="rId64" Type="http://schemas.openxmlformats.org/officeDocument/2006/relationships/hyperlink" Target="https://drive.google.com/open?id=1JaY1AjQohyCvo-XwOr4X7SVpGGXjtZkM" TargetMode="External"/><Relationship Id="rId8" Type="http://schemas.openxmlformats.org/officeDocument/2006/relationships/hyperlink" Target="https://drive.google.com/open?id=1WE5vaGp--KPzTVCNigNg4uAkMoM6vkrB" TargetMode="External"/><Relationship Id="rId51" Type="http://schemas.openxmlformats.org/officeDocument/2006/relationships/hyperlink" Target="https://drive.google.com/open?id=1yS2nItO702kHF6oGIGynGdrh5Ra0ctdi" TargetMode="External"/><Relationship Id="rId3" Type="http://schemas.openxmlformats.org/officeDocument/2006/relationships/hyperlink" Target="https://drive.google.com/open?id=1LnLUa2GHsdw9gh2qoIYqkvqNeFdMg_7U" TargetMode="External"/><Relationship Id="rId12" Type="http://schemas.openxmlformats.org/officeDocument/2006/relationships/hyperlink" Target="https://drive.google.com/open?id=1m9ck-pg-BSHpq0ovi2AsWQcS0fU9Cwk4" TargetMode="External"/><Relationship Id="rId17" Type="http://schemas.openxmlformats.org/officeDocument/2006/relationships/hyperlink" Target="https://drive.google.com/open?id=1XemrNok5v0HPhiVi8C2l27tXPzDYKjf4" TargetMode="External"/><Relationship Id="rId25" Type="http://schemas.openxmlformats.org/officeDocument/2006/relationships/hyperlink" Target="https://drive.google.com/open?id=1rGvxPQUsPv6gfZmrW9kMVWFtFCT-YPyi" TargetMode="External"/><Relationship Id="rId33" Type="http://schemas.openxmlformats.org/officeDocument/2006/relationships/hyperlink" Target="https://drive.google.com/open?id=1AZ4XaIfYHq_491SukJnxHnSInYlA28Pc" TargetMode="External"/><Relationship Id="rId38" Type="http://schemas.openxmlformats.org/officeDocument/2006/relationships/hyperlink" Target="https://drive.google.com/open?id=1HMwMqp_1pcO0MN48lHGrvlnYYV-3QT0I" TargetMode="External"/><Relationship Id="rId46" Type="http://schemas.openxmlformats.org/officeDocument/2006/relationships/hyperlink" Target="https://drive.google.com/open?id=1gAqAi8S_7vHQaTik-iHSMwe7arImbfDN" TargetMode="External"/><Relationship Id="rId59" Type="http://schemas.openxmlformats.org/officeDocument/2006/relationships/hyperlink" Target="https://drive.google.com/open?id=13wCvfWWJ0XmDX2Lhe_jkzfcSCyY1kPRX" TargetMode="External"/><Relationship Id="rId67" Type="http://schemas.openxmlformats.org/officeDocument/2006/relationships/hyperlink" Target="https://drive.google.com/open?id=1YiM7UA8GdfYLUw8M6Vy_VQ-EQpUiKEmA" TargetMode="External"/><Relationship Id="rId20" Type="http://schemas.openxmlformats.org/officeDocument/2006/relationships/hyperlink" Target="https://drive.google.com/open?id=1ThbWvyvOeYm2QthDqMk6nDmi3OW0GRN-" TargetMode="External"/><Relationship Id="rId41" Type="http://schemas.openxmlformats.org/officeDocument/2006/relationships/hyperlink" Target="https://drive.google.com/open?id=1pp4bs_UOq3VeLzF3voGCl7asgp2JzhVx" TargetMode="External"/><Relationship Id="rId54" Type="http://schemas.openxmlformats.org/officeDocument/2006/relationships/hyperlink" Target="https://drive.google.com/open?id=1eubDvHroivhalaN4XNCEr_Ge9h69oQAu" TargetMode="External"/><Relationship Id="rId62" Type="http://schemas.openxmlformats.org/officeDocument/2006/relationships/hyperlink" Target="https://drive.google.com/open?id=1akhcTVWQlMYV1fzf54Ye7RttzhbpvC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"/>
  <sheetViews>
    <sheetView workbookViewId="0">
      <selection activeCell="R6" sqref="R6"/>
    </sheetView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21"/>
  <sheetViews>
    <sheetView workbookViewId="0">
      <selection activeCell="B2" sqref="B2"/>
    </sheetView>
  </sheetViews>
  <sheetFormatPr defaultColWidth="8.7265625" defaultRowHeight="14.5"/>
  <cols>
    <col min="1" max="1" width="2.54296875" style="249" customWidth="1"/>
    <col min="2" max="2" width="5.81640625" style="252" customWidth="1"/>
    <col min="3" max="3" width="15.26953125" style="249" bestFit="1" customWidth="1"/>
    <col min="4" max="4" width="10.54296875" style="249" bestFit="1" customWidth="1"/>
    <col min="5" max="5" width="36.453125" style="249" bestFit="1" customWidth="1"/>
    <col min="6" max="6" width="20" style="249" bestFit="1" customWidth="1"/>
    <col min="7" max="7" width="8.1796875" style="249" bestFit="1" customWidth="1"/>
    <col min="8" max="8" width="12.81640625" style="249" bestFit="1" customWidth="1"/>
    <col min="9" max="9" width="14" style="249" bestFit="1" customWidth="1"/>
    <col min="10" max="10" width="15.26953125" style="249" bestFit="1" customWidth="1"/>
    <col min="11" max="11" width="93.1796875" style="249" bestFit="1" customWidth="1"/>
    <col min="12" max="16384" width="8.7265625" style="249"/>
  </cols>
  <sheetData>
    <row r="1" spans="2:11" ht="21">
      <c r="B1" s="497" t="str">
        <f>"DATA LEMBAGA MADRASAH RAODLATUL ATHFAL SEBANYAK "&amp;B421</f>
        <v>DATA LEMBAGA MADRASAH RAODLATUL ATHFAL SEBANYAK 419</v>
      </c>
      <c r="C1" s="497"/>
      <c r="D1" s="497"/>
      <c r="E1" s="497"/>
      <c r="F1" s="497"/>
      <c r="G1" s="497"/>
      <c r="H1" s="497"/>
      <c r="I1" s="497"/>
      <c r="J1" s="497"/>
      <c r="K1" s="497"/>
    </row>
    <row r="2" spans="2:11" s="347" customFormat="1">
      <c r="B2" s="346" t="s">
        <v>666</v>
      </c>
      <c r="C2" s="346" t="s">
        <v>667</v>
      </c>
      <c r="D2" s="346" t="s">
        <v>668</v>
      </c>
      <c r="E2" s="346" t="s">
        <v>669</v>
      </c>
      <c r="F2" s="346" t="s">
        <v>670</v>
      </c>
      <c r="G2" s="346" t="s">
        <v>671</v>
      </c>
      <c r="H2" s="346" t="s">
        <v>672</v>
      </c>
      <c r="I2" s="346" t="s">
        <v>673</v>
      </c>
      <c r="J2" s="346" t="s">
        <v>674</v>
      </c>
      <c r="K2" s="346" t="s">
        <v>675</v>
      </c>
    </row>
    <row r="3" spans="2:11">
      <c r="B3" s="250">
        <v>1</v>
      </c>
      <c r="C3" s="251" t="s">
        <v>676</v>
      </c>
      <c r="D3" s="251" t="s">
        <v>677</v>
      </c>
      <c r="E3" s="251" t="s">
        <v>678</v>
      </c>
      <c r="F3" s="251" t="s">
        <v>679</v>
      </c>
      <c r="G3" s="251" t="s">
        <v>680</v>
      </c>
      <c r="H3" s="251" t="s">
        <v>681</v>
      </c>
      <c r="I3" s="251" t="s">
        <v>682</v>
      </c>
      <c r="J3" s="251" t="s">
        <v>683</v>
      </c>
      <c r="K3" s="251" t="s">
        <v>684</v>
      </c>
    </row>
    <row r="4" spans="2:11">
      <c r="B4" s="250">
        <v>2</v>
      </c>
      <c r="C4" s="251" t="s">
        <v>685</v>
      </c>
      <c r="D4" s="251" t="s">
        <v>686</v>
      </c>
      <c r="E4" s="251" t="s">
        <v>687</v>
      </c>
      <c r="F4" s="251" t="s">
        <v>679</v>
      </c>
      <c r="G4" s="251" t="s">
        <v>680</v>
      </c>
      <c r="H4" s="251" t="s">
        <v>681</v>
      </c>
      <c r="I4" s="251" t="s">
        <v>682</v>
      </c>
      <c r="J4" s="251" t="s">
        <v>683</v>
      </c>
      <c r="K4" s="251" t="s">
        <v>688</v>
      </c>
    </row>
    <row r="5" spans="2:11">
      <c r="B5" s="250">
        <v>3</v>
      </c>
      <c r="C5" s="251" t="s">
        <v>689</v>
      </c>
      <c r="D5" s="251" t="s">
        <v>690</v>
      </c>
      <c r="E5" s="251" t="s">
        <v>691</v>
      </c>
      <c r="F5" s="251" t="s">
        <v>679</v>
      </c>
      <c r="G5" s="251" t="s">
        <v>680</v>
      </c>
      <c r="H5" s="251" t="s">
        <v>681</v>
      </c>
      <c r="I5" s="251" t="s">
        <v>682</v>
      </c>
      <c r="J5" s="251" t="s">
        <v>683</v>
      </c>
      <c r="K5" s="251" t="s">
        <v>692</v>
      </c>
    </row>
    <row r="6" spans="2:11">
      <c r="B6" s="250">
        <v>4</v>
      </c>
      <c r="C6" s="251" t="s">
        <v>693</v>
      </c>
      <c r="D6" s="251" t="s">
        <v>694</v>
      </c>
      <c r="E6" s="251" t="s">
        <v>695</v>
      </c>
      <c r="F6" s="251" t="s">
        <v>679</v>
      </c>
      <c r="G6" s="251" t="s">
        <v>680</v>
      </c>
      <c r="H6" s="251" t="s">
        <v>681</v>
      </c>
      <c r="I6" s="251" t="s">
        <v>682</v>
      </c>
      <c r="J6" s="251" t="s">
        <v>683</v>
      </c>
      <c r="K6" s="251" t="s">
        <v>696</v>
      </c>
    </row>
    <row r="7" spans="2:11">
      <c r="B7" s="250">
        <v>5</v>
      </c>
      <c r="C7" s="251" t="s">
        <v>697</v>
      </c>
      <c r="D7" s="251" t="s">
        <v>698</v>
      </c>
      <c r="E7" s="251" t="s">
        <v>699</v>
      </c>
      <c r="F7" s="251" t="s">
        <v>679</v>
      </c>
      <c r="G7" s="251" t="s">
        <v>680</v>
      </c>
      <c r="H7" s="251" t="s">
        <v>681</v>
      </c>
      <c r="I7" s="251" t="s">
        <v>682</v>
      </c>
      <c r="J7" s="251" t="s">
        <v>683</v>
      </c>
      <c r="K7" s="251" t="s">
        <v>700</v>
      </c>
    </row>
    <row r="8" spans="2:11">
      <c r="B8" s="250">
        <v>6</v>
      </c>
      <c r="C8" s="251" t="s">
        <v>701</v>
      </c>
      <c r="D8" s="251" t="s">
        <v>702</v>
      </c>
      <c r="E8" s="251" t="s">
        <v>703</v>
      </c>
      <c r="F8" s="251" t="s">
        <v>679</v>
      </c>
      <c r="G8" s="251" t="s">
        <v>680</v>
      </c>
      <c r="H8" s="251" t="s">
        <v>681</v>
      </c>
      <c r="I8" s="251" t="s">
        <v>682</v>
      </c>
      <c r="J8" s="251" t="s">
        <v>683</v>
      </c>
      <c r="K8" s="251" t="s">
        <v>704</v>
      </c>
    </row>
    <row r="9" spans="2:11">
      <c r="B9" s="250">
        <v>7</v>
      </c>
      <c r="C9" s="251" t="s">
        <v>705</v>
      </c>
      <c r="D9" s="251" t="s">
        <v>706</v>
      </c>
      <c r="E9" s="251" t="s">
        <v>707</v>
      </c>
      <c r="F9" s="251" t="s">
        <v>679</v>
      </c>
      <c r="G9" s="251" t="s">
        <v>680</v>
      </c>
      <c r="H9" s="251" t="s">
        <v>681</v>
      </c>
      <c r="I9" s="251" t="s">
        <v>682</v>
      </c>
      <c r="J9" s="251" t="s">
        <v>683</v>
      </c>
      <c r="K9" s="251" t="s">
        <v>708</v>
      </c>
    </row>
    <row r="10" spans="2:11">
      <c r="B10" s="250">
        <v>8</v>
      </c>
      <c r="C10" s="251" t="s">
        <v>709</v>
      </c>
      <c r="D10" s="251" t="s">
        <v>710</v>
      </c>
      <c r="E10" s="251" t="s">
        <v>711</v>
      </c>
      <c r="F10" s="251" t="s">
        <v>679</v>
      </c>
      <c r="G10" s="251" t="s">
        <v>680</v>
      </c>
      <c r="H10" s="251" t="s">
        <v>681</v>
      </c>
      <c r="I10" s="251" t="s">
        <v>682</v>
      </c>
      <c r="J10" s="251" t="s">
        <v>683</v>
      </c>
      <c r="K10" s="251" t="s">
        <v>712</v>
      </c>
    </row>
    <row r="11" spans="2:11">
      <c r="B11" s="250">
        <v>9</v>
      </c>
      <c r="C11" s="251" t="s">
        <v>713</v>
      </c>
      <c r="D11" s="251" t="s">
        <v>714</v>
      </c>
      <c r="E11" s="251" t="s">
        <v>715</v>
      </c>
      <c r="F11" s="251" t="s">
        <v>679</v>
      </c>
      <c r="G11" s="251" t="s">
        <v>680</v>
      </c>
      <c r="H11" s="251" t="s">
        <v>681</v>
      </c>
      <c r="I11" s="251" t="s">
        <v>682</v>
      </c>
      <c r="J11" s="251" t="s">
        <v>683</v>
      </c>
      <c r="K11" s="251" t="s">
        <v>716</v>
      </c>
    </row>
    <row r="12" spans="2:11">
      <c r="B12" s="250">
        <v>10</v>
      </c>
      <c r="C12" s="251" t="s">
        <v>717</v>
      </c>
      <c r="D12" s="251" t="s">
        <v>718</v>
      </c>
      <c r="E12" s="251" t="s">
        <v>719</v>
      </c>
      <c r="F12" s="251" t="s">
        <v>679</v>
      </c>
      <c r="G12" s="251" t="s">
        <v>680</v>
      </c>
      <c r="H12" s="251" t="s">
        <v>681</v>
      </c>
      <c r="I12" s="251" t="s">
        <v>682</v>
      </c>
      <c r="J12" s="251" t="s">
        <v>683</v>
      </c>
      <c r="K12" s="251" t="s">
        <v>720</v>
      </c>
    </row>
    <row r="13" spans="2:11">
      <c r="B13" s="250">
        <v>11</v>
      </c>
      <c r="C13" s="251" t="s">
        <v>721</v>
      </c>
      <c r="D13" s="251" t="s">
        <v>722</v>
      </c>
      <c r="E13" s="251" t="s">
        <v>723</v>
      </c>
      <c r="F13" s="251" t="s">
        <v>679</v>
      </c>
      <c r="G13" s="251" t="s">
        <v>680</v>
      </c>
      <c r="H13" s="251" t="s">
        <v>681</v>
      </c>
      <c r="I13" s="251" t="s">
        <v>682</v>
      </c>
      <c r="J13" s="251" t="s">
        <v>683</v>
      </c>
      <c r="K13" s="251" t="s">
        <v>724</v>
      </c>
    </row>
    <row r="14" spans="2:11">
      <c r="B14" s="250">
        <v>12</v>
      </c>
      <c r="C14" s="251" t="s">
        <v>725</v>
      </c>
      <c r="D14" s="251" t="s">
        <v>726</v>
      </c>
      <c r="E14" s="251" t="s">
        <v>727</v>
      </c>
      <c r="F14" s="251" t="s">
        <v>679</v>
      </c>
      <c r="G14" s="251" t="s">
        <v>680</v>
      </c>
      <c r="H14" s="251" t="s">
        <v>681</v>
      </c>
      <c r="I14" s="251" t="s">
        <v>682</v>
      </c>
      <c r="J14" s="251" t="s">
        <v>683</v>
      </c>
      <c r="K14" s="251" t="s">
        <v>728</v>
      </c>
    </row>
    <row r="15" spans="2:11">
      <c r="B15" s="250">
        <v>13</v>
      </c>
      <c r="C15" s="251" t="s">
        <v>729</v>
      </c>
      <c r="D15" s="251" t="s">
        <v>730</v>
      </c>
      <c r="E15" s="251" t="s">
        <v>731</v>
      </c>
      <c r="F15" s="251" t="s">
        <v>679</v>
      </c>
      <c r="G15" s="251" t="s">
        <v>680</v>
      </c>
      <c r="H15" s="251" t="s">
        <v>681</v>
      </c>
      <c r="I15" s="251" t="s">
        <v>682</v>
      </c>
      <c r="J15" s="251" t="s">
        <v>683</v>
      </c>
      <c r="K15" s="251" t="s">
        <v>732</v>
      </c>
    </row>
    <row r="16" spans="2:11">
      <c r="B16" s="250">
        <v>14</v>
      </c>
      <c r="C16" s="251" t="s">
        <v>733</v>
      </c>
      <c r="D16" s="251" t="s">
        <v>734</v>
      </c>
      <c r="E16" s="251" t="s">
        <v>735</v>
      </c>
      <c r="F16" s="251" t="s">
        <v>679</v>
      </c>
      <c r="G16" s="251" t="s">
        <v>680</v>
      </c>
      <c r="H16" s="251" t="s">
        <v>681</v>
      </c>
      <c r="I16" s="251" t="s">
        <v>682</v>
      </c>
      <c r="J16" s="251" t="s">
        <v>736</v>
      </c>
      <c r="K16" s="251" t="s">
        <v>737</v>
      </c>
    </row>
    <row r="17" spans="2:11">
      <c r="B17" s="250">
        <v>15</v>
      </c>
      <c r="C17" s="251" t="s">
        <v>738</v>
      </c>
      <c r="D17" s="251" t="s">
        <v>739</v>
      </c>
      <c r="E17" s="251" t="s">
        <v>740</v>
      </c>
      <c r="F17" s="251" t="s">
        <v>679</v>
      </c>
      <c r="G17" s="251" t="s">
        <v>680</v>
      </c>
      <c r="H17" s="251" t="s">
        <v>681</v>
      </c>
      <c r="I17" s="251" t="s">
        <v>682</v>
      </c>
      <c r="J17" s="251" t="s">
        <v>736</v>
      </c>
      <c r="K17" s="251" t="s">
        <v>741</v>
      </c>
    </row>
    <row r="18" spans="2:11">
      <c r="B18" s="250">
        <v>16</v>
      </c>
      <c r="C18" s="251" t="s">
        <v>742</v>
      </c>
      <c r="D18" s="251" t="s">
        <v>743</v>
      </c>
      <c r="E18" s="251" t="s">
        <v>744</v>
      </c>
      <c r="F18" s="251" t="s">
        <v>679</v>
      </c>
      <c r="G18" s="251" t="s">
        <v>680</v>
      </c>
      <c r="H18" s="251" t="s">
        <v>681</v>
      </c>
      <c r="I18" s="251" t="s">
        <v>682</v>
      </c>
      <c r="J18" s="251" t="s">
        <v>736</v>
      </c>
      <c r="K18" s="251" t="s">
        <v>745</v>
      </c>
    </row>
    <row r="19" spans="2:11">
      <c r="B19" s="250">
        <v>17</v>
      </c>
      <c r="C19" s="251" t="s">
        <v>746</v>
      </c>
      <c r="D19" s="251" t="s">
        <v>747</v>
      </c>
      <c r="E19" s="251" t="s">
        <v>748</v>
      </c>
      <c r="F19" s="251" t="s">
        <v>679</v>
      </c>
      <c r="G19" s="251" t="s">
        <v>680</v>
      </c>
      <c r="H19" s="251" t="s">
        <v>681</v>
      </c>
      <c r="I19" s="251" t="s">
        <v>682</v>
      </c>
      <c r="J19" s="251" t="s">
        <v>736</v>
      </c>
      <c r="K19" s="251" t="s">
        <v>749</v>
      </c>
    </row>
    <row r="20" spans="2:11">
      <c r="B20" s="250">
        <v>18</v>
      </c>
      <c r="C20" s="251" t="s">
        <v>750</v>
      </c>
      <c r="D20" s="251" t="s">
        <v>751</v>
      </c>
      <c r="E20" s="251" t="s">
        <v>687</v>
      </c>
      <c r="F20" s="251" t="s">
        <v>679</v>
      </c>
      <c r="G20" s="251" t="s">
        <v>680</v>
      </c>
      <c r="H20" s="251" t="s">
        <v>681</v>
      </c>
      <c r="I20" s="251" t="s">
        <v>682</v>
      </c>
      <c r="J20" s="251" t="s">
        <v>736</v>
      </c>
      <c r="K20" s="251" t="s">
        <v>752</v>
      </c>
    </row>
    <row r="21" spans="2:11">
      <c r="B21" s="250">
        <v>19</v>
      </c>
      <c r="C21" s="251" t="s">
        <v>753</v>
      </c>
      <c r="D21" s="251" t="s">
        <v>754</v>
      </c>
      <c r="E21" s="251" t="s">
        <v>755</v>
      </c>
      <c r="F21" s="251" t="s">
        <v>679</v>
      </c>
      <c r="G21" s="251" t="s">
        <v>680</v>
      </c>
      <c r="H21" s="251" t="s">
        <v>681</v>
      </c>
      <c r="I21" s="251" t="s">
        <v>682</v>
      </c>
      <c r="J21" s="251" t="s">
        <v>736</v>
      </c>
      <c r="K21" s="251" t="s">
        <v>696</v>
      </c>
    </row>
    <row r="22" spans="2:11">
      <c r="B22" s="250">
        <v>20</v>
      </c>
      <c r="C22" s="251" t="s">
        <v>756</v>
      </c>
      <c r="D22" s="251" t="s">
        <v>757</v>
      </c>
      <c r="E22" s="251" t="s">
        <v>758</v>
      </c>
      <c r="F22" s="251" t="s">
        <v>679</v>
      </c>
      <c r="G22" s="251" t="s">
        <v>680</v>
      </c>
      <c r="H22" s="251" t="s">
        <v>681</v>
      </c>
      <c r="I22" s="251" t="s">
        <v>682</v>
      </c>
      <c r="J22" s="251" t="s">
        <v>736</v>
      </c>
      <c r="K22" s="251" t="s">
        <v>759</v>
      </c>
    </row>
    <row r="23" spans="2:11">
      <c r="B23" s="250">
        <v>21</v>
      </c>
      <c r="C23" s="251" t="s">
        <v>760</v>
      </c>
      <c r="D23" s="251" t="s">
        <v>761</v>
      </c>
      <c r="E23" s="251" t="s">
        <v>762</v>
      </c>
      <c r="F23" s="251" t="s">
        <v>679</v>
      </c>
      <c r="G23" s="251" t="s">
        <v>680</v>
      </c>
      <c r="H23" s="251" t="s">
        <v>681</v>
      </c>
      <c r="I23" s="251" t="s">
        <v>682</v>
      </c>
      <c r="J23" s="251" t="s">
        <v>736</v>
      </c>
      <c r="K23" s="251" t="s">
        <v>763</v>
      </c>
    </row>
    <row r="24" spans="2:11">
      <c r="B24" s="250">
        <v>22</v>
      </c>
      <c r="C24" s="251" t="s">
        <v>764</v>
      </c>
      <c r="D24" s="251" t="s">
        <v>765</v>
      </c>
      <c r="E24" s="251" t="s">
        <v>766</v>
      </c>
      <c r="F24" s="251" t="s">
        <v>679</v>
      </c>
      <c r="G24" s="251" t="s">
        <v>680</v>
      </c>
      <c r="H24" s="251" t="s">
        <v>681</v>
      </c>
      <c r="I24" s="251" t="s">
        <v>682</v>
      </c>
      <c r="J24" s="251" t="s">
        <v>736</v>
      </c>
      <c r="K24" s="251" t="s">
        <v>767</v>
      </c>
    </row>
    <row r="25" spans="2:11">
      <c r="B25" s="250">
        <v>23</v>
      </c>
      <c r="C25" s="251" t="s">
        <v>768</v>
      </c>
      <c r="D25" s="251" t="s">
        <v>769</v>
      </c>
      <c r="E25" s="251" t="s">
        <v>770</v>
      </c>
      <c r="F25" s="251" t="s">
        <v>679</v>
      </c>
      <c r="G25" s="251" t="s">
        <v>680</v>
      </c>
      <c r="H25" s="251" t="s">
        <v>681</v>
      </c>
      <c r="I25" s="251" t="s">
        <v>682</v>
      </c>
      <c r="J25" s="251" t="s">
        <v>736</v>
      </c>
      <c r="K25" s="251" t="s">
        <v>771</v>
      </c>
    </row>
    <row r="26" spans="2:11">
      <c r="B26" s="250">
        <v>24</v>
      </c>
      <c r="C26" s="251" t="s">
        <v>772</v>
      </c>
      <c r="D26" s="251" t="s">
        <v>773</v>
      </c>
      <c r="E26" s="251" t="s">
        <v>774</v>
      </c>
      <c r="F26" s="251" t="s">
        <v>679</v>
      </c>
      <c r="G26" s="251" t="s">
        <v>680</v>
      </c>
      <c r="H26" s="251" t="s">
        <v>681</v>
      </c>
      <c r="I26" s="251" t="s">
        <v>682</v>
      </c>
      <c r="J26" s="251" t="s">
        <v>736</v>
      </c>
      <c r="K26" s="251" t="s">
        <v>775</v>
      </c>
    </row>
    <row r="27" spans="2:11">
      <c r="B27" s="250">
        <v>25</v>
      </c>
      <c r="C27" s="251" t="s">
        <v>776</v>
      </c>
      <c r="D27" s="251" t="s">
        <v>777</v>
      </c>
      <c r="E27" s="251" t="s">
        <v>778</v>
      </c>
      <c r="F27" s="251" t="s">
        <v>679</v>
      </c>
      <c r="G27" s="251" t="s">
        <v>680</v>
      </c>
      <c r="H27" s="251" t="s">
        <v>681</v>
      </c>
      <c r="I27" s="251" t="s">
        <v>682</v>
      </c>
      <c r="J27" s="251" t="s">
        <v>736</v>
      </c>
      <c r="K27" s="251" t="s">
        <v>779</v>
      </c>
    </row>
    <row r="28" spans="2:11">
      <c r="B28" s="250">
        <v>26</v>
      </c>
      <c r="C28" s="251" t="s">
        <v>780</v>
      </c>
      <c r="D28" s="251" t="s">
        <v>781</v>
      </c>
      <c r="E28" s="251" t="s">
        <v>782</v>
      </c>
      <c r="F28" s="251" t="s">
        <v>679</v>
      </c>
      <c r="G28" s="251" t="s">
        <v>680</v>
      </c>
      <c r="H28" s="251" t="s">
        <v>681</v>
      </c>
      <c r="I28" s="251" t="s">
        <v>682</v>
      </c>
      <c r="J28" s="251" t="s">
        <v>736</v>
      </c>
      <c r="K28" s="251" t="s">
        <v>783</v>
      </c>
    </row>
    <row r="29" spans="2:11">
      <c r="B29" s="250">
        <v>27</v>
      </c>
      <c r="C29" s="251" t="s">
        <v>784</v>
      </c>
      <c r="D29" s="251" t="s">
        <v>785</v>
      </c>
      <c r="E29" s="251" t="s">
        <v>786</v>
      </c>
      <c r="F29" s="251" t="s">
        <v>679</v>
      </c>
      <c r="G29" s="251" t="s">
        <v>680</v>
      </c>
      <c r="H29" s="251" t="s">
        <v>681</v>
      </c>
      <c r="I29" s="251" t="s">
        <v>682</v>
      </c>
      <c r="J29" s="251" t="s">
        <v>736</v>
      </c>
      <c r="K29" s="251" t="s">
        <v>787</v>
      </c>
    </row>
    <row r="30" spans="2:11">
      <c r="B30" s="250">
        <v>28</v>
      </c>
      <c r="C30" s="251" t="s">
        <v>788</v>
      </c>
      <c r="D30" s="251" t="s">
        <v>789</v>
      </c>
      <c r="E30" s="251" t="s">
        <v>790</v>
      </c>
      <c r="F30" s="251" t="s">
        <v>679</v>
      </c>
      <c r="G30" s="251" t="s">
        <v>680</v>
      </c>
      <c r="H30" s="251" t="s">
        <v>681</v>
      </c>
      <c r="I30" s="251" t="s">
        <v>682</v>
      </c>
      <c r="J30" s="251" t="s">
        <v>736</v>
      </c>
      <c r="K30" s="251" t="s">
        <v>791</v>
      </c>
    </row>
    <row r="31" spans="2:11">
      <c r="B31" s="250">
        <v>29</v>
      </c>
      <c r="C31" s="251" t="s">
        <v>792</v>
      </c>
      <c r="D31" s="251" t="s">
        <v>793</v>
      </c>
      <c r="E31" s="251" t="s">
        <v>678</v>
      </c>
      <c r="F31" s="251" t="s">
        <v>679</v>
      </c>
      <c r="G31" s="251" t="s">
        <v>680</v>
      </c>
      <c r="H31" s="251" t="s">
        <v>681</v>
      </c>
      <c r="I31" s="251" t="s">
        <v>682</v>
      </c>
      <c r="J31" s="251" t="s">
        <v>736</v>
      </c>
      <c r="K31" s="251" t="s">
        <v>794</v>
      </c>
    </row>
    <row r="32" spans="2:11">
      <c r="B32" s="250">
        <v>30</v>
      </c>
      <c r="C32" s="251" t="s">
        <v>795</v>
      </c>
      <c r="D32" s="251" t="s">
        <v>796</v>
      </c>
      <c r="E32" s="251" t="s">
        <v>797</v>
      </c>
      <c r="F32" s="251" t="s">
        <v>679</v>
      </c>
      <c r="G32" s="251" t="s">
        <v>680</v>
      </c>
      <c r="H32" s="251" t="s">
        <v>681</v>
      </c>
      <c r="I32" s="251" t="s">
        <v>682</v>
      </c>
      <c r="J32" s="251" t="s">
        <v>736</v>
      </c>
      <c r="K32" s="251" t="s">
        <v>696</v>
      </c>
    </row>
    <row r="33" spans="2:11">
      <c r="B33" s="250">
        <v>31</v>
      </c>
      <c r="C33" s="251" t="s">
        <v>798</v>
      </c>
      <c r="D33" s="251" t="s">
        <v>799</v>
      </c>
      <c r="E33" s="251" t="s">
        <v>800</v>
      </c>
      <c r="F33" s="251" t="s">
        <v>679</v>
      </c>
      <c r="G33" s="251" t="s">
        <v>680</v>
      </c>
      <c r="H33" s="251" t="s">
        <v>681</v>
      </c>
      <c r="I33" s="251" t="s">
        <v>682</v>
      </c>
      <c r="J33" s="251" t="s">
        <v>736</v>
      </c>
      <c r="K33" s="251" t="s">
        <v>801</v>
      </c>
    </row>
    <row r="34" spans="2:11">
      <c r="B34" s="250">
        <v>32</v>
      </c>
      <c r="C34" s="251" t="s">
        <v>802</v>
      </c>
      <c r="D34" s="251" t="s">
        <v>803</v>
      </c>
      <c r="E34" s="251" t="s">
        <v>804</v>
      </c>
      <c r="F34" s="251" t="s">
        <v>679</v>
      </c>
      <c r="G34" s="251" t="s">
        <v>680</v>
      </c>
      <c r="H34" s="251" t="s">
        <v>681</v>
      </c>
      <c r="I34" s="251" t="s">
        <v>682</v>
      </c>
      <c r="J34" s="251" t="s">
        <v>736</v>
      </c>
      <c r="K34" s="251" t="s">
        <v>805</v>
      </c>
    </row>
    <row r="35" spans="2:11">
      <c r="B35" s="250">
        <v>33</v>
      </c>
      <c r="C35" s="251" t="s">
        <v>806</v>
      </c>
      <c r="D35" s="251" t="s">
        <v>807</v>
      </c>
      <c r="E35" s="251" t="s">
        <v>808</v>
      </c>
      <c r="F35" s="251" t="s">
        <v>679</v>
      </c>
      <c r="G35" s="251" t="s">
        <v>680</v>
      </c>
      <c r="H35" s="251" t="s">
        <v>681</v>
      </c>
      <c r="I35" s="251" t="s">
        <v>682</v>
      </c>
      <c r="J35" s="251" t="s">
        <v>736</v>
      </c>
      <c r="K35" s="251" t="s">
        <v>809</v>
      </c>
    </row>
    <row r="36" spans="2:11">
      <c r="B36" s="250">
        <v>34</v>
      </c>
      <c r="C36" s="251" t="s">
        <v>810</v>
      </c>
      <c r="D36" s="251" t="s">
        <v>811</v>
      </c>
      <c r="E36" s="251" t="s">
        <v>715</v>
      </c>
      <c r="F36" s="251" t="s">
        <v>679</v>
      </c>
      <c r="G36" s="251" t="s">
        <v>680</v>
      </c>
      <c r="H36" s="251" t="s">
        <v>681</v>
      </c>
      <c r="I36" s="251" t="s">
        <v>682</v>
      </c>
      <c r="J36" s="251" t="s">
        <v>736</v>
      </c>
      <c r="K36" s="251" t="s">
        <v>812</v>
      </c>
    </row>
    <row r="37" spans="2:11">
      <c r="B37" s="250">
        <v>35</v>
      </c>
      <c r="C37" s="251" t="s">
        <v>813</v>
      </c>
      <c r="D37" s="251" t="s">
        <v>814</v>
      </c>
      <c r="E37" s="251" t="s">
        <v>815</v>
      </c>
      <c r="F37" s="251" t="s">
        <v>679</v>
      </c>
      <c r="G37" s="251" t="s">
        <v>680</v>
      </c>
      <c r="H37" s="251" t="s">
        <v>681</v>
      </c>
      <c r="I37" s="251" t="s">
        <v>682</v>
      </c>
      <c r="J37" s="251" t="s">
        <v>736</v>
      </c>
      <c r="K37" s="251" t="s">
        <v>816</v>
      </c>
    </row>
    <row r="38" spans="2:11">
      <c r="B38" s="250">
        <v>36</v>
      </c>
      <c r="C38" s="251" t="s">
        <v>817</v>
      </c>
      <c r="D38" s="251" t="s">
        <v>818</v>
      </c>
      <c r="E38" s="251" t="s">
        <v>819</v>
      </c>
      <c r="F38" s="251" t="s">
        <v>679</v>
      </c>
      <c r="G38" s="251" t="s">
        <v>680</v>
      </c>
      <c r="H38" s="251" t="s">
        <v>681</v>
      </c>
      <c r="I38" s="251" t="s">
        <v>682</v>
      </c>
      <c r="J38" s="251" t="s">
        <v>736</v>
      </c>
      <c r="K38" s="251" t="s">
        <v>820</v>
      </c>
    </row>
    <row r="39" spans="2:11">
      <c r="B39" s="250">
        <v>37</v>
      </c>
      <c r="C39" s="251" t="s">
        <v>821</v>
      </c>
      <c r="D39" s="251" t="s">
        <v>822</v>
      </c>
      <c r="E39" s="251" t="s">
        <v>823</v>
      </c>
      <c r="F39" s="251" t="s">
        <v>679</v>
      </c>
      <c r="G39" s="251" t="s">
        <v>680</v>
      </c>
      <c r="H39" s="251" t="s">
        <v>681</v>
      </c>
      <c r="I39" s="251" t="s">
        <v>682</v>
      </c>
      <c r="J39" s="251" t="s">
        <v>736</v>
      </c>
      <c r="K39" s="251" t="s">
        <v>824</v>
      </c>
    </row>
    <row r="40" spans="2:11">
      <c r="B40" s="250">
        <v>38</v>
      </c>
      <c r="C40" s="251" t="s">
        <v>825</v>
      </c>
      <c r="D40" s="251" t="s">
        <v>826</v>
      </c>
      <c r="E40" s="251" t="s">
        <v>678</v>
      </c>
      <c r="F40" s="251" t="s">
        <v>679</v>
      </c>
      <c r="G40" s="251" t="s">
        <v>680</v>
      </c>
      <c r="H40" s="251" t="s">
        <v>681</v>
      </c>
      <c r="I40" s="251" t="s">
        <v>682</v>
      </c>
      <c r="J40" s="251" t="s">
        <v>736</v>
      </c>
      <c r="K40" s="251" t="s">
        <v>827</v>
      </c>
    </row>
    <row r="41" spans="2:11">
      <c r="B41" s="250">
        <v>39</v>
      </c>
      <c r="C41" s="251" t="s">
        <v>828</v>
      </c>
      <c r="D41" s="251" t="s">
        <v>829</v>
      </c>
      <c r="E41" s="251" t="s">
        <v>830</v>
      </c>
      <c r="F41" s="251" t="s">
        <v>679</v>
      </c>
      <c r="G41" s="251" t="s">
        <v>680</v>
      </c>
      <c r="H41" s="251" t="s">
        <v>681</v>
      </c>
      <c r="I41" s="251" t="s">
        <v>682</v>
      </c>
      <c r="J41" s="251" t="s">
        <v>736</v>
      </c>
      <c r="K41" s="251" t="s">
        <v>831</v>
      </c>
    </row>
    <row r="42" spans="2:11">
      <c r="B42" s="250">
        <v>40</v>
      </c>
      <c r="C42" s="251" t="s">
        <v>832</v>
      </c>
      <c r="D42" s="251" t="s">
        <v>833</v>
      </c>
      <c r="E42" s="251" t="s">
        <v>834</v>
      </c>
      <c r="F42" s="251" t="s">
        <v>679</v>
      </c>
      <c r="G42" s="251" t="s">
        <v>680</v>
      </c>
      <c r="H42" s="251" t="s">
        <v>681</v>
      </c>
      <c r="I42" s="251" t="s">
        <v>682</v>
      </c>
      <c r="J42" s="251" t="s">
        <v>736</v>
      </c>
      <c r="K42" s="251" t="s">
        <v>835</v>
      </c>
    </row>
    <row r="43" spans="2:11">
      <c r="B43" s="250">
        <v>41</v>
      </c>
      <c r="C43" s="251" t="s">
        <v>836</v>
      </c>
      <c r="D43" s="251" t="s">
        <v>837</v>
      </c>
      <c r="E43" s="251" t="s">
        <v>678</v>
      </c>
      <c r="F43" s="251" t="s">
        <v>679</v>
      </c>
      <c r="G43" s="251" t="s">
        <v>680</v>
      </c>
      <c r="H43" s="251" t="s">
        <v>681</v>
      </c>
      <c r="I43" s="251" t="s">
        <v>682</v>
      </c>
      <c r="J43" s="251" t="s">
        <v>736</v>
      </c>
      <c r="K43" s="251" t="s">
        <v>838</v>
      </c>
    </row>
    <row r="44" spans="2:11">
      <c r="B44" s="250">
        <v>42</v>
      </c>
      <c r="C44" s="251" t="s">
        <v>839</v>
      </c>
      <c r="D44" s="251" t="s">
        <v>840</v>
      </c>
      <c r="E44" s="251" t="s">
        <v>841</v>
      </c>
      <c r="F44" s="251" t="s">
        <v>679</v>
      </c>
      <c r="G44" s="251" t="s">
        <v>680</v>
      </c>
      <c r="H44" s="251" t="s">
        <v>681</v>
      </c>
      <c r="I44" s="251" t="s">
        <v>682</v>
      </c>
      <c r="J44" s="251" t="s">
        <v>736</v>
      </c>
      <c r="K44" s="251" t="s">
        <v>842</v>
      </c>
    </row>
    <row r="45" spans="2:11">
      <c r="B45" s="250">
        <v>43</v>
      </c>
      <c r="C45" s="251" t="s">
        <v>843</v>
      </c>
      <c r="D45" s="251" t="s">
        <v>844</v>
      </c>
      <c r="E45" s="251" t="s">
        <v>727</v>
      </c>
      <c r="F45" s="251" t="s">
        <v>679</v>
      </c>
      <c r="G45" s="251" t="s">
        <v>680</v>
      </c>
      <c r="H45" s="251" t="s">
        <v>681</v>
      </c>
      <c r="I45" s="251" t="s">
        <v>682</v>
      </c>
      <c r="J45" s="251" t="s">
        <v>736</v>
      </c>
      <c r="K45" s="251" t="s">
        <v>845</v>
      </c>
    </row>
    <row r="46" spans="2:11">
      <c r="B46" s="250">
        <v>44</v>
      </c>
      <c r="C46" s="251" t="s">
        <v>846</v>
      </c>
      <c r="D46" s="251" t="s">
        <v>847</v>
      </c>
      <c r="E46" s="251" t="s">
        <v>848</v>
      </c>
      <c r="F46" s="251" t="s">
        <v>679</v>
      </c>
      <c r="G46" s="251" t="s">
        <v>680</v>
      </c>
      <c r="H46" s="251" t="s">
        <v>681</v>
      </c>
      <c r="I46" s="251" t="s">
        <v>682</v>
      </c>
      <c r="J46" s="251" t="s">
        <v>736</v>
      </c>
      <c r="K46" s="251" t="s">
        <v>849</v>
      </c>
    </row>
    <row r="47" spans="2:11">
      <c r="B47" s="250">
        <v>45</v>
      </c>
      <c r="C47" s="251" t="s">
        <v>850</v>
      </c>
      <c r="D47" s="251" t="s">
        <v>851</v>
      </c>
      <c r="E47" s="251" t="s">
        <v>852</v>
      </c>
      <c r="F47" s="251" t="s">
        <v>679</v>
      </c>
      <c r="G47" s="251" t="s">
        <v>680</v>
      </c>
      <c r="H47" s="251" t="s">
        <v>681</v>
      </c>
      <c r="I47" s="251" t="s">
        <v>682</v>
      </c>
      <c r="J47" s="251" t="s">
        <v>853</v>
      </c>
      <c r="K47" s="251" t="s">
        <v>854</v>
      </c>
    </row>
    <row r="48" spans="2:11">
      <c r="B48" s="250">
        <v>46</v>
      </c>
      <c r="C48" s="251" t="s">
        <v>855</v>
      </c>
      <c r="D48" s="251" t="s">
        <v>856</v>
      </c>
      <c r="E48" s="251" t="s">
        <v>857</v>
      </c>
      <c r="F48" s="251" t="s">
        <v>679</v>
      </c>
      <c r="G48" s="251" t="s">
        <v>680</v>
      </c>
      <c r="H48" s="251" t="s">
        <v>681</v>
      </c>
      <c r="I48" s="251" t="s">
        <v>682</v>
      </c>
      <c r="J48" s="251" t="s">
        <v>853</v>
      </c>
      <c r="K48" s="251" t="s">
        <v>858</v>
      </c>
    </row>
    <row r="49" spans="2:11">
      <c r="B49" s="250">
        <v>47</v>
      </c>
      <c r="C49" s="251" t="s">
        <v>859</v>
      </c>
      <c r="D49" s="251" t="s">
        <v>860</v>
      </c>
      <c r="E49" s="251" t="s">
        <v>861</v>
      </c>
      <c r="F49" s="251" t="s">
        <v>679</v>
      </c>
      <c r="G49" s="251" t="s">
        <v>680</v>
      </c>
      <c r="H49" s="251" t="s">
        <v>681</v>
      </c>
      <c r="I49" s="251" t="s">
        <v>682</v>
      </c>
      <c r="J49" s="251" t="s">
        <v>853</v>
      </c>
      <c r="K49" s="251" t="s">
        <v>862</v>
      </c>
    </row>
    <row r="50" spans="2:11">
      <c r="B50" s="250">
        <v>48</v>
      </c>
      <c r="C50" s="251" t="s">
        <v>863</v>
      </c>
      <c r="D50" s="251" t="s">
        <v>864</v>
      </c>
      <c r="E50" s="251" t="s">
        <v>865</v>
      </c>
      <c r="F50" s="251" t="s">
        <v>679</v>
      </c>
      <c r="G50" s="251" t="s">
        <v>680</v>
      </c>
      <c r="H50" s="251" t="s">
        <v>681</v>
      </c>
      <c r="I50" s="251" t="s">
        <v>682</v>
      </c>
      <c r="J50" s="251" t="s">
        <v>853</v>
      </c>
      <c r="K50" s="251" t="s">
        <v>866</v>
      </c>
    </row>
    <row r="51" spans="2:11">
      <c r="B51" s="250">
        <v>49</v>
      </c>
      <c r="C51" s="251" t="s">
        <v>867</v>
      </c>
      <c r="D51" s="251" t="s">
        <v>868</v>
      </c>
      <c r="E51" s="251" t="s">
        <v>869</v>
      </c>
      <c r="F51" s="251" t="s">
        <v>679</v>
      </c>
      <c r="G51" s="251" t="s">
        <v>680</v>
      </c>
      <c r="H51" s="251" t="s">
        <v>681</v>
      </c>
      <c r="I51" s="251" t="s">
        <v>682</v>
      </c>
      <c r="J51" s="251" t="s">
        <v>853</v>
      </c>
      <c r="K51" s="251" t="s">
        <v>870</v>
      </c>
    </row>
    <row r="52" spans="2:11">
      <c r="B52" s="250">
        <v>50</v>
      </c>
      <c r="C52" s="251" t="s">
        <v>871</v>
      </c>
      <c r="D52" s="251" t="s">
        <v>872</v>
      </c>
      <c r="E52" s="251" t="s">
        <v>873</v>
      </c>
      <c r="F52" s="251" t="s">
        <v>679</v>
      </c>
      <c r="G52" s="251" t="s">
        <v>680</v>
      </c>
      <c r="H52" s="251" t="s">
        <v>681</v>
      </c>
      <c r="I52" s="251" t="s">
        <v>682</v>
      </c>
      <c r="J52" s="251" t="s">
        <v>853</v>
      </c>
      <c r="K52" s="251" t="s">
        <v>874</v>
      </c>
    </row>
    <row r="53" spans="2:11">
      <c r="B53" s="250">
        <v>51</v>
      </c>
      <c r="C53" s="251" t="s">
        <v>875</v>
      </c>
      <c r="D53" s="251" t="s">
        <v>876</v>
      </c>
      <c r="E53" s="251" t="s">
        <v>877</v>
      </c>
      <c r="F53" s="251" t="s">
        <v>679</v>
      </c>
      <c r="G53" s="251" t="s">
        <v>680</v>
      </c>
      <c r="H53" s="251" t="s">
        <v>681</v>
      </c>
      <c r="I53" s="251" t="s">
        <v>682</v>
      </c>
      <c r="J53" s="251" t="s">
        <v>853</v>
      </c>
      <c r="K53" s="251" t="s">
        <v>878</v>
      </c>
    </row>
    <row r="54" spans="2:11">
      <c r="B54" s="250">
        <v>52</v>
      </c>
      <c r="C54" s="251" t="s">
        <v>879</v>
      </c>
      <c r="D54" s="251" t="s">
        <v>880</v>
      </c>
      <c r="E54" s="251" t="s">
        <v>881</v>
      </c>
      <c r="F54" s="251" t="s">
        <v>679</v>
      </c>
      <c r="G54" s="251" t="s">
        <v>680</v>
      </c>
      <c r="H54" s="251" t="s">
        <v>681</v>
      </c>
      <c r="I54" s="251" t="s">
        <v>682</v>
      </c>
      <c r="J54" s="251" t="s">
        <v>853</v>
      </c>
      <c r="K54" s="251" t="s">
        <v>882</v>
      </c>
    </row>
    <row r="55" spans="2:11">
      <c r="B55" s="250">
        <v>53</v>
      </c>
      <c r="C55" s="251" t="s">
        <v>883</v>
      </c>
      <c r="D55" s="251" t="s">
        <v>884</v>
      </c>
      <c r="E55" s="251" t="s">
        <v>885</v>
      </c>
      <c r="F55" s="251" t="s">
        <v>679</v>
      </c>
      <c r="G55" s="251" t="s">
        <v>680</v>
      </c>
      <c r="H55" s="251" t="s">
        <v>681</v>
      </c>
      <c r="I55" s="251" t="s">
        <v>682</v>
      </c>
      <c r="J55" s="251" t="s">
        <v>853</v>
      </c>
      <c r="K55" s="251" t="s">
        <v>886</v>
      </c>
    </row>
    <row r="56" spans="2:11">
      <c r="B56" s="250">
        <v>54</v>
      </c>
      <c r="C56" s="251" t="s">
        <v>887</v>
      </c>
      <c r="D56" s="251" t="s">
        <v>888</v>
      </c>
      <c r="E56" s="251" t="s">
        <v>889</v>
      </c>
      <c r="F56" s="251" t="s">
        <v>679</v>
      </c>
      <c r="G56" s="251" t="s">
        <v>680</v>
      </c>
      <c r="H56" s="251" t="s">
        <v>681</v>
      </c>
      <c r="I56" s="251" t="s">
        <v>682</v>
      </c>
      <c r="J56" s="251" t="s">
        <v>853</v>
      </c>
      <c r="K56" s="251" t="s">
        <v>890</v>
      </c>
    </row>
    <row r="57" spans="2:11">
      <c r="B57" s="250">
        <v>55</v>
      </c>
      <c r="C57" s="251" t="s">
        <v>891</v>
      </c>
      <c r="D57" s="251" t="s">
        <v>892</v>
      </c>
      <c r="E57" s="251" t="s">
        <v>893</v>
      </c>
      <c r="F57" s="251" t="s">
        <v>679</v>
      </c>
      <c r="G57" s="251" t="s">
        <v>680</v>
      </c>
      <c r="H57" s="251" t="s">
        <v>681</v>
      </c>
      <c r="I57" s="251" t="s">
        <v>682</v>
      </c>
      <c r="J57" s="251" t="s">
        <v>853</v>
      </c>
      <c r="K57" s="251" t="s">
        <v>894</v>
      </c>
    </row>
    <row r="58" spans="2:11">
      <c r="B58" s="250">
        <v>56</v>
      </c>
      <c r="C58" s="251" t="s">
        <v>895</v>
      </c>
      <c r="D58" s="251" t="s">
        <v>896</v>
      </c>
      <c r="E58" s="251" t="s">
        <v>897</v>
      </c>
      <c r="F58" s="251" t="s">
        <v>679</v>
      </c>
      <c r="G58" s="251" t="s">
        <v>680</v>
      </c>
      <c r="H58" s="251" t="s">
        <v>681</v>
      </c>
      <c r="I58" s="251" t="s">
        <v>682</v>
      </c>
      <c r="J58" s="251" t="s">
        <v>853</v>
      </c>
      <c r="K58" s="251" t="s">
        <v>898</v>
      </c>
    </row>
    <row r="59" spans="2:11">
      <c r="B59" s="250">
        <v>57</v>
      </c>
      <c r="C59" s="251" t="s">
        <v>899</v>
      </c>
      <c r="D59" s="251" t="s">
        <v>900</v>
      </c>
      <c r="E59" s="251" t="s">
        <v>901</v>
      </c>
      <c r="F59" s="251" t="s">
        <v>679</v>
      </c>
      <c r="G59" s="251" t="s">
        <v>680</v>
      </c>
      <c r="H59" s="251" t="s">
        <v>681</v>
      </c>
      <c r="I59" s="251" t="s">
        <v>682</v>
      </c>
      <c r="J59" s="251" t="s">
        <v>853</v>
      </c>
      <c r="K59" s="251" t="s">
        <v>902</v>
      </c>
    </row>
    <row r="60" spans="2:11">
      <c r="B60" s="250">
        <v>58</v>
      </c>
      <c r="C60" s="251" t="s">
        <v>903</v>
      </c>
      <c r="D60" s="251" t="s">
        <v>904</v>
      </c>
      <c r="E60" s="251" t="s">
        <v>905</v>
      </c>
      <c r="F60" s="251" t="s">
        <v>679</v>
      </c>
      <c r="G60" s="251" t="s">
        <v>680</v>
      </c>
      <c r="H60" s="251" t="s">
        <v>681</v>
      </c>
      <c r="I60" s="251" t="s">
        <v>682</v>
      </c>
      <c r="J60" s="251" t="s">
        <v>853</v>
      </c>
      <c r="K60" s="251" t="s">
        <v>906</v>
      </c>
    </row>
    <row r="61" spans="2:11">
      <c r="B61" s="250">
        <v>59</v>
      </c>
      <c r="C61" s="251" t="s">
        <v>907</v>
      </c>
      <c r="D61" s="251" t="s">
        <v>908</v>
      </c>
      <c r="E61" s="251" t="s">
        <v>703</v>
      </c>
      <c r="F61" s="251" t="s">
        <v>679</v>
      </c>
      <c r="G61" s="251" t="s">
        <v>680</v>
      </c>
      <c r="H61" s="251" t="s">
        <v>681</v>
      </c>
      <c r="I61" s="251" t="s">
        <v>682</v>
      </c>
      <c r="J61" s="251" t="s">
        <v>853</v>
      </c>
      <c r="K61" s="251" t="s">
        <v>909</v>
      </c>
    </row>
    <row r="62" spans="2:11">
      <c r="B62" s="250">
        <v>60</v>
      </c>
      <c r="C62" s="251" t="s">
        <v>910</v>
      </c>
      <c r="D62" s="251" t="s">
        <v>911</v>
      </c>
      <c r="E62" s="251" t="s">
        <v>912</v>
      </c>
      <c r="F62" s="251" t="s">
        <v>679</v>
      </c>
      <c r="G62" s="251" t="s">
        <v>680</v>
      </c>
      <c r="H62" s="251" t="s">
        <v>681</v>
      </c>
      <c r="I62" s="251" t="s">
        <v>682</v>
      </c>
      <c r="J62" s="251" t="s">
        <v>853</v>
      </c>
      <c r="K62" s="251" t="s">
        <v>913</v>
      </c>
    </row>
    <row r="63" spans="2:11">
      <c r="B63" s="250">
        <v>61</v>
      </c>
      <c r="C63" s="251" t="s">
        <v>914</v>
      </c>
      <c r="D63" s="251" t="s">
        <v>915</v>
      </c>
      <c r="E63" s="251" t="s">
        <v>916</v>
      </c>
      <c r="F63" s="251" t="s">
        <v>679</v>
      </c>
      <c r="G63" s="251" t="s">
        <v>680</v>
      </c>
      <c r="H63" s="251" t="s">
        <v>681</v>
      </c>
      <c r="I63" s="251" t="s">
        <v>682</v>
      </c>
      <c r="J63" s="251" t="s">
        <v>917</v>
      </c>
      <c r="K63" s="251" t="s">
        <v>918</v>
      </c>
    </row>
    <row r="64" spans="2:11">
      <c r="B64" s="250">
        <v>62</v>
      </c>
      <c r="C64" s="251" t="s">
        <v>919</v>
      </c>
      <c r="D64" s="251" t="s">
        <v>920</v>
      </c>
      <c r="E64" s="251" t="s">
        <v>921</v>
      </c>
      <c r="F64" s="251" t="s">
        <v>679</v>
      </c>
      <c r="G64" s="251" t="s">
        <v>680</v>
      </c>
      <c r="H64" s="251" t="s">
        <v>681</v>
      </c>
      <c r="I64" s="251" t="s">
        <v>682</v>
      </c>
      <c r="J64" s="251" t="s">
        <v>917</v>
      </c>
      <c r="K64" s="251" t="s">
        <v>922</v>
      </c>
    </row>
    <row r="65" spans="2:11">
      <c r="B65" s="250">
        <v>63</v>
      </c>
      <c r="C65" s="251" t="s">
        <v>923</v>
      </c>
      <c r="D65" s="251" t="s">
        <v>924</v>
      </c>
      <c r="E65" s="251" t="s">
        <v>925</v>
      </c>
      <c r="F65" s="251" t="s">
        <v>679</v>
      </c>
      <c r="G65" s="251" t="s">
        <v>680</v>
      </c>
      <c r="H65" s="251" t="s">
        <v>681</v>
      </c>
      <c r="I65" s="251" t="s">
        <v>682</v>
      </c>
      <c r="J65" s="251" t="s">
        <v>926</v>
      </c>
      <c r="K65" s="251" t="s">
        <v>927</v>
      </c>
    </row>
    <row r="66" spans="2:11">
      <c r="B66" s="250">
        <v>64</v>
      </c>
      <c r="C66" s="251" t="s">
        <v>928</v>
      </c>
      <c r="D66" s="251" t="s">
        <v>929</v>
      </c>
      <c r="E66" s="251" t="s">
        <v>790</v>
      </c>
      <c r="F66" s="251" t="s">
        <v>679</v>
      </c>
      <c r="G66" s="251" t="s">
        <v>680</v>
      </c>
      <c r="H66" s="251" t="s">
        <v>681</v>
      </c>
      <c r="I66" s="251" t="s">
        <v>682</v>
      </c>
      <c r="J66" s="251" t="s">
        <v>926</v>
      </c>
      <c r="K66" s="251" t="s">
        <v>930</v>
      </c>
    </row>
    <row r="67" spans="2:11">
      <c r="B67" s="250">
        <v>65</v>
      </c>
      <c r="C67" s="251" t="s">
        <v>931</v>
      </c>
      <c r="D67" s="251" t="s">
        <v>932</v>
      </c>
      <c r="E67" s="251" t="s">
        <v>933</v>
      </c>
      <c r="F67" s="251" t="s">
        <v>679</v>
      </c>
      <c r="G67" s="251" t="s">
        <v>680</v>
      </c>
      <c r="H67" s="251" t="s">
        <v>681</v>
      </c>
      <c r="I67" s="251" t="s">
        <v>682</v>
      </c>
      <c r="J67" s="251" t="s">
        <v>926</v>
      </c>
      <c r="K67" s="251" t="s">
        <v>934</v>
      </c>
    </row>
    <row r="68" spans="2:11">
      <c r="B68" s="250">
        <v>66</v>
      </c>
      <c r="C68" s="251" t="s">
        <v>935</v>
      </c>
      <c r="D68" s="251" t="s">
        <v>936</v>
      </c>
      <c r="E68" s="251" t="s">
        <v>937</v>
      </c>
      <c r="F68" s="251" t="s">
        <v>679</v>
      </c>
      <c r="G68" s="251" t="s">
        <v>680</v>
      </c>
      <c r="H68" s="251" t="s">
        <v>681</v>
      </c>
      <c r="I68" s="251" t="s">
        <v>682</v>
      </c>
      <c r="J68" s="251" t="s">
        <v>926</v>
      </c>
      <c r="K68" s="251" t="s">
        <v>938</v>
      </c>
    </row>
    <row r="69" spans="2:11">
      <c r="B69" s="250">
        <v>67</v>
      </c>
      <c r="C69" s="251" t="s">
        <v>939</v>
      </c>
      <c r="D69" s="251" t="s">
        <v>940</v>
      </c>
      <c r="E69" s="251" t="s">
        <v>857</v>
      </c>
      <c r="F69" s="251" t="s">
        <v>679</v>
      </c>
      <c r="G69" s="251" t="s">
        <v>680</v>
      </c>
      <c r="H69" s="251" t="s">
        <v>681</v>
      </c>
      <c r="I69" s="251" t="s">
        <v>682</v>
      </c>
      <c r="J69" s="251" t="s">
        <v>926</v>
      </c>
      <c r="K69" s="251" t="s">
        <v>941</v>
      </c>
    </row>
    <row r="70" spans="2:11">
      <c r="B70" s="250">
        <v>68</v>
      </c>
      <c r="C70" s="251" t="s">
        <v>942</v>
      </c>
      <c r="D70" s="251" t="s">
        <v>943</v>
      </c>
      <c r="E70" s="251" t="s">
        <v>944</v>
      </c>
      <c r="F70" s="251" t="s">
        <v>679</v>
      </c>
      <c r="G70" s="251" t="s">
        <v>680</v>
      </c>
      <c r="H70" s="251" t="s">
        <v>681</v>
      </c>
      <c r="I70" s="251" t="s">
        <v>682</v>
      </c>
      <c r="J70" s="251" t="s">
        <v>926</v>
      </c>
      <c r="K70" s="251" t="s">
        <v>945</v>
      </c>
    </row>
    <row r="71" spans="2:11">
      <c r="B71" s="250">
        <v>69</v>
      </c>
      <c r="C71" s="251" t="s">
        <v>946</v>
      </c>
      <c r="D71" s="251" t="s">
        <v>947</v>
      </c>
      <c r="E71" s="251" t="s">
        <v>948</v>
      </c>
      <c r="F71" s="251" t="s">
        <v>679</v>
      </c>
      <c r="G71" s="251" t="s">
        <v>680</v>
      </c>
      <c r="H71" s="251" t="s">
        <v>681</v>
      </c>
      <c r="I71" s="251" t="s">
        <v>682</v>
      </c>
      <c r="J71" s="251" t="s">
        <v>926</v>
      </c>
      <c r="K71" s="251" t="s">
        <v>949</v>
      </c>
    </row>
    <row r="72" spans="2:11">
      <c r="B72" s="250">
        <v>70</v>
      </c>
      <c r="C72" s="251" t="s">
        <v>950</v>
      </c>
      <c r="D72" s="251" t="s">
        <v>951</v>
      </c>
      <c r="E72" s="251" t="s">
        <v>952</v>
      </c>
      <c r="F72" s="251" t="s">
        <v>679</v>
      </c>
      <c r="G72" s="251" t="s">
        <v>680</v>
      </c>
      <c r="H72" s="251" t="s">
        <v>681</v>
      </c>
      <c r="I72" s="251" t="s">
        <v>682</v>
      </c>
      <c r="J72" s="251" t="s">
        <v>926</v>
      </c>
      <c r="K72" s="251" t="s">
        <v>953</v>
      </c>
    </row>
    <row r="73" spans="2:11">
      <c r="B73" s="250">
        <v>71</v>
      </c>
      <c r="C73" s="251" t="s">
        <v>954</v>
      </c>
      <c r="D73" s="251" t="s">
        <v>955</v>
      </c>
      <c r="E73" s="251" t="s">
        <v>956</v>
      </c>
      <c r="F73" s="251" t="s">
        <v>679</v>
      </c>
      <c r="G73" s="251" t="s">
        <v>680</v>
      </c>
      <c r="H73" s="251" t="s">
        <v>681</v>
      </c>
      <c r="I73" s="251" t="s">
        <v>682</v>
      </c>
      <c r="J73" s="251" t="s">
        <v>926</v>
      </c>
      <c r="K73" s="251" t="s">
        <v>957</v>
      </c>
    </row>
    <row r="74" spans="2:11">
      <c r="B74" s="250">
        <v>72</v>
      </c>
      <c r="C74" s="251" t="s">
        <v>958</v>
      </c>
      <c r="D74" s="251" t="s">
        <v>959</v>
      </c>
      <c r="E74" s="251" t="s">
        <v>960</v>
      </c>
      <c r="F74" s="251" t="s">
        <v>679</v>
      </c>
      <c r="G74" s="251" t="s">
        <v>680</v>
      </c>
      <c r="H74" s="251" t="s">
        <v>681</v>
      </c>
      <c r="I74" s="251" t="s">
        <v>682</v>
      </c>
      <c r="J74" s="251" t="s">
        <v>926</v>
      </c>
      <c r="K74" s="251" t="s">
        <v>961</v>
      </c>
    </row>
    <row r="75" spans="2:11">
      <c r="B75" s="250">
        <v>73</v>
      </c>
      <c r="C75" s="251" t="s">
        <v>962</v>
      </c>
      <c r="D75" s="251" t="s">
        <v>963</v>
      </c>
      <c r="E75" s="251" t="s">
        <v>964</v>
      </c>
      <c r="F75" s="251" t="s">
        <v>679</v>
      </c>
      <c r="G75" s="251" t="s">
        <v>680</v>
      </c>
      <c r="H75" s="251" t="s">
        <v>681</v>
      </c>
      <c r="I75" s="251" t="s">
        <v>682</v>
      </c>
      <c r="J75" s="251" t="s">
        <v>926</v>
      </c>
      <c r="K75" s="251" t="s">
        <v>965</v>
      </c>
    </row>
    <row r="76" spans="2:11">
      <c r="B76" s="250">
        <v>74</v>
      </c>
      <c r="C76" s="251" t="s">
        <v>966</v>
      </c>
      <c r="D76" s="251" t="s">
        <v>967</v>
      </c>
      <c r="E76" s="251" t="s">
        <v>968</v>
      </c>
      <c r="F76" s="251" t="s">
        <v>679</v>
      </c>
      <c r="G76" s="251" t="s">
        <v>680</v>
      </c>
      <c r="H76" s="251" t="s">
        <v>681</v>
      </c>
      <c r="I76" s="251" t="s">
        <v>682</v>
      </c>
      <c r="J76" s="251" t="s">
        <v>926</v>
      </c>
      <c r="K76" s="251" t="s">
        <v>969</v>
      </c>
    </row>
    <row r="77" spans="2:11">
      <c r="B77" s="250">
        <v>75</v>
      </c>
      <c r="C77" s="251" t="s">
        <v>970</v>
      </c>
      <c r="D77" s="251" t="s">
        <v>971</v>
      </c>
      <c r="E77" s="251" t="s">
        <v>972</v>
      </c>
      <c r="F77" s="251" t="s">
        <v>679</v>
      </c>
      <c r="G77" s="251" t="s">
        <v>680</v>
      </c>
      <c r="H77" s="251" t="s">
        <v>681</v>
      </c>
      <c r="I77" s="251" t="s">
        <v>682</v>
      </c>
      <c r="J77" s="251" t="s">
        <v>926</v>
      </c>
      <c r="K77" s="251" t="s">
        <v>973</v>
      </c>
    </row>
    <row r="78" spans="2:11">
      <c r="B78" s="250">
        <v>76</v>
      </c>
      <c r="C78" s="251" t="s">
        <v>974</v>
      </c>
      <c r="D78" s="251" t="s">
        <v>975</v>
      </c>
      <c r="E78" s="251" t="s">
        <v>976</v>
      </c>
      <c r="F78" s="251" t="s">
        <v>679</v>
      </c>
      <c r="G78" s="251" t="s">
        <v>680</v>
      </c>
      <c r="H78" s="251" t="s">
        <v>681</v>
      </c>
      <c r="I78" s="251" t="s">
        <v>682</v>
      </c>
      <c r="J78" s="251" t="s">
        <v>926</v>
      </c>
      <c r="K78" s="251" t="s">
        <v>977</v>
      </c>
    </row>
    <row r="79" spans="2:11">
      <c r="B79" s="250">
        <v>77</v>
      </c>
      <c r="C79" s="251" t="s">
        <v>978</v>
      </c>
      <c r="D79" s="251" t="s">
        <v>979</v>
      </c>
      <c r="E79" s="251" t="s">
        <v>916</v>
      </c>
      <c r="F79" s="251" t="s">
        <v>679</v>
      </c>
      <c r="G79" s="251" t="s">
        <v>680</v>
      </c>
      <c r="H79" s="251" t="s">
        <v>681</v>
      </c>
      <c r="I79" s="251" t="s">
        <v>682</v>
      </c>
      <c r="J79" s="251" t="s">
        <v>926</v>
      </c>
      <c r="K79" s="251" t="s">
        <v>980</v>
      </c>
    </row>
    <row r="80" spans="2:11">
      <c r="B80" s="250">
        <v>78</v>
      </c>
      <c r="C80" s="251" t="s">
        <v>981</v>
      </c>
      <c r="D80" s="251" t="s">
        <v>982</v>
      </c>
      <c r="E80" s="251" t="s">
        <v>952</v>
      </c>
      <c r="F80" s="251" t="s">
        <v>679</v>
      </c>
      <c r="G80" s="251" t="s">
        <v>680</v>
      </c>
      <c r="H80" s="251" t="s">
        <v>681</v>
      </c>
      <c r="I80" s="251" t="s">
        <v>682</v>
      </c>
      <c r="J80" s="251" t="s">
        <v>926</v>
      </c>
      <c r="K80" s="251" t="s">
        <v>983</v>
      </c>
    </row>
    <row r="81" spans="2:11">
      <c r="B81" s="250">
        <v>79</v>
      </c>
      <c r="C81" s="251" t="s">
        <v>984</v>
      </c>
      <c r="D81" s="251" t="s">
        <v>985</v>
      </c>
      <c r="E81" s="251" t="s">
        <v>678</v>
      </c>
      <c r="F81" s="251" t="s">
        <v>679</v>
      </c>
      <c r="G81" s="251" t="s">
        <v>680</v>
      </c>
      <c r="H81" s="251" t="s">
        <v>681</v>
      </c>
      <c r="I81" s="251" t="s">
        <v>682</v>
      </c>
      <c r="J81" s="251" t="s">
        <v>926</v>
      </c>
      <c r="K81" s="251" t="s">
        <v>986</v>
      </c>
    </row>
    <row r="82" spans="2:11">
      <c r="B82" s="250">
        <v>80</v>
      </c>
      <c r="C82" s="251" t="s">
        <v>987</v>
      </c>
      <c r="D82" s="251" t="s">
        <v>988</v>
      </c>
      <c r="E82" s="251" t="s">
        <v>885</v>
      </c>
      <c r="F82" s="251" t="s">
        <v>679</v>
      </c>
      <c r="G82" s="251" t="s">
        <v>680</v>
      </c>
      <c r="H82" s="251" t="s">
        <v>681</v>
      </c>
      <c r="I82" s="251" t="s">
        <v>682</v>
      </c>
      <c r="J82" s="251" t="s">
        <v>926</v>
      </c>
      <c r="K82" s="251" t="s">
        <v>989</v>
      </c>
    </row>
    <row r="83" spans="2:11">
      <c r="B83" s="250">
        <v>81</v>
      </c>
      <c r="C83" s="251" t="s">
        <v>990</v>
      </c>
      <c r="D83" s="251" t="s">
        <v>991</v>
      </c>
      <c r="E83" s="251" t="s">
        <v>992</v>
      </c>
      <c r="F83" s="251" t="s">
        <v>679</v>
      </c>
      <c r="G83" s="251" t="s">
        <v>680</v>
      </c>
      <c r="H83" s="251" t="s">
        <v>681</v>
      </c>
      <c r="I83" s="251" t="s">
        <v>682</v>
      </c>
      <c r="J83" s="251" t="s">
        <v>926</v>
      </c>
      <c r="K83" s="251" t="s">
        <v>993</v>
      </c>
    </row>
    <row r="84" spans="2:11">
      <c r="B84" s="250">
        <v>82</v>
      </c>
      <c r="C84" s="251" t="s">
        <v>994</v>
      </c>
      <c r="D84" s="251" t="s">
        <v>995</v>
      </c>
      <c r="E84" s="251" t="s">
        <v>996</v>
      </c>
      <c r="F84" s="251" t="s">
        <v>679</v>
      </c>
      <c r="G84" s="251" t="s">
        <v>680</v>
      </c>
      <c r="H84" s="251" t="s">
        <v>681</v>
      </c>
      <c r="I84" s="251" t="s">
        <v>682</v>
      </c>
      <c r="J84" s="251" t="s">
        <v>926</v>
      </c>
      <c r="K84" s="251" t="s">
        <v>997</v>
      </c>
    </row>
    <row r="85" spans="2:11">
      <c r="B85" s="250">
        <v>83</v>
      </c>
      <c r="C85" s="251" t="s">
        <v>998</v>
      </c>
      <c r="D85" s="251" t="s">
        <v>999</v>
      </c>
      <c r="E85" s="251" t="s">
        <v>1000</v>
      </c>
      <c r="F85" s="251" t="s">
        <v>679</v>
      </c>
      <c r="G85" s="251" t="s">
        <v>680</v>
      </c>
      <c r="H85" s="251" t="s">
        <v>681</v>
      </c>
      <c r="I85" s="251" t="s">
        <v>682</v>
      </c>
      <c r="J85" s="251" t="s">
        <v>926</v>
      </c>
      <c r="K85" s="251" t="s">
        <v>1001</v>
      </c>
    </row>
    <row r="86" spans="2:11">
      <c r="B86" s="250">
        <v>84</v>
      </c>
      <c r="C86" s="251" t="s">
        <v>1002</v>
      </c>
      <c r="D86" s="251" t="s">
        <v>1003</v>
      </c>
      <c r="E86" s="251" t="s">
        <v>1004</v>
      </c>
      <c r="F86" s="251" t="s">
        <v>679</v>
      </c>
      <c r="G86" s="251" t="s">
        <v>680</v>
      </c>
      <c r="H86" s="251" t="s">
        <v>681</v>
      </c>
      <c r="I86" s="251" t="s">
        <v>682</v>
      </c>
      <c r="J86" s="251" t="s">
        <v>926</v>
      </c>
      <c r="K86" s="251" t="s">
        <v>1005</v>
      </c>
    </row>
    <row r="87" spans="2:11">
      <c r="B87" s="250">
        <v>85</v>
      </c>
      <c r="C87" s="251" t="s">
        <v>1006</v>
      </c>
      <c r="D87" s="251" t="s">
        <v>1007</v>
      </c>
      <c r="E87" s="251" t="s">
        <v>1008</v>
      </c>
      <c r="F87" s="251" t="s">
        <v>679</v>
      </c>
      <c r="G87" s="251" t="s">
        <v>680</v>
      </c>
      <c r="H87" s="251" t="s">
        <v>681</v>
      </c>
      <c r="I87" s="251" t="s">
        <v>682</v>
      </c>
      <c r="J87" s="251" t="s">
        <v>926</v>
      </c>
      <c r="K87" s="251" t="s">
        <v>1009</v>
      </c>
    </row>
    <row r="88" spans="2:11">
      <c r="B88" s="250">
        <v>86</v>
      </c>
      <c r="C88" s="251" t="s">
        <v>1010</v>
      </c>
      <c r="D88" s="251" t="s">
        <v>1011</v>
      </c>
      <c r="E88" s="251" t="s">
        <v>1012</v>
      </c>
      <c r="F88" s="251" t="s">
        <v>679</v>
      </c>
      <c r="G88" s="251" t="s">
        <v>680</v>
      </c>
      <c r="H88" s="251" t="s">
        <v>681</v>
      </c>
      <c r="I88" s="251" t="s">
        <v>682</v>
      </c>
      <c r="J88" s="251" t="s">
        <v>926</v>
      </c>
      <c r="K88" s="251" t="s">
        <v>1013</v>
      </c>
    </row>
    <row r="89" spans="2:11">
      <c r="B89" s="250">
        <v>87</v>
      </c>
      <c r="C89" s="251" t="s">
        <v>1014</v>
      </c>
      <c r="D89" s="251" t="s">
        <v>1015</v>
      </c>
      <c r="E89" s="251" t="s">
        <v>1016</v>
      </c>
      <c r="F89" s="251" t="s">
        <v>679</v>
      </c>
      <c r="G89" s="251" t="s">
        <v>680</v>
      </c>
      <c r="H89" s="251" t="s">
        <v>681</v>
      </c>
      <c r="I89" s="251" t="s">
        <v>682</v>
      </c>
      <c r="J89" s="251" t="s">
        <v>926</v>
      </c>
      <c r="K89" s="251" t="s">
        <v>1017</v>
      </c>
    </row>
    <row r="90" spans="2:11">
      <c r="B90" s="250">
        <v>88</v>
      </c>
      <c r="C90" s="251" t="s">
        <v>1018</v>
      </c>
      <c r="D90" s="251" t="s">
        <v>1019</v>
      </c>
      <c r="E90" s="251" t="s">
        <v>1020</v>
      </c>
      <c r="F90" s="251" t="s">
        <v>679</v>
      </c>
      <c r="G90" s="251" t="s">
        <v>680</v>
      </c>
      <c r="H90" s="251" t="s">
        <v>681</v>
      </c>
      <c r="I90" s="251" t="s">
        <v>682</v>
      </c>
      <c r="J90" s="251" t="s">
        <v>926</v>
      </c>
      <c r="K90" s="251" t="s">
        <v>969</v>
      </c>
    </row>
    <row r="91" spans="2:11">
      <c r="B91" s="250">
        <v>89</v>
      </c>
      <c r="C91" s="251" t="s">
        <v>1021</v>
      </c>
      <c r="D91" s="251" t="s">
        <v>1022</v>
      </c>
      <c r="E91" s="251" t="s">
        <v>1023</v>
      </c>
      <c r="F91" s="251" t="s">
        <v>679</v>
      </c>
      <c r="G91" s="251" t="s">
        <v>680</v>
      </c>
      <c r="H91" s="251" t="s">
        <v>681</v>
      </c>
      <c r="I91" s="251" t="s">
        <v>682</v>
      </c>
      <c r="J91" s="251" t="s">
        <v>926</v>
      </c>
      <c r="K91" s="251" t="s">
        <v>1024</v>
      </c>
    </row>
    <row r="92" spans="2:11">
      <c r="B92" s="250">
        <v>90</v>
      </c>
      <c r="C92" s="251" t="s">
        <v>1025</v>
      </c>
      <c r="D92" s="251" t="s">
        <v>1026</v>
      </c>
      <c r="E92" s="251" t="s">
        <v>1027</v>
      </c>
      <c r="F92" s="251" t="s">
        <v>679</v>
      </c>
      <c r="G92" s="251" t="s">
        <v>680</v>
      </c>
      <c r="H92" s="251" t="s">
        <v>681</v>
      </c>
      <c r="I92" s="251" t="s">
        <v>682</v>
      </c>
      <c r="J92" s="251" t="s">
        <v>926</v>
      </c>
      <c r="K92" s="251" t="s">
        <v>1028</v>
      </c>
    </row>
    <row r="93" spans="2:11">
      <c r="B93" s="250">
        <v>91</v>
      </c>
      <c r="C93" s="251" t="s">
        <v>1029</v>
      </c>
      <c r="D93" s="251" t="s">
        <v>1030</v>
      </c>
      <c r="E93" s="251" t="s">
        <v>1031</v>
      </c>
      <c r="F93" s="251" t="s">
        <v>679</v>
      </c>
      <c r="G93" s="251" t="s">
        <v>680</v>
      </c>
      <c r="H93" s="251" t="s">
        <v>681</v>
      </c>
      <c r="I93" s="251" t="s">
        <v>682</v>
      </c>
      <c r="J93" s="251" t="s">
        <v>926</v>
      </c>
      <c r="K93" s="251" t="s">
        <v>1032</v>
      </c>
    </row>
    <row r="94" spans="2:11">
      <c r="B94" s="250">
        <v>92</v>
      </c>
      <c r="C94" s="251" t="s">
        <v>1033</v>
      </c>
      <c r="D94" s="251" t="s">
        <v>1034</v>
      </c>
      <c r="E94" s="251" t="s">
        <v>1035</v>
      </c>
      <c r="F94" s="251" t="s">
        <v>679</v>
      </c>
      <c r="G94" s="251" t="s">
        <v>680</v>
      </c>
      <c r="H94" s="251" t="s">
        <v>681</v>
      </c>
      <c r="I94" s="251" t="s">
        <v>682</v>
      </c>
      <c r="J94" s="251" t="s">
        <v>926</v>
      </c>
      <c r="K94" s="251" t="s">
        <v>1036</v>
      </c>
    </row>
    <row r="95" spans="2:11">
      <c r="B95" s="250">
        <v>93</v>
      </c>
      <c r="C95" s="251" t="s">
        <v>1037</v>
      </c>
      <c r="D95" s="251" t="s">
        <v>1038</v>
      </c>
      <c r="E95" s="251" t="s">
        <v>952</v>
      </c>
      <c r="F95" s="251" t="s">
        <v>679</v>
      </c>
      <c r="G95" s="251" t="s">
        <v>680</v>
      </c>
      <c r="H95" s="251" t="s">
        <v>681</v>
      </c>
      <c r="I95" s="251" t="s">
        <v>682</v>
      </c>
      <c r="J95" s="251" t="s">
        <v>926</v>
      </c>
      <c r="K95" s="251" t="s">
        <v>1039</v>
      </c>
    </row>
    <row r="96" spans="2:11">
      <c r="B96" s="250">
        <v>94</v>
      </c>
      <c r="C96" s="251" t="s">
        <v>1040</v>
      </c>
      <c r="D96" s="251" t="s">
        <v>1041</v>
      </c>
      <c r="E96" s="251" t="s">
        <v>1042</v>
      </c>
      <c r="F96" s="251" t="s">
        <v>679</v>
      </c>
      <c r="G96" s="251" t="s">
        <v>680</v>
      </c>
      <c r="H96" s="251" t="s">
        <v>681</v>
      </c>
      <c r="I96" s="251" t="s">
        <v>682</v>
      </c>
      <c r="J96" s="251" t="s">
        <v>926</v>
      </c>
      <c r="K96" s="251" t="s">
        <v>1043</v>
      </c>
    </row>
    <row r="97" spans="2:11">
      <c r="B97" s="250">
        <v>95</v>
      </c>
      <c r="C97" s="251" t="s">
        <v>1044</v>
      </c>
      <c r="D97" s="251" t="s">
        <v>1045</v>
      </c>
      <c r="E97" s="251" t="s">
        <v>1046</v>
      </c>
      <c r="F97" s="251" t="s">
        <v>679</v>
      </c>
      <c r="G97" s="251" t="s">
        <v>680</v>
      </c>
      <c r="H97" s="251" t="s">
        <v>681</v>
      </c>
      <c r="I97" s="251" t="s">
        <v>682</v>
      </c>
      <c r="J97" s="251" t="s">
        <v>926</v>
      </c>
      <c r="K97" s="251" t="s">
        <v>1047</v>
      </c>
    </row>
    <row r="98" spans="2:11">
      <c r="B98" s="250">
        <v>96</v>
      </c>
      <c r="C98" s="251" t="s">
        <v>1048</v>
      </c>
      <c r="D98" s="251" t="s">
        <v>1049</v>
      </c>
      <c r="E98" s="251" t="s">
        <v>1050</v>
      </c>
      <c r="F98" s="251" t="s">
        <v>679</v>
      </c>
      <c r="G98" s="251" t="s">
        <v>680</v>
      </c>
      <c r="H98" s="251" t="s">
        <v>681</v>
      </c>
      <c r="I98" s="251" t="s">
        <v>682</v>
      </c>
      <c r="J98" s="251" t="s">
        <v>926</v>
      </c>
      <c r="K98" s="251" t="s">
        <v>1051</v>
      </c>
    </row>
    <row r="99" spans="2:11">
      <c r="B99" s="250">
        <v>97</v>
      </c>
      <c r="C99" s="251" t="s">
        <v>1052</v>
      </c>
      <c r="D99" s="251" t="s">
        <v>1053</v>
      </c>
      <c r="E99" s="251" t="s">
        <v>1054</v>
      </c>
      <c r="F99" s="251" t="s">
        <v>679</v>
      </c>
      <c r="G99" s="251" t="s">
        <v>680</v>
      </c>
      <c r="H99" s="251" t="s">
        <v>681</v>
      </c>
      <c r="I99" s="251" t="s">
        <v>682</v>
      </c>
      <c r="J99" s="251" t="s">
        <v>1055</v>
      </c>
      <c r="K99" s="251" t="s">
        <v>1056</v>
      </c>
    </row>
    <row r="100" spans="2:11">
      <c r="B100" s="250">
        <v>98</v>
      </c>
      <c r="C100" s="251" t="s">
        <v>1057</v>
      </c>
      <c r="D100" s="251" t="s">
        <v>1058</v>
      </c>
      <c r="E100" s="251" t="s">
        <v>1059</v>
      </c>
      <c r="F100" s="251" t="s">
        <v>679</v>
      </c>
      <c r="G100" s="251" t="s">
        <v>680</v>
      </c>
      <c r="H100" s="251" t="s">
        <v>681</v>
      </c>
      <c r="I100" s="251" t="s">
        <v>682</v>
      </c>
      <c r="J100" s="251" t="s">
        <v>1055</v>
      </c>
      <c r="K100" s="251" t="s">
        <v>1060</v>
      </c>
    </row>
    <row r="101" spans="2:11">
      <c r="B101" s="250">
        <v>99</v>
      </c>
      <c r="C101" s="251" t="s">
        <v>1061</v>
      </c>
      <c r="D101" s="251" t="s">
        <v>1062</v>
      </c>
      <c r="E101" s="251" t="s">
        <v>719</v>
      </c>
      <c r="F101" s="251" t="s">
        <v>679</v>
      </c>
      <c r="G101" s="251" t="s">
        <v>680</v>
      </c>
      <c r="H101" s="251" t="s">
        <v>681</v>
      </c>
      <c r="I101" s="251" t="s">
        <v>682</v>
      </c>
      <c r="J101" s="251" t="s">
        <v>1055</v>
      </c>
      <c r="K101" s="251" t="s">
        <v>1063</v>
      </c>
    </row>
    <row r="102" spans="2:11">
      <c r="B102" s="250">
        <v>100</v>
      </c>
      <c r="C102" s="251" t="s">
        <v>1064</v>
      </c>
      <c r="D102" s="251" t="s">
        <v>1065</v>
      </c>
      <c r="E102" s="251" t="s">
        <v>1066</v>
      </c>
      <c r="F102" s="251" t="s">
        <v>679</v>
      </c>
      <c r="G102" s="251" t="s">
        <v>680</v>
      </c>
      <c r="H102" s="251" t="s">
        <v>681</v>
      </c>
      <c r="I102" s="251" t="s">
        <v>682</v>
      </c>
      <c r="J102" s="251" t="s">
        <v>1055</v>
      </c>
      <c r="K102" s="251" t="s">
        <v>1067</v>
      </c>
    </row>
    <row r="103" spans="2:11">
      <c r="B103" s="250">
        <v>101</v>
      </c>
      <c r="C103" s="251" t="s">
        <v>1068</v>
      </c>
      <c r="D103" s="251" t="s">
        <v>1069</v>
      </c>
      <c r="E103" s="251" t="s">
        <v>1000</v>
      </c>
      <c r="F103" s="251" t="s">
        <v>679</v>
      </c>
      <c r="G103" s="251" t="s">
        <v>680</v>
      </c>
      <c r="H103" s="251" t="s">
        <v>681</v>
      </c>
      <c r="I103" s="251" t="s">
        <v>682</v>
      </c>
      <c r="J103" s="251" t="s">
        <v>1055</v>
      </c>
      <c r="K103" s="251" t="s">
        <v>1070</v>
      </c>
    </row>
    <row r="104" spans="2:11">
      <c r="B104" s="250">
        <v>102</v>
      </c>
      <c r="C104" s="251" t="s">
        <v>1071</v>
      </c>
      <c r="D104" s="251" t="s">
        <v>1072</v>
      </c>
      <c r="E104" s="251" t="s">
        <v>1073</v>
      </c>
      <c r="F104" s="251" t="s">
        <v>679</v>
      </c>
      <c r="G104" s="251" t="s">
        <v>680</v>
      </c>
      <c r="H104" s="251" t="s">
        <v>681</v>
      </c>
      <c r="I104" s="251" t="s">
        <v>682</v>
      </c>
      <c r="J104" s="251" t="s">
        <v>1055</v>
      </c>
      <c r="K104" s="251" t="s">
        <v>1074</v>
      </c>
    </row>
    <row r="105" spans="2:11">
      <c r="B105" s="250">
        <v>103</v>
      </c>
      <c r="C105" s="251" t="s">
        <v>1075</v>
      </c>
      <c r="D105" s="251" t="s">
        <v>1076</v>
      </c>
      <c r="E105" s="251" t="s">
        <v>933</v>
      </c>
      <c r="F105" s="251" t="s">
        <v>679</v>
      </c>
      <c r="G105" s="251" t="s">
        <v>680</v>
      </c>
      <c r="H105" s="251" t="s">
        <v>681</v>
      </c>
      <c r="I105" s="251" t="s">
        <v>682</v>
      </c>
      <c r="J105" s="251" t="s">
        <v>1055</v>
      </c>
      <c r="K105" s="251" t="s">
        <v>1077</v>
      </c>
    </row>
    <row r="106" spans="2:11">
      <c r="B106" s="250">
        <v>104</v>
      </c>
      <c r="C106" s="251" t="s">
        <v>1078</v>
      </c>
      <c r="D106" s="251" t="s">
        <v>1079</v>
      </c>
      <c r="E106" s="251" t="s">
        <v>1046</v>
      </c>
      <c r="F106" s="251" t="s">
        <v>679</v>
      </c>
      <c r="G106" s="251" t="s">
        <v>680</v>
      </c>
      <c r="H106" s="251" t="s">
        <v>681</v>
      </c>
      <c r="I106" s="251" t="s">
        <v>682</v>
      </c>
      <c r="J106" s="251" t="s">
        <v>1055</v>
      </c>
      <c r="K106" s="251" t="s">
        <v>1080</v>
      </c>
    </row>
    <row r="107" spans="2:11">
      <c r="B107" s="250">
        <v>105</v>
      </c>
      <c r="C107" s="251" t="s">
        <v>1081</v>
      </c>
      <c r="D107" s="251" t="s">
        <v>1082</v>
      </c>
      <c r="E107" s="251" t="s">
        <v>1083</v>
      </c>
      <c r="F107" s="251" t="s">
        <v>679</v>
      </c>
      <c r="G107" s="251" t="s">
        <v>680</v>
      </c>
      <c r="H107" s="251" t="s">
        <v>681</v>
      </c>
      <c r="I107" s="251" t="s">
        <v>682</v>
      </c>
      <c r="J107" s="251" t="s">
        <v>1055</v>
      </c>
      <c r="K107" s="251" t="s">
        <v>1084</v>
      </c>
    </row>
    <row r="108" spans="2:11">
      <c r="B108" s="250">
        <v>106</v>
      </c>
      <c r="C108" s="251" t="s">
        <v>1085</v>
      </c>
      <c r="D108" s="251" t="s">
        <v>1086</v>
      </c>
      <c r="E108" s="251" t="s">
        <v>1087</v>
      </c>
      <c r="F108" s="251" t="s">
        <v>679</v>
      </c>
      <c r="G108" s="251" t="s">
        <v>680</v>
      </c>
      <c r="H108" s="251" t="s">
        <v>681</v>
      </c>
      <c r="I108" s="251" t="s">
        <v>682</v>
      </c>
      <c r="J108" s="251" t="s">
        <v>1055</v>
      </c>
      <c r="K108" s="251" t="s">
        <v>1088</v>
      </c>
    </row>
    <row r="109" spans="2:11">
      <c r="B109" s="250">
        <v>107</v>
      </c>
      <c r="C109" s="251" t="s">
        <v>1089</v>
      </c>
      <c r="D109" s="251" t="s">
        <v>1090</v>
      </c>
      <c r="E109" s="251" t="s">
        <v>1091</v>
      </c>
      <c r="F109" s="251" t="s">
        <v>679</v>
      </c>
      <c r="G109" s="251" t="s">
        <v>680</v>
      </c>
      <c r="H109" s="251" t="s">
        <v>681</v>
      </c>
      <c r="I109" s="251" t="s">
        <v>682</v>
      </c>
      <c r="J109" s="251" t="s">
        <v>1055</v>
      </c>
      <c r="K109" s="251" t="s">
        <v>1092</v>
      </c>
    </row>
    <row r="110" spans="2:11">
      <c r="B110" s="250">
        <v>108</v>
      </c>
      <c r="C110" s="251" t="s">
        <v>1093</v>
      </c>
      <c r="D110" s="251" t="s">
        <v>1094</v>
      </c>
      <c r="E110" s="251" t="s">
        <v>1095</v>
      </c>
      <c r="F110" s="251" t="s">
        <v>679</v>
      </c>
      <c r="G110" s="251" t="s">
        <v>680</v>
      </c>
      <c r="H110" s="251" t="s">
        <v>681</v>
      </c>
      <c r="I110" s="251" t="s">
        <v>682</v>
      </c>
      <c r="J110" s="251" t="s">
        <v>1055</v>
      </c>
      <c r="K110" s="251" t="s">
        <v>1096</v>
      </c>
    </row>
    <row r="111" spans="2:11">
      <c r="B111" s="250">
        <v>109</v>
      </c>
      <c r="C111" s="251" t="s">
        <v>1097</v>
      </c>
      <c r="D111" s="251" t="s">
        <v>1098</v>
      </c>
      <c r="E111" s="251" t="s">
        <v>852</v>
      </c>
      <c r="F111" s="251" t="s">
        <v>679</v>
      </c>
      <c r="G111" s="251" t="s">
        <v>680</v>
      </c>
      <c r="H111" s="251" t="s">
        <v>681</v>
      </c>
      <c r="I111" s="251" t="s">
        <v>682</v>
      </c>
      <c r="J111" s="251" t="s">
        <v>1055</v>
      </c>
      <c r="K111" s="251" t="s">
        <v>1099</v>
      </c>
    </row>
    <row r="112" spans="2:11">
      <c r="B112" s="250">
        <v>110</v>
      </c>
      <c r="C112" s="251" t="s">
        <v>1100</v>
      </c>
      <c r="D112" s="251" t="s">
        <v>1101</v>
      </c>
      <c r="E112" s="251" t="s">
        <v>678</v>
      </c>
      <c r="F112" s="251" t="s">
        <v>679</v>
      </c>
      <c r="G112" s="251" t="s">
        <v>680</v>
      </c>
      <c r="H112" s="251" t="s">
        <v>681</v>
      </c>
      <c r="I112" s="251" t="s">
        <v>682</v>
      </c>
      <c r="J112" s="251" t="s">
        <v>1055</v>
      </c>
      <c r="K112" s="251" t="s">
        <v>1102</v>
      </c>
    </row>
    <row r="113" spans="2:11">
      <c r="B113" s="250">
        <v>111</v>
      </c>
      <c r="C113" s="251" t="s">
        <v>1103</v>
      </c>
      <c r="D113" s="251" t="s">
        <v>1104</v>
      </c>
      <c r="E113" s="251" t="s">
        <v>804</v>
      </c>
      <c r="F113" s="251" t="s">
        <v>679</v>
      </c>
      <c r="G113" s="251" t="s">
        <v>680</v>
      </c>
      <c r="H113" s="251" t="s">
        <v>681</v>
      </c>
      <c r="I113" s="251" t="s">
        <v>682</v>
      </c>
      <c r="J113" s="251" t="s">
        <v>1055</v>
      </c>
      <c r="K113" s="251" t="s">
        <v>1105</v>
      </c>
    </row>
    <row r="114" spans="2:11">
      <c r="B114" s="250">
        <v>112</v>
      </c>
      <c r="C114" s="251" t="s">
        <v>1106</v>
      </c>
      <c r="D114" s="251" t="s">
        <v>1107</v>
      </c>
      <c r="E114" s="251" t="s">
        <v>1108</v>
      </c>
      <c r="F114" s="251" t="s">
        <v>679</v>
      </c>
      <c r="G114" s="251" t="s">
        <v>680</v>
      </c>
      <c r="H114" s="251" t="s">
        <v>681</v>
      </c>
      <c r="I114" s="251" t="s">
        <v>682</v>
      </c>
      <c r="J114" s="251" t="s">
        <v>1109</v>
      </c>
      <c r="K114" s="251" t="s">
        <v>1110</v>
      </c>
    </row>
    <row r="115" spans="2:11">
      <c r="B115" s="250">
        <v>113</v>
      </c>
      <c r="C115" s="251" t="s">
        <v>1111</v>
      </c>
      <c r="D115" s="251" t="s">
        <v>1112</v>
      </c>
      <c r="E115" s="251" t="s">
        <v>1113</v>
      </c>
      <c r="F115" s="251" t="s">
        <v>679</v>
      </c>
      <c r="G115" s="251" t="s">
        <v>680</v>
      </c>
      <c r="H115" s="251" t="s">
        <v>681</v>
      </c>
      <c r="I115" s="251" t="s">
        <v>682</v>
      </c>
      <c r="J115" s="251" t="s">
        <v>1109</v>
      </c>
      <c r="K115" s="251" t="s">
        <v>1114</v>
      </c>
    </row>
    <row r="116" spans="2:11">
      <c r="B116" s="250">
        <v>114</v>
      </c>
      <c r="C116" s="251" t="s">
        <v>1115</v>
      </c>
      <c r="D116" s="251" t="s">
        <v>1116</v>
      </c>
      <c r="E116" s="251" t="s">
        <v>1117</v>
      </c>
      <c r="F116" s="251" t="s">
        <v>679</v>
      </c>
      <c r="G116" s="251" t="s">
        <v>680</v>
      </c>
      <c r="H116" s="251" t="s">
        <v>681</v>
      </c>
      <c r="I116" s="251" t="s">
        <v>682</v>
      </c>
      <c r="J116" s="251" t="s">
        <v>1109</v>
      </c>
      <c r="K116" s="251" t="s">
        <v>1118</v>
      </c>
    </row>
    <row r="117" spans="2:11">
      <c r="B117" s="250">
        <v>115</v>
      </c>
      <c r="C117" s="251" t="s">
        <v>1119</v>
      </c>
      <c r="D117" s="251" t="s">
        <v>1120</v>
      </c>
      <c r="E117" s="251" t="s">
        <v>1121</v>
      </c>
      <c r="F117" s="251" t="s">
        <v>679</v>
      </c>
      <c r="G117" s="251" t="s">
        <v>680</v>
      </c>
      <c r="H117" s="251" t="s">
        <v>681</v>
      </c>
      <c r="I117" s="251" t="s">
        <v>682</v>
      </c>
      <c r="J117" s="251" t="s">
        <v>1109</v>
      </c>
      <c r="K117" s="251" t="s">
        <v>1122</v>
      </c>
    </row>
    <row r="118" spans="2:11">
      <c r="B118" s="250">
        <v>116</v>
      </c>
      <c r="C118" s="251" t="s">
        <v>1123</v>
      </c>
      <c r="D118" s="251" t="s">
        <v>1124</v>
      </c>
      <c r="E118" s="251" t="s">
        <v>1027</v>
      </c>
      <c r="F118" s="251" t="s">
        <v>679</v>
      </c>
      <c r="G118" s="251" t="s">
        <v>680</v>
      </c>
      <c r="H118" s="251" t="s">
        <v>681</v>
      </c>
      <c r="I118" s="251" t="s">
        <v>682</v>
      </c>
      <c r="J118" s="251" t="s">
        <v>1109</v>
      </c>
      <c r="K118" s="251" t="s">
        <v>1125</v>
      </c>
    </row>
    <row r="119" spans="2:11">
      <c r="B119" s="250">
        <v>117</v>
      </c>
      <c r="C119" s="251" t="s">
        <v>1126</v>
      </c>
      <c r="D119" s="251" t="s">
        <v>1127</v>
      </c>
      <c r="E119" s="251" t="s">
        <v>1128</v>
      </c>
      <c r="F119" s="251" t="s">
        <v>679</v>
      </c>
      <c r="G119" s="251" t="s">
        <v>680</v>
      </c>
      <c r="H119" s="251" t="s">
        <v>681</v>
      </c>
      <c r="I119" s="251" t="s">
        <v>682</v>
      </c>
      <c r="J119" s="251" t="s">
        <v>1109</v>
      </c>
      <c r="K119" s="251" t="s">
        <v>1129</v>
      </c>
    </row>
    <row r="120" spans="2:11">
      <c r="B120" s="250">
        <v>118</v>
      </c>
      <c r="C120" s="251" t="s">
        <v>1130</v>
      </c>
      <c r="D120" s="251" t="s">
        <v>1131</v>
      </c>
      <c r="E120" s="251" t="s">
        <v>1132</v>
      </c>
      <c r="F120" s="251" t="s">
        <v>679</v>
      </c>
      <c r="G120" s="251" t="s">
        <v>680</v>
      </c>
      <c r="H120" s="251" t="s">
        <v>681</v>
      </c>
      <c r="I120" s="251" t="s">
        <v>682</v>
      </c>
      <c r="J120" s="251" t="s">
        <v>1109</v>
      </c>
      <c r="K120" s="251" t="s">
        <v>1133</v>
      </c>
    </row>
    <row r="121" spans="2:11">
      <c r="B121" s="250">
        <v>119</v>
      </c>
      <c r="C121" s="251" t="s">
        <v>1134</v>
      </c>
      <c r="D121" s="251" t="s">
        <v>1135</v>
      </c>
      <c r="E121" s="251" t="s">
        <v>952</v>
      </c>
      <c r="F121" s="251" t="s">
        <v>679</v>
      </c>
      <c r="G121" s="251" t="s">
        <v>680</v>
      </c>
      <c r="H121" s="251" t="s">
        <v>681</v>
      </c>
      <c r="I121" s="251" t="s">
        <v>682</v>
      </c>
      <c r="J121" s="251" t="s">
        <v>1109</v>
      </c>
      <c r="K121" s="251" t="s">
        <v>1136</v>
      </c>
    </row>
    <row r="122" spans="2:11">
      <c r="B122" s="250">
        <v>120</v>
      </c>
      <c r="C122" s="251" t="s">
        <v>1137</v>
      </c>
      <c r="D122" s="251" t="s">
        <v>1138</v>
      </c>
      <c r="E122" s="251" t="s">
        <v>1139</v>
      </c>
      <c r="F122" s="251" t="s">
        <v>679</v>
      </c>
      <c r="G122" s="251" t="s">
        <v>680</v>
      </c>
      <c r="H122" s="251" t="s">
        <v>681</v>
      </c>
      <c r="I122" s="251" t="s">
        <v>682</v>
      </c>
      <c r="J122" s="251" t="s">
        <v>1109</v>
      </c>
      <c r="K122" s="251" t="s">
        <v>1140</v>
      </c>
    </row>
    <row r="123" spans="2:11">
      <c r="B123" s="250">
        <v>121</v>
      </c>
      <c r="C123" s="251" t="s">
        <v>1141</v>
      </c>
      <c r="D123" s="251" t="s">
        <v>1142</v>
      </c>
      <c r="E123" s="251" t="s">
        <v>1143</v>
      </c>
      <c r="F123" s="251" t="s">
        <v>679</v>
      </c>
      <c r="G123" s="251" t="s">
        <v>680</v>
      </c>
      <c r="H123" s="251" t="s">
        <v>681</v>
      </c>
      <c r="I123" s="251" t="s">
        <v>682</v>
      </c>
      <c r="J123" s="251" t="s">
        <v>1109</v>
      </c>
      <c r="K123" s="251" t="s">
        <v>1144</v>
      </c>
    </row>
    <row r="124" spans="2:11">
      <c r="B124" s="250">
        <v>122</v>
      </c>
      <c r="C124" s="251" t="s">
        <v>1145</v>
      </c>
      <c r="D124" s="251" t="s">
        <v>1146</v>
      </c>
      <c r="E124" s="251" t="s">
        <v>1147</v>
      </c>
      <c r="F124" s="251" t="s">
        <v>679</v>
      </c>
      <c r="G124" s="251" t="s">
        <v>680</v>
      </c>
      <c r="H124" s="251" t="s">
        <v>681</v>
      </c>
      <c r="I124" s="251" t="s">
        <v>682</v>
      </c>
      <c r="J124" s="251" t="s">
        <v>1109</v>
      </c>
      <c r="K124" s="251" t="s">
        <v>1148</v>
      </c>
    </row>
    <row r="125" spans="2:11">
      <c r="B125" s="250">
        <v>123</v>
      </c>
      <c r="C125" s="251" t="s">
        <v>1149</v>
      </c>
      <c r="D125" s="251" t="s">
        <v>1150</v>
      </c>
      <c r="E125" s="251" t="s">
        <v>1151</v>
      </c>
      <c r="F125" s="251" t="s">
        <v>679</v>
      </c>
      <c r="G125" s="251" t="s">
        <v>680</v>
      </c>
      <c r="H125" s="251" t="s">
        <v>681</v>
      </c>
      <c r="I125" s="251" t="s">
        <v>682</v>
      </c>
      <c r="J125" s="251" t="s">
        <v>1109</v>
      </c>
      <c r="K125" s="251" t="s">
        <v>1152</v>
      </c>
    </row>
    <row r="126" spans="2:11">
      <c r="B126" s="250">
        <v>124</v>
      </c>
      <c r="C126" s="251" t="s">
        <v>1153</v>
      </c>
      <c r="D126" s="251" t="s">
        <v>1154</v>
      </c>
      <c r="E126" s="251" t="s">
        <v>1155</v>
      </c>
      <c r="F126" s="251" t="s">
        <v>679</v>
      </c>
      <c r="G126" s="251" t="s">
        <v>680</v>
      </c>
      <c r="H126" s="251" t="s">
        <v>681</v>
      </c>
      <c r="I126" s="251" t="s">
        <v>682</v>
      </c>
      <c r="J126" s="251" t="s">
        <v>1109</v>
      </c>
      <c r="K126" s="251" t="s">
        <v>1156</v>
      </c>
    </row>
    <row r="127" spans="2:11">
      <c r="B127" s="250">
        <v>125</v>
      </c>
      <c r="C127" s="251" t="s">
        <v>1157</v>
      </c>
      <c r="D127" s="251" t="s">
        <v>1158</v>
      </c>
      <c r="E127" s="251" t="s">
        <v>1159</v>
      </c>
      <c r="F127" s="251" t="s">
        <v>679</v>
      </c>
      <c r="G127" s="251" t="s">
        <v>680</v>
      </c>
      <c r="H127" s="251" t="s">
        <v>681</v>
      </c>
      <c r="I127" s="251" t="s">
        <v>682</v>
      </c>
      <c r="J127" s="251" t="s">
        <v>1109</v>
      </c>
      <c r="K127" s="251" t="s">
        <v>1160</v>
      </c>
    </row>
    <row r="128" spans="2:11">
      <c r="B128" s="250">
        <v>126</v>
      </c>
      <c r="C128" s="251" t="s">
        <v>1161</v>
      </c>
      <c r="D128" s="251" t="s">
        <v>1162</v>
      </c>
      <c r="E128" s="251" t="s">
        <v>1163</v>
      </c>
      <c r="F128" s="251" t="s">
        <v>679</v>
      </c>
      <c r="G128" s="251" t="s">
        <v>680</v>
      </c>
      <c r="H128" s="251" t="s">
        <v>681</v>
      </c>
      <c r="I128" s="251" t="s">
        <v>682</v>
      </c>
      <c r="J128" s="251" t="s">
        <v>1109</v>
      </c>
      <c r="K128" s="251" t="s">
        <v>1164</v>
      </c>
    </row>
    <row r="129" spans="2:11">
      <c r="B129" s="250">
        <v>127</v>
      </c>
      <c r="C129" s="251" t="s">
        <v>1165</v>
      </c>
      <c r="D129" s="251" t="s">
        <v>1166</v>
      </c>
      <c r="E129" s="251" t="s">
        <v>1167</v>
      </c>
      <c r="F129" s="251" t="s">
        <v>679</v>
      </c>
      <c r="G129" s="251" t="s">
        <v>680</v>
      </c>
      <c r="H129" s="251" t="s">
        <v>681</v>
      </c>
      <c r="I129" s="251" t="s">
        <v>682</v>
      </c>
      <c r="J129" s="251" t="s">
        <v>1168</v>
      </c>
      <c r="K129" s="251" t="s">
        <v>1169</v>
      </c>
    </row>
    <row r="130" spans="2:11">
      <c r="B130" s="250">
        <v>128</v>
      </c>
      <c r="C130" s="251" t="s">
        <v>1170</v>
      </c>
      <c r="D130" s="251" t="s">
        <v>1171</v>
      </c>
      <c r="E130" s="251" t="s">
        <v>1172</v>
      </c>
      <c r="F130" s="251" t="s">
        <v>679</v>
      </c>
      <c r="G130" s="251" t="s">
        <v>680</v>
      </c>
      <c r="H130" s="251" t="s">
        <v>681</v>
      </c>
      <c r="I130" s="251" t="s">
        <v>682</v>
      </c>
      <c r="J130" s="251" t="s">
        <v>1168</v>
      </c>
      <c r="K130" s="251" t="s">
        <v>1173</v>
      </c>
    </row>
    <row r="131" spans="2:11">
      <c r="B131" s="250">
        <v>129</v>
      </c>
      <c r="C131" s="251" t="s">
        <v>1174</v>
      </c>
      <c r="D131" s="251" t="s">
        <v>1175</v>
      </c>
      <c r="E131" s="251" t="s">
        <v>1176</v>
      </c>
      <c r="F131" s="251" t="s">
        <v>679</v>
      </c>
      <c r="G131" s="251" t="s">
        <v>680</v>
      </c>
      <c r="H131" s="251" t="s">
        <v>681</v>
      </c>
      <c r="I131" s="251" t="s">
        <v>682</v>
      </c>
      <c r="J131" s="251" t="s">
        <v>1168</v>
      </c>
      <c r="K131" s="251" t="s">
        <v>1177</v>
      </c>
    </row>
    <row r="132" spans="2:11">
      <c r="B132" s="250">
        <v>130</v>
      </c>
      <c r="C132" s="251" t="s">
        <v>1178</v>
      </c>
      <c r="D132" s="251" t="s">
        <v>1179</v>
      </c>
      <c r="E132" s="251" t="s">
        <v>1180</v>
      </c>
      <c r="F132" s="251" t="s">
        <v>679</v>
      </c>
      <c r="G132" s="251" t="s">
        <v>680</v>
      </c>
      <c r="H132" s="251" t="s">
        <v>681</v>
      </c>
      <c r="I132" s="251" t="s">
        <v>682</v>
      </c>
      <c r="J132" s="251" t="s">
        <v>1168</v>
      </c>
      <c r="K132" s="251" t="s">
        <v>1181</v>
      </c>
    </row>
    <row r="133" spans="2:11">
      <c r="B133" s="250">
        <v>131</v>
      </c>
      <c r="C133" s="251" t="s">
        <v>1182</v>
      </c>
      <c r="D133" s="251" t="s">
        <v>1183</v>
      </c>
      <c r="E133" s="251" t="s">
        <v>1184</v>
      </c>
      <c r="F133" s="251" t="s">
        <v>679</v>
      </c>
      <c r="G133" s="251" t="s">
        <v>680</v>
      </c>
      <c r="H133" s="251" t="s">
        <v>681</v>
      </c>
      <c r="I133" s="251" t="s">
        <v>682</v>
      </c>
      <c r="J133" s="251" t="s">
        <v>1168</v>
      </c>
      <c r="K133" s="251" t="s">
        <v>1185</v>
      </c>
    </row>
    <row r="134" spans="2:11">
      <c r="B134" s="250">
        <v>132</v>
      </c>
      <c r="C134" s="251" t="s">
        <v>1186</v>
      </c>
      <c r="D134" s="251" t="s">
        <v>1187</v>
      </c>
      <c r="E134" s="251" t="s">
        <v>1188</v>
      </c>
      <c r="F134" s="251" t="s">
        <v>679</v>
      </c>
      <c r="G134" s="251" t="s">
        <v>680</v>
      </c>
      <c r="H134" s="251" t="s">
        <v>681</v>
      </c>
      <c r="I134" s="251" t="s">
        <v>682</v>
      </c>
      <c r="J134" s="251" t="s">
        <v>1168</v>
      </c>
      <c r="K134" s="251" t="s">
        <v>1189</v>
      </c>
    </row>
    <row r="135" spans="2:11">
      <c r="B135" s="250">
        <v>133</v>
      </c>
      <c r="C135" s="251" t="s">
        <v>1190</v>
      </c>
      <c r="D135" s="251" t="s">
        <v>1191</v>
      </c>
      <c r="E135" s="251" t="s">
        <v>916</v>
      </c>
      <c r="F135" s="251" t="s">
        <v>679</v>
      </c>
      <c r="G135" s="251" t="s">
        <v>680</v>
      </c>
      <c r="H135" s="251" t="s">
        <v>681</v>
      </c>
      <c r="I135" s="251" t="s">
        <v>682</v>
      </c>
      <c r="J135" s="251" t="s">
        <v>1168</v>
      </c>
      <c r="K135" s="251" t="s">
        <v>1192</v>
      </c>
    </row>
    <row r="136" spans="2:11">
      <c r="B136" s="250">
        <v>134</v>
      </c>
      <c r="C136" s="251" t="s">
        <v>1193</v>
      </c>
      <c r="D136" s="251" t="s">
        <v>1194</v>
      </c>
      <c r="E136" s="251" t="s">
        <v>1016</v>
      </c>
      <c r="F136" s="251" t="s">
        <v>679</v>
      </c>
      <c r="G136" s="251" t="s">
        <v>680</v>
      </c>
      <c r="H136" s="251" t="s">
        <v>681</v>
      </c>
      <c r="I136" s="251" t="s">
        <v>682</v>
      </c>
      <c r="J136" s="251" t="s">
        <v>1168</v>
      </c>
      <c r="K136" s="251" t="s">
        <v>1195</v>
      </c>
    </row>
    <row r="137" spans="2:11">
      <c r="B137" s="250">
        <v>135</v>
      </c>
      <c r="C137" s="251" t="s">
        <v>1196</v>
      </c>
      <c r="D137" s="251" t="s">
        <v>1197</v>
      </c>
      <c r="E137" s="251" t="s">
        <v>1198</v>
      </c>
      <c r="F137" s="251" t="s">
        <v>679</v>
      </c>
      <c r="G137" s="251" t="s">
        <v>680</v>
      </c>
      <c r="H137" s="251" t="s">
        <v>681</v>
      </c>
      <c r="I137" s="251" t="s">
        <v>682</v>
      </c>
      <c r="J137" s="251" t="s">
        <v>1168</v>
      </c>
      <c r="K137" s="251" t="s">
        <v>1199</v>
      </c>
    </row>
    <row r="138" spans="2:11">
      <c r="B138" s="250">
        <v>136</v>
      </c>
      <c r="C138" s="251" t="s">
        <v>1200</v>
      </c>
      <c r="D138" s="251" t="s">
        <v>1201</v>
      </c>
      <c r="E138" s="251" t="s">
        <v>790</v>
      </c>
      <c r="F138" s="251" t="s">
        <v>679</v>
      </c>
      <c r="G138" s="251" t="s">
        <v>680</v>
      </c>
      <c r="H138" s="251" t="s">
        <v>681</v>
      </c>
      <c r="I138" s="251" t="s">
        <v>682</v>
      </c>
      <c r="J138" s="251" t="s">
        <v>1168</v>
      </c>
      <c r="K138" s="251" t="s">
        <v>1202</v>
      </c>
    </row>
    <row r="139" spans="2:11">
      <c r="B139" s="250">
        <v>137</v>
      </c>
      <c r="C139" s="251" t="s">
        <v>1203</v>
      </c>
      <c r="D139" s="251" t="s">
        <v>1204</v>
      </c>
      <c r="E139" s="251" t="s">
        <v>1205</v>
      </c>
      <c r="F139" s="251" t="s">
        <v>679</v>
      </c>
      <c r="G139" s="251" t="s">
        <v>680</v>
      </c>
      <c r="H139" s="251" t="s">
        <v>681</v>
      </c>
      <c r="I139" s="251" t="s">
        <v>682</v>
      </c>
      <c r="J139" s="251" t="s">
        <v>1168</v>
      </c>
      <c r="K139" s="251" t="s">
        <v>1206</v>
      </c>
    </row>
    <row r="140" spans="2:11">
      <c r="B140" s="250">
        <v>138</v>
      </c>
      <c r="C140" s="251" t="s">
        <v>1207</v>
      </c>
      <c r="D140" s="251" t="s">
        <v>1208</v>
      </c>
      <c r="E140" s="251" t="s">
        <v>727</v>
      </c>
      <c r="F140" s="251" t="s">
        <v>679</v>
      </c>
      <c r="G140" s="251" t="s">
        <v>680</v>
      </c>
      <c r="H140" s="251" t="s">
        <v>681</v>
      </c>
      <c r="I140" s="251" t="s">
        <v>682</v>
      </c>
      <c r="J140" s="251" t="s">
        <v>1168</v>
      </c>
      <c r="K140" s="251" t="s">
        <v>1209</v>
      </c>
    </row>
    <row r="141" spans="2:11">
      <c r="B141" s="250">
        <v>139</v>
      </c>
      <c r="C141" s="251" t="s">
        <v>1210</v>
      </c>
      <c r="D141" s="251" t="s">
        <v>1211</v>
      </c>
      <c r="E141" s="251" t="s">
        <v>1212</v>
      </c>
      <c r="F141" s="251" t="s">
        <v>679</v>
      </c>
      <c r="G141" s="251" t="s">
        <v>680</v>
      </c>
      <c r="H141" s="251" t="s">
        <v>681</v>
      </c>
      <c r="I141" s="251" t="s">
        <v>682</v>
      </c>
      <c r="J141" s="251" t="s">
        <v>1168</v>
      </c>
      <c r="K141" s="251" t="s">
        <v>1213</v>
      </c>
    </row>
    <row r="142" spans="2:11">
      <c r="B142" s="250">
        <v>140</v>
      </c>
      <c r="C142" s="251" t="s">
        <v>1214</v>
      </c>
      <c r="D142" s="251" t="s">
        <v>1215</v>
      </c>
      <c r="E142" s="251" t="s">
        <v>1216</v>
      </c>
      <c r="F142" s="251" t="s">
        <v>679</v>
      </c>
      <c r="G142" s="251" t="s">
        <v>680</v>
      </c>
      <c r="H142" s="251" t="s">
        <v>681</v>
      </c>
      <c r="I142" s="251" t="s">
        <v>682</v>
      </c>
      <c r="J142" s="251" t="s">
        <v>1168</v>
      </c>
      <c r="K142" s="251" t="s">
        <v>1217</v>
      </c>
    </row>
    <row r="143" spans="2:11">
      <c r="B143" s="250">
        <v>141</v>
      </c>
      <c r="C143" s="251" t="s">
        <v>1218</v>
      </c>
      <c r="D143" s="251" t="s">
        <v>1219</v>
      </c>
      <c r="E143" s="251" t="s">
        <v>1220</v>
      </c>
      <c r="F143" s="251" t="s">
        <v>679</v>
      </c>
      <c r="G143" s="251" t="s">
        <v>680</v>
      </c>
      <c r="H143" s="251" t="s">
        <v>681</v>
      </c>
      <c r="I143" s="251" t="s">
        <v>682</v>
      </c>
      <c r="J143" s="251" t="s">
        <v>1168</v>
      </c>
      <c r="K143" s="251" t="s">
        <v>1221</v>
      </c>
    </row>
    <row r="144" spans="2:11">
      <c r="B144" s="250">
        <v>142</v>
      </c>
      <c r="C144" s="251" t="s">
        <v>1222</v>
      </c>
      <c r="D144" s="251" t="s">
        <v>1223</v>
      </c>
      <c r="E144" s="251" t="s">
        <v>1224</v>
      </c>
      <c r="F144" s="251" t="s">
        <v>679</v>
      </c>
      <c r="G144" s="251" t="s">
        <v>680</v>
      </c>
      <c r="H144" s="251" t="s">
        <v>681</v>
      </c>
      <c r="I144" s="251" t="s">
        <v>682</v>
      </c>
      <c r="J144" s="251" t="s">
        <v>1168</v>
      </c>
      <c r="K144" s="251" t="s">
        <v>1225</v>
      </c>
    </row>
    <row r="145" spans="2:11">
      <c r="B145" s="250">
        <v>143</v>
      </c>
      <c r="C145" s="251" t="s">
        <v>1226</v>
      </c>
      <c r="D145" s="251" t="s">
        <v>1227</v>
      </c>
      <c r="E145" s="251" t="s">
        <v>1228</v>
      </c>
      <c r="F145" s="251" t="s">
        <v>679</v>
      </c>
      <c r="G145" s="251" t="s">
        <v>680</v>
      </c>
      <c r="H145" s="251" t="s">
        <v>681</v>
      </c>
      <c r="I145" s="251" t="s">
        <v>682</v>
      </c>
      <c r="J145" s="251" t="s">
        <v>1168</v>
      </c>
      <c r="K145" s="251" t="s">
        <v>1229</v>
      </c>
    </row>
    <row r="146" spans="2:11">
      <c r="B146" s="250">
        <v>144</v>
      </c>
      <c r="C146" s="251" t="s">
        <v>1230</v>
      </c>
      <c r="D146" s="251" t="s">
        <v>1231</v>
      </c>
      <c r="E146" s="251" t="s">
        <v>1232</v>
      </c>
      <c r="F146" s="251" t="s">
        <v>679</v>
      </c>
      <c r="G146" s="251" t="s">
        <v>680</v>
      </c>
      <c r="H146" s="251" t="s">
        <v>681</v>
      </c>
      <c r="I146" s="251" t="s">
        <v>682</v>
      </c>
      <c r="J146" s="251" t="s">
        <v>1168</v>
      </c>
      <c r="K146" s="251" t="s">
        <v>1233</v>
      </c>
    </row>
    <row r="147" spans="2:11">
      <c r="B147" s="250">
        <v>145</v>
      </c>
      <c r="C147" s="251" t="s">
        <v>1234</v>
      </c>
      <c r="D147" s="251" t="s">
        <v>1235</v>
      </c>
      <c r="E147" s="251" t="s">
        <v>1236</v>
      </c>
      <c r="F147" s="251" t="s">
        <v>679</v>
      </c>
      <c r="G147" s="251" t="s">
        <v>680</v>
      </c>
      <c r="H147" s="251" t="s">
        <v>681</v>
      </c>
      <c r="I147" s="251" t="s">
        <v>682</v>
      </c>
      <c r="J147" s="251" t="s">
        <v>1168</v>
      </c>
      <c r="K147" s="251" t="s">
        <v>1237</v>
      </c>
    </row>
    <row r="148" spans="2:11">
      <c r="B148" s="250">
        <v>146</v>
      </c>
      <c r="C148" s="251" t="s">
        <v>1238</v>
      </c>
      <c r="D148" s="251" t="s">
        <v>1239</v>
      </c>
      <c r="E148" s="251" t="s">
        <v>1240</v>
      </c>
      <c r="F148" s="251" t="s">
        <v>679</v>
      </c>
      <c r="G148" s="251" t="s">
        <v>680</v>
      </c>
      <c r="H148" s="251" t="s">
        <v>681</v>
      </c>
      <c r="I148" s="251" t="s">
        <v>682</v>
      </c>
      <c r="J148" s="251" t="s">
        <v>1168</v>
      </c>
      <c r="K148" s="251" t="s">
        <v>1241</v>
      </c>
    </row>
    <row r="149" spans="2:11">
      <c r="B149" s="250">
        <v>147</v>
      </c>
      <c r="C149" s="251" t="s">
        <v>1242</v>
      </c>
      <c r="D149" s="251" t="s">
        <v>1243</v>
      </c>
      <c r="E149" s="251" t="s">
        <v>1244</v>
      </c>
      <c r="F149" s="251" t="s">
        <v>679</v>
      </c>
      <c r="G149" s="251" t="s">
        <v>680</v>
      </c>
      <c r="H149" s="251" t="s">
        <v>681</v>
      </c>
      <c r="I149" s="251" t="s">
        <v>682</v>
      </c>
      <c r="J149" s="251" t="s">
        <v>1245</v>
      </c>
      <c r="K149" s="251" t="s">
        <v>696</v>
      </c>
    </row>
    <row r="150" spans="2:11">
      <c r="B150" s="250">
        <v>148</v>
      </c>
      <c r="C150" s="251" t="s">
        <v>1246</v>
      </c>
      <c r="D150" s="251" t="s">
        <v>1247</v>
      </c>
      <c r="E150" s="251" t="s">
        <v>1248</v>
      </c>
      <c r="F150" s="251" t="s">
        <v>679</v>
      </c>
      <c r="G150" s="251" t="s">
        <v>680</v>
      </c>
      <c r="H150" s="251" t="s">
        <v>681</v>
      </c>
      <c r="I150" s="251" t="s">
        <v>682</v>
      </c>
      <c r="J150" s="251" t="s">
        <v>1245</v>
      </c>
      <c r="K150" s="251" t="s">
        <v>1249</v>
      </c>
    </row>
    <row r="151" spans="2:11">
      <c r="B151" s="250">
        <v>149</v>
      </c>
      <c r="C151" s="251" t="s">
        <v>1250</v>
      </c>
      <c r="D151" s="251" t="s">
        <v>1251</v>
      </c>
      <c r="E151" s="251" t="s">
        <v>1252</v>
      </c>
      <c r="F151" s="251" t="s">
        <v>679</v>
      </c>
      <c r="G151" s="251" t="s">
        <v>680</v>
      </c>
      <c r="H151" s="251" t="s">
        <v>681</v>
      </c>
      <c r="I151" s="251" t="s">
        <v>682</v>
      </c>
      <c r="J151" s="251" t="s">
        <v>1245</v>
      </c>
      <c r="K151" s="251" t="s">
        <v>1253</v>
      </c>
    </row>
    <row r="152" spans="2:11">
      <c r="B152" s="250">
        <v>150</v>
      </c>
      <c r="C152" s="251" t="s">
        <v>1254</v>
      </c>
      <c r="D152" s="251" t="s">
        <v>1255</v>
      </c>
      <c r="E152" s="251" t="s">
        <v>1256</v>
      </c>
      <c r="F152" s="251" t="s">
        <v>679</v>
      </c>
      <c r="G152" s="251" t="s">
        <v>680</v>
      </c>
      <c r="H152" s="251" t="s">
        <v>681</v>
      </c>
      <c r="I152" s="251" t="s">
        <v>682</v>
      </c>
      <c r="J152" s="251" t="s">
        <v>1245</v>
      </c>
      <c r="K152" s="251" t="s">
        <v>1257</v>
      </c>
    </row>
    <row r="153" spans="2:11">
      <c r="B153" s="250">
        <v>151</v>
      </c>
      <c r="C153" s="251" t="s">
        <v>1258</v>
      </c>
      <c r="D153" s="251" t="s">
        <v>1259</v>
      </c>
      <c r="E153" s="251" t="s">
        <v>1256</v>
      </c>
      <c r="F153" s="251" t="s">
        <v>679</v>
      </c>
      <c r="G153" s="251" t="s">
        <v>680</v>
      </c>
      <c r="H153" s="251" t="s">
        <v>681</v>
      </c>
      <c r="I153" s="251" t="s">
        <v>682</v>
      </c>
      <c r="J153" s="251" t="s">
        <v>1245</v>
      </c>
      <c r="K153" s="251" t="s">
        <v>696</v>
      </c>
    </row>
    <row r="154" spans="2:11">
      <c r="B154" s="250">
        <v>152</v>
      </c>
      <c r="C154" s="251" t="s">
        <v>1260</v>
      </c>
      <c r="D154" s="251" t="s">
        <v>1261</v>
      </c>
      <c r="E154" s="251" t="s">
        <v>1262</v>
      </c>
      <c r="F154" s="251" t="s">
        <v>679</v>
      </c>
      <c r="G154" s="251" t="s">
        <v>680</v>
      </c>
      <c r="H154" s="251" t="s">
        <v>681</v>
      </c>
      <c r="I154" s="251" t="s">
        <v>682</v>
      </c>
      <c r="J154" s="251" t="s">
        <v>1245</v>
      </c>
      <c r="K154" s="251" t="s">
        <v>1263</v>
      </c>
    </row>
    <row r="155" spans="2:11">
      <c r="B155" s="250">
        <v>153</v>
      </c>
      <c r="C155" s="251" t="s">
        <v>1264</v>
      </c>
      <c r="D155" s="251" t="s">
        <v>1265</v>
      </c>
      <c r="E155" s="251" t="s">
        <v>1266</v>
      </c>
      <c r="F155" s="251" t="s">
        <v>679</v>
      </c>
      <c r="G155" s="251" t="s">
        <v>680</v>
      </c>
      <c r="H155" s="251" t="s">
        <v>681</v>
      </c>
      <c r="I155" s="251" t="s">
        <v>682</v>
      </c>
      <c r="J155" s="251" t="s">
        <v>1245</v>
      </c>
      <c r="K155" s="251" t="s">
        <v>1267</v>
      </c>
    </row>
    <row r="156" spans="2:11">
      <c r="B156" s="250">
        <v>154</v>
      </c>
      <c r="C156" s="251" t="s">
        <v>1268</v>
      </c>
      <c r="D156" s="251" t="s">
        <v>1269</v>
      </c>
      <c r="E156" s="251" t="s">
        <v>823</v>
      </c>
      <c r="F156" s="251" t="s">
        <v>679</v>
      </c>
      <c r="G156" s="251" t="s">
        <v>680</v>
      </c>
      <c r="H156" s="251" t="s">
        <v>681</v>
      </c>
      <c r="I156" s="251" t="s">
        <v>682</v>
      </c>
      <c r="J156" s="251" t="s">
        <v>1245</v>
      </c>
      <c r="K156" s="251" t="s">
        <v>1270</v>
      </c>
    </row>
    <row r="157" spans="2:11">
      <c r="B157" s="250">
        <v>155</v>
      </c>
      <c r="C157" s="251" t="s">
        <v>1271</v>
      </c>
      <c r="D157" s="251" t="s">
        <v>1272</v>
      </c>
      <c r="E157" s="251" t="s">
        <v>1273</v>
      </c>
      <c r="F157" s="251" t="s">
        <v>679</v>
      </c>
      <c r="G157" s="251" t="s">
        <v>680</v>
      </c>
      <c r="H157" s="251" t="s">
        <v>681</v>
      </c>
      <c r="I157" s="251" t="s">
        <v>682</v>
      </c>
      <c r="J157" s="251" t="s">
        <v>1245</v>
      </c>
      <c r="K157" s="251" t="s">
        <v>1274</v>
      </c>
    </row>
    <row r="158" spans="2:11">
      <c r="B158" s="250">
        <v>156</v>
      </c>
      <c r="C158" s="251" t="s">
        <v>1275</v>
      </c>
      <c r="D158" s="251" t="s">
        <v>1276</v>
      </c>
      <c r="E158" s="251" t="s">
        <v>1277</v>
      </c>
      <c r="F158" s="251" t="s">
        <v>679</v>
      </c>
      <c r="G158" s="251" t="s">
        <v>680</v>
      </c>
      <c r="H158" s="251" t="s">
        <v>681</v>
      </c>
      <c r="I158" s="251" t="s">
        <v>682</v>
      </c>
      <c r="J158" s="251" t="s">
        <v>1245</v>
      </c>
      <c r="K158" s="251" t="s">
        <v>1278</v>
      </c>
    </row>
    <row r="159" spans="2:11">
      <c r="B159" s="250">
        <v>157</v>
      </c>
      <c r="C159" s="251" t="s">
        <v>1279</v>
      </c>
      <c r="D159" s="251" t="s">
        <v>1280</v>
      </c>
      <c r="E159" s="251" t="s">
        <v>678</v>
      </c>
      <c r="F159" s="251" t="s">
        <v>679</v>
      </c>
      <c r="G159" s="251" t="s">
        <v>680</v>
      </c>
      <c r="H159" s="251" t="s">
        <v>681</v>
      </c>
      <c r="I159" s="251" t="s">
        <v>682</v>
      </c>
      <c r="J159" s="251" t="s">
        <v>1245</v>
      </c>
      <c r="K159" s="251" t="s">
        <v>1281</v>
      </c>
    </row>
    <row r="160" spans="2:11">
      <c r="B160" s="250">
        <v>158</v>
      </c>
      <c r="C160" s="251" t="s">
        <v>1282</v>
      </c>
      <c r="D160" s="251" t="s">
        <v>1283</v>
      </c>
      <c r="E160" s="251" t="s">
        <v>877</v>
      </c>
      <c r="F160" s="251" t="s">
        <v>679</v>
      </c>
      <c r="G160" s="251" t="s">
        <v>680</v>
      </c>
      <c r="H160" s="251" t="s">
        <v>681</v>
      </c>
      <c r="I160" s="251" t="s">
        <v>682</v>
      </c>
      <c r="J160" s="251" t="s">
        <v>1245</v>
      </c>
      <c r="K160" s="251" t="s">
        <v>1284</v>
      </c>
    </row>
    <row r="161" spans="2:11">
      <c r="B161" s="250">
        <v>159</v>
      </c>
      <c r="C161" s="251" t="s">
        <v>1285</v>
      </c>
      <c r="D161" s="251" t="s">
        <v>1286</v>
      </c>
      <c r="E161" s="251" t="s">
        <v>1287</v>
      </c>
      <c r="F161" s="251" t="s">
        <v>679</v>
      </c>
      <c r="G161" s="251" t="s">
        <v>680</v>
      </c>
      <c r="H161" s="251" t="s">
        <v>681</v>
      </c>
      <c r="I161" s="251" t="s">
        <v>682</v>
      </c>
      <c r="J161" s="251" t="s">
        <v>1245</v>
      </c>
      <c r="K161" s="251" t="s">
        <v>1288</v>
      </c>
    </row>
    <row r="162" spans="2:11">
      <c r="B162" s="250">
        <v>160</v>
      </c>
      <c r="C162" s="251" t="s">
        <v>1289</v>
      </c>
      <c r="D162" s="251" t="s">
        <v>1290</v>
      </c>
      <c r="E162" s="251" t="s">
        <v>1291</v>
      </c>
      <c r="F162" s="251" t="s">
        <v>679</v>
      </c>
      <c r="G162" s="251" t="s">
        <v>680</v>
      </c>
      <c r="H162" s="251" t="s">
        <v>681</v>
      </c>
      <c r="I162" s="251" t="s">
        <v>682</v>
      </c>
      <c r="J162" s="251" t="s">
        <v>1245</v>
      </c>
      <c r="K162" s="251" t="s">
        <v>1292</v>
      </c>
    </row>
    <row r="163" spans="2:11">
      <c r="B163" s="250">
        <v>161</v>
      </c>
      <c r="C163" s="251" t="s">
        <v>1293</v>
      </c>
      <c r="D163" s="251" t="s">
        <v>1294</v>
      </c>
      <c r="E163" s="251" t="s">
        <v>869</v>
      </c>
      <c r="F163" s="251" t="s">
        <v>679</v>
      </c>
      <c r="G163" s="251" t="s">
        <v>680</v>
      </c>
      <c r="H163" s="251" t="s">
        <v>681</v>
      </c>
      <c r="I163" s="251" t="s">
        <v>682</v>
      </c>
      <c r="J163" s="251" t="s">
        <v>1245</v>
      </c>
      <c r="K163" s="251" t="s">
        <v>1295</v>
      </c>
    </row>
    <row r="164" spans="2:11">
      <c r="B164" s="250">
        <v>162</v>
      </c>
      <c r="C164" s="251" t="s">
        <v>1296</v>
      </c>
      <c r="D164" s="251" t="s">
        <v>1297</v>
      </c>
      <c r="E164" s="251" t="s">
        <v>1298</v>
      </c>
      <c r="F164" s="251" t="s">
        <v>679</v>
      </c>
      <c r="G164" s="251" t="s">
        <v>680</v>
      </c>
      <c r="H164" s="251" t="s">
        <v>681</v>
      </c>
      <c r="I164" s="251" t="s">
        <v>682</v>
      </c>
      <c r="J164" s="251" t="s">
        <v>1245</v>
      </c>
      <c r="K164" s="251" t="s">
        <v>1299</v>
      </c>
    </row>
    <row r="165" spans="2:11">
      <c r="B165" s="250">
        <v>163</v>
      </c>
      <c r="C165" s="251" t="s">
        <v>1300</v>
      </c>
      <c r="D165" s="251" t="s">
        <v>1301</v>
      </c>
      <c r="E165" s="251" t="s">
        <v>1302</v>
      </c>
      <c r="F165" s="251" t="s">
        <v>679</v>
      </c>
      <c r="G165" s="251" t="s">
        <v>680</v>
      </c>
      <c r="H165" s="251" t="s">
        <v>681</v>
      </c>
      <c r="I165" s="251" t="s">
        <v>682</v>
      </c>
      <c r="J165" s="251" t="s">
        <v>1245</v>
      </c>
      <c r="K165" s="251" t="s">
        <v>1303</v>
      </c>
    </row>
    <row r="166" spans="2:11">
      <c r="B166" s="250">
        <v>164</v>
      </c>
      <c r="C166" s="251" t="s">
        <v>1304</v>
      </c>
      <c r="D166" s="251" t="s">
        <v>1305</v>
      </c>
      <c r="E166" s="251" t="s">
        <v>916</v>
      </c>
      <c r="F166" s="251" t="s">
        <v>679</v>
      </c>
      <c r="G166" s="251" t="s">
        <v>680</v>
      </c>
      <c r="H166" s="251" t="s">
        <v>681</v>
      </c>
      <c r="I166" s="251" t="s">
        <v>682</v>
      </c>
      <c r="J166" s="251" t="s">
        <v>1245</v>
      </c>
      <c r="K166" s="251" t="s">
        <v>1306</v>
      </c>
    </row>
    <row r="167" spans="2:11">
      <c r="B167" s="250">
        <v>165</v>
      </c>
      <c r="C167" s="251" t="s">
        <v>1307</v>
      </c>
      <c r="D167" s="251" t="s">
        <v>1308</v>
      </c>
      <c r="E167" s="251" t="s">
        <v>1309</v>
      </c>
      <c r="F167" s="251" t="s">
        <v>679</v>
      </c>
      <c r="G167" s="251" t="s">
        <v>680</v>
      </c>
      <c r="H167" s="251" t="s">
        <v>681</v>
      </c>
      <c r="I167" s="251" t="s">
        <v>682</v>
      </c>
      <c r="J167" s="251" t="s">
        <v>1245</v>
      </c>
      <c r="K167" s="251" t="s">
        <v>1310</v>
      </c>
    </row>
    <row r="168" spans="2:11">
      <c r="B168" s="250">
        <v>166</v>
      </c>
      <c r="C168" s="251" t="s">
        <v>1311</v>
      </c>
      <c r="D168" s="251" t="s">
        <v>1312</v>
      </c>
      <c r="E168" s="251" t="s">
        <v>1313</v>
      </c>
      <c r="F168" s="251" t="s">
        <v>679</v>
      </c>
      <c r="G168" s="251" t="s">
        <v>680</v>
      </c>
      <c r="H168" s="251" t="s">
        <v>681</v>
      </c>
      <c r="I168" s="251" t="s">
        <v>682</v>
      </c>
      <c r="J168" s="251" t="s">
        <v>1245</v>
      </c>
      <c r="K168" s="251" t="s">
        <v>1314</v>
      </c>
    </row>
    <row r="169" spans="2:11">
      <c r="B169" s="250">
        <v>167</v>
      </c>
      <c r="C169" s="251" t="s">
        <v>1315</v>
      </c>
      <c r="D169" s="251" t="s">
        <v>1316</v>
      </c>
      <c r="E169" s="251" t="s">
        <v>1317</v>
      </c>
      <c r="F169" s="251" t="s">
        <v>679</v>
      </c>
      <c r="G169" s="251" t="s">
        <v>680</v>
      </c>
      <c r="H169" s="251" t="s">
        <v>681</v>
      </c>
      <c r="I169" s="251" t="s">
        <v>682</v>
      </c>
      <c r="J169" s="251" t="s">
        <v>1245</v>
      </c>
      <c r="K169" s="251" t="s">
        <v>1318</v>
      </c>
    </row>
    <row r="170" spans="2:11">
      <c r="B170" s="250">
        <v>168</v>
      </c>
      <c r="C170" s="251" t="s">
        <v>1319</v>
      </c>
      <c r="D170" s="251" t="s">
        <v>1320</v>
      </c>
      <c r="E170" s="251" t="s">
        <v>1321</v>
      </c>
      <c r="F170" s="251" t="s">
        <v>679</v>
      </c>
      <c r="G170" s="251" t="s">
        <v>680</v>
      </c>
      <c r="H170" s="251" t="s">
        <v>681</v>
      </c>
      <c r="I170" s="251" t="s">
        <v>682</v>
      </c>
      <c r="J170" s="251" t="s">
        <v>1245</v>
      </c>
      <c r="K170" s="251" t="s">
        <v>1322</v>
      </c>
    </row>
    <row r="171" spans="2:11">
      <c r="B171" s="250">
        <v>169</v>
      </c>
      <c r="C171" s="251" t="s">
        <v>1323</v>
      </c>
      <c r="D171" s="251" t="s">
        <v>1324</v>
      </c>
      <c r="E171" s="251" t="s">
        <v>1325</v>
      </c>
      <c r="F171" s="251" t="s">
        <v>679</v>
      </c>
      <c r="G171" s="251" t="s">
        <v>680</v>
      </c>
      <c r="H171" s="251" t="s">
        <v>681</v>
      </c>
      <c r="I171" s="251" t="s">
        <v>682</v>
      </c>
      <c r="J171" s="251" t="s">
        <v>1245</v>
      </c>
      <c r="K171" s="251" t="s">
        <v>1326</v>
      </c>
    </row>
    <row r="172" spans="2:11">
      <c r="B172" s="250">
        <v>170</v>
      </c>
      <c r="C172" s="251" t="s">
        <v>1327</v>
      </c>
      <c r="D172" s="251" t="s">
        <v>1328</v>
      </c>
      <c r="E172" s="251" t="s">
        <v>1329</v>
      </c>
      <c r="F172" s="251" t="s">
        <v>679</v>
      </c>
      <c r="G172" s="251" t="s">
        <v>680</v>
      </c>
      <c r="H172" s="251" t="s">
        <v>681</v>
      </c>
      <c r="I172" s="251" t="s">
        <v>682</v>
      </c>
      <c r="J172" s="251" t="s">
        <v>1245</v>
      </c>
      <c r="K172" s="251" t="s">
        <v>1330</v>
      </c>
    </row>
    <row r="173" spans="2:11">
      <c r="B173" s="250">
        <v>171</v>
      </c>
      <c r="C173" s="251" t="s">
        <v>1331</v>
      </c>
      <c r="D173" s="251" t="s">
        <v>1332</v>
      </c>
      <c r="E173" s="251" t="s">
        <v>1333</v>
      </c>
      <c r="F173" s="251" t="s">
        <v>679</v>
      </c>
      <c r="G173" s="251" t="s">
        <v>680</v>
      </c>
      <c r="H173" s="251" t="s">
        <v>681</v>
      </c>
      <c r="I173" s="251" t="s">
        <v>682</v>
      </c>
      <c r="J173" s="251" t="s">
        <v>1245</v>
      </c>
      <c r="K173" s="251" t="s">
        <v>1334</v>
      </c>
    </row>
    <row r="174" spans="2:11">
      <c r="B174" s="250">
        <v>172</v>
      </c>
      <c r="C174" s="251" t="s">
        <v>1335</v>
      </c>
      <c r="D174" s="251" t="s">
        <v>1336</v>
      </c>
      <c r="E174" s="251" t="s">
        <v>1337</v>
      </c>
      <c r="F174" s="251" t="s">
        <v>679</v>
      </c>
      <c r="G174" s="251" t="s">
        <v>680</v>
      </c>
      <c r="H174" s="251" t="s">
        <v>681</v>
      </c>
      <c r="I174" s="251" t="s">
        <v>682</v>
      </c>
      <c r="J174" s="251" t="s">
        <v>1245</v>
      </c>
      <c r="K174" s="251" t="s">
        <v>1338</v>
      </c>
    </row>
    <row r="175" spans="2:11">
      <c r="B175" s="250">
        <v>173</v>
      </c>
      <c r="C175" s="251" t="s">
        <v>1339</v>
      </c>
      <c r="D175" s="251" t="s">
        <v>1340</v>
      </c>
      <c r="E175" s="251" t="s">
        <v>1341</v>
      </c>
      <c r="F175" s="251" t="s">
        <v>679</v>
      </c>
      <c r="G175" s="251" t="s">
        <v>680</v>
      </c>
      <c r="H175" s="251" t="s">
        <v>681</v>
      </c>
      <c r="I175" s="251" t="s">
        <v>682</v>
      </c>
      <c r="J175" s="251" t="s">
        <v>1245</v>
      </c>
      <c r="K175" s="251" t="s">
        <v>1342</v>
      </c>
    </row>
    <row r="176" spans="2:11">
      <c r="B176" s="250">
        <v>174</v>
      </c>
      <c r="C176" s="251" t="s">
        <v>1343</v>
      </c>
      <c r="D176" s="251" t="s">
        <v>1344</v>
      </c>
      <c r="E176" s="251" t="s">
        <v>1345</v>
      </c>
      <c r="F176" s="251" t="s">
        <v>679</v>
      </c>
      <c r="G176" s="251" t="s">
        <v>680</v>
      </c>
      <c r="H176" s="251" t="s">
        <v>681</v>
      </c>
      <c r="I176" s="251" t="s">
        <v>682</v>
      </c>
      <c r="J176" s="251" t="s">
        <v>1346</v>
      </c>
      <c r="K176" s="251" t="s">
        <v>1347</v>
      </c>
    </row>
    <row r="177" spans="2:11">
      <c r="B177" s="250">
        <v>175</v>
      </c>
      <c r="C177" s="251" t="s">
        <v>1348</v>
      </c>
      <c r="D177" s="251" t="s">
        <v>1349</v>
      </c>
      <c r="E177" s="251" t="s">
        <v>1350</v>
      </c>
      <c r="F177" s="251" t="s">
        <v>679</v>
      </c>
      <c r="G177" s="251" t="s">
        <v>680</v>
      </c>
      <c r="H177" s="251" t="s">
        <v>681</v>
      </c>
      <c r="I177" s="251" t="s">
        <v>682</v>
      </c>
      <c r="J177" s="251" t="s">
        <v>1346</v>
      </c>
      <c r="K177" s="251" t="s">
        <v>1351</v>
      </c>
    </row>
    <row r="178" spans="2:11">
      <c r="B178" s="250">
        <v>176</v>
      </c>
      <c r="C178" s="251" t="s">
        <v>1352</v>
      </c>
      <c r="D178" s="251" t="s">
        <v>1353</v>
      </c>
      <c r="E178" s="251" t="s">
        <v>1354</v>
      </c>
      <c r="F178" s="251" t="s">
        <v>679</v>
      </c>
      <c r="G178" s="251" t="s">
        <v>680</v>
      </c>
      <c r="H178" s="251" t="s">
        <v>681</v>
      </c>
      <c r="I178" s="251" t="s">
        <v>682</v>
      </c>
      <c r="J178" s="251" t="s">
        <v>1346</v>
      </c>
      <c r="K178" s="251" t="s">
        <v>1355</v>
      </c>
    </row>
    <row r="179" spans="2:11">
      <c r="B179" s="250">
        <v>177</v>
      </c>
      <c r="C179" s="251" t="s">
        <v>1356</v>
      </c>
      <c r="D179" s="251" t="s">
        <v>1357</v>
      </c>
      <c r="E179" s="251" t="s">
        <v>1358</v>
      </c>
      <c r="F179" s="251" t="s">
        <v>679</v>
      </c>
      <c r="G179" s="251" t="s">
        <v>680</v>
      </c>
      <c r="H179" s="251" t="s">
        <v>681</v>
      </c>
      <c r="I179" s="251" t="s">
        <v>682</v>
      </c>
      <c r="J179" s="251" t="s">
        <v>1346</v>
      </c>
      <c r="K179" s="251" t="s">
        <v>1359</v>
      </c>
    </row>
    <row r="180" spans="2:11">
      <c r="B180" s="250">
        <v>178</v>
      </c>
      <c r="C180" s="251" t="s">
        <v>1360</v>
      </c>
      <c r="D180" s="251" t="s">
        <v>1361</v>
      </c>
      <c r="E180" s="251" t="s">
        <v>1362</v>
      </c>
      <c r="F180" s="251" t="s">
        <v>679</v>
      </c>
      <c r="G180" s="251" t="s">
        <v>680</v>
      </c>
      <c r="H180" s="251" t="s">
        <v>681</v>
      </c>
      <c r="I180" s="251" t="s">
        <v>682</v>
      </c>
      <c r="J180" s="251" t="s">
        <v>1346</v>
      </c>
      <c r="K180" s="251" t="s">
        <v>1363</v>
      </c>
    </row>
    <row r="181" spans="2:11">
      <c r="B181" s="250">
        <v>179</v>
      </c>
      <c r="C181" s="251" t="s">
        <v>1364</v>
      </c>
      <c r="D181" s="251" t="s">
        <v>1365</v>
      </c>
      <c r="E181" s="251" t="s">
        <v>1366</v>
      </c>
      <c r="F181" s="251" t="s">
        <v>679</v>
      </c>
      <c r="G181" s="251" t="s">
        <v>680</v>
      </c>
      <c r="H181" s="251" t="s">
        <v>681</v>
      </c>
      <c r="I181" s="251" t="s">
        <v>682</v>
      </c>
      <c r="J181" s="251" t="s">
        <v>1346</v>
      </c>
      <c r="K181" s="251" t="s">
        <v>1367</v>
      </c>
    </row>
    <row r="182" spans="2:11">
      <c r="B182" s="250">
        <v>180</v>
      </c>
      <c r="C182" s="251" t="s">
        <v>1368</v>
      </c>
      <c r="D182" s="251"/>
      <c r="E182" s="251" t="s">
        <v>1369</v>
      </c>
      <c r="F182" s="251" t="s">
        <v>679</v>
      </c>
      <c r="G182" s="251" t="s">
        <v>680</v>
      </c>
      <c r="H182" s="251" t="s">
        <v>681</v>
      </c>
      <c r="I182" s="251" t="s">
        <v>682</v>
      </c>
      <c r="J182" s="251" t="s">
        <v>1346</v>
      </c>
      <c r="K182" s="251" t="s">
        <v>1370</v>
      </c>
    </row>
    <row r="183" spans="2:11">
      <c r="B183" s="250">
        <v>181</v>
      </c>
      <c r="C183" s="251" t="s">
        <v>1371</v>
      </c>
      <c r="D183" s="251" t="s">
        <v>1372</v>
      </c>
      <c r="E183" s="251" t="s">
        <v>1373</v>
      </c>
      <c r="F183" s="251" t="s">
        <v>679</v>
      </c>
      <c r="G183" s="251" t="s">
        <v>680</v>
      </c>
      <c r="H183" s="251" t="s">
        <v>681</v>
      </c>
      <c r="I183" s="251" t="s">
        <v>682</v>
      </c>
      <c r="J183" s="251" t="s">
        <v>1346</v>
      </c>
      <c r="K183" s="251" t="s">
        <v>1374</v>
      </c>
    </row>
    <row r="184" spans="2:11">
      <c r="B184" s="250">
        <v>182</v>
      </c>
      <c r="C184" s="251" t="s">
        <v>1375</v>
      </c>
      <c r="D184" s="251" t="s">
        <v>1376</v>
      </c>
      <c r="E184" s="251" t="s">
        <v>790</v>
      </c>
      <c r="F184" s="251" t="s">
        <v>679</v>
      </c>
      <c r="G184" s="251" t="s">
        <v>680</v>
      </c>
      <c r="H184" s="251" t="s">
        <v>681</v>
      </c>
      <c r="I184" s="251" t="s">
        <v>682</v>
      </c>
      <c r="J184" s="251" t="s">
        <v>1346</v>
      </c>
      <c r="K184" s="251" t="s">
        <v>1377</v>
      </c>
    </row>
    <row r="185" spans="2:11">
      <c r="B185" s="250">
        <v>183</v>
      </c>
      <c r="C185" s="251" t="s">
        <v>1378</v>
      </c>
      <c r="D185" s="251" t="s">
        <v>1379</v>
      </c>
      <c r="E185" s="251" t="s">
        <v>1287</v>
      </c>
      <c r="F185" s="251" t="s">
        <v>679</v>
      </c>
      <c r="G185" s="251" t="s">
        <v>680</v>
      </c>
      <c r="H185" s="251" t="s">
        <v>681</v>
      </c>
      <c r="I185" s="251" t="s">
        <v>682</v>
      </c>
      <c r="J185" s="251" t="s">
        <v>1346</v>
      </c>
      <c r="K185" s="251" t="s">
        <v>1380</v>
      </c>
    </row>
    <row r="186" spans="2:11">
      <c r="B186" s="250">
        <v>184</v>
      </c>
      <c r="C186" s="251" t="s">
        <v>1381</v>
      </c>
      <c r="D186" s="251" t="s">
        <v>1382</v>
      </c>
      <c r="E186" s="251" t="s">
        <v>1383</v>
      </c>
      <c r="F186" s="251" t="s">
        <v>679</v>
      </c>
      <c r="G186" s="251" t="s">
        <v>680</v>
      </c>
      <c r="H186" s="251" t="s">
        <v>681</v>
      </c>
      <c r="I186" s="251" t="s">
        <v>682</v>
      </c>
      <c r="J186" s="251" t="s">
        <v>1346</v>
      </c>
      <c r="K186" s="251" t="s">
        <v>1384</v>
      </c>
    </row>
    <row r="187" spans="2:11">
      <c r="B187" s="250">
        <v>185</v>
      </c>
      <c r="C187" s="251" t="s">
        <v>1385</v>
      </c>
      <c r="D187" s="251" t="s">
        <v>1386</v>
      </c>
      <c r="E187" s="251" t="s">
        <v>1031</v>
      </c>
      <c r="F187" s="251" t="s">
        <v>679</v>
      </c>
      <c r="G187" s="251" t="s">
        <v>680</v>
      </c>
      <c r="H187" s="251" t="s">
        <v>681</v>
      </c>
      <c r="I187" s="251" t="s">
        <v>682</v>
      </c>
      <c r="J187" s="251" t="s">
        <v>1346</v>
      </c>
      <c r="K187" s="251" t="s">
        <v>1387</v>
      </c>
    </row>
    <row r="188" spans="2:11">
      <c r="B188" s="250">
        <v>186</v>
      </c>
      <c r="C188" s="251" t="s">
        <v>1388</v>
      </c>
      <c r="D188" s="251" t="s">
        <v>1389</v>
      </c>
      <c r="E188" s="251" t="s">
        <v>1390</v>
      </c>
      <c r="F188" s="251" t="s">
        <v>679</v>
      </c>
      <c r="G188" s="251" t="s">
        <v>680</v>
      </c>
      <c r="H188" s="251" t="s">
        <v>681</v>
      </c>
      <c r="I188" s="251" t="s">
        <v>682</v>
      </c>
      <c r="J188" s="251" t="s">
        <v>1346</v>
      </c>
      <c r="K188" s="251" t="s">
        <v>1391</v>
      </c>
    </row>
    <row r="189" spans="2:11">
      <c r="B189" s="250">
        <v>187</v>
      </c>
      <c r="C189" s="251" t="s">
        <v>1388</v>
      </c>
      <c r="D189" s="251" t="s">
        <v>1389</v>
      </c>
      <c r="E189" s="251" t="s">
        <v>1390</v>
      </c>
      <c r="F189" s="251" t="s">
        <v>679</v>
      </c>
      <c r="G189" s="251" t="s">
        <v>680</v>
      </c>
      <c r="H189" s="251" t="s">
        <v>681</v>
      </c>
      <c r="I189" s="251" t="s">
        <v>682</v>
      </c>
      <c r="J189" s="251" t="s">
        <v>1346</v>
      </c>
      <c r="K189" s="251" t="s">
        <v>1391</v>
      </c>
    </row>
    <row r="190" spans="2:11">
      <c r="B190" s="250">
        <v>188</v>
      </c>
      <c r="C190" s="251" t="s">
        <v>1392</v>
      </c>
      <c r="D190" s="251" t="s">
        <v>1393</v>
      </c>
      <c r="E190" s="251" t="s">
        <v>1008</v>
      </c>
      <c r="F190" s="251" t="s">
        <v>679</v>
      </c>
      <c r="G190" s="251" t="s">
        <v>680</v>
      </c>
      <c r="H190" s="251" t="s">
        <v>681</v>
      </c>
      <c r="I190" s="251" t="s">
        <v>682</v>
      </c>
      <c r="J190" s="251" t="s">
        <v>1346</v>
      </c>
      <c r="K190" s="251" t="s">
        <v>1394</v>
      </c>
    </row>
    <row r="191" spans="2:11">
      <c r="B191" s="250">
        <v>189</v>
      </c>
      <c r="C191" s="251" t="s">
        <v>1395</v>
      </c>
      <c r="D191" s="251" t="s">
        <v>1396</v>
      </c>
      <c r="E191" s="251" t="s">
        <v>1397</v>
      </c>
      <c r="F191" s="251" t="s">
        <v>679</v>
      </c>
      <c r="G191" s="251" t="s">
        <v>680</v>
      </c>
      <c r="H191" s="251" t="s">
        <v>681</v>
      </c>
      <c r="I191" s="251" t="s">
        <v>682</v>
      </c>
      <c r="J191" s="251" t="s">
        <v>1346</v>
      </c>
      <c r="K191" s="251" t="s">
        <v>1398</v>
      </c>
    </row>
    <row r="192" spans="2:11">
      <c r="B192" s="250">
        <v>190</v>
      </c>
      <c r="C192" s="251" t="s">
        <v>1399</v>
      </c>
      <c r="D192" s="251" t="s">
        <v>1400</v>
      </c>
      <c r="E192" s="251" t="s">
        <v>678</v>
      </c>
      <c r="F192" s="251" t="s">
        <v>679</v>
      </c>
      <c r="G192" s="251" t="s">
        <v>680</v>
      </c>
      <c r="H192" s="251" t="s">
        <v>681</v>
      </c>
      <c r="I192" s="251" t="s">
        <v>682</v>
      </c>
      <c r="J192" s="251" t="s">
        <v>1346</v>
      </c>
      <c r="K192" s="251" t="s">
        <v>1401</v>
      </c>
    </row>
    <row r="193" spans="2:11">
      <c r="B193" s="250">
        <v>191</v>
      </c>
      <c r="C193" s="251" t="s">
        <v>1402</v>
      </c>
      <c r="D193" s="251" t="s">
        <v>1403</v>
      </c>
      <c r="E193" s="251" t="s">
        <v>1404</v>
      </c>
      <c r="F193" s="251" t="s">
        <v>679</v>
      </c>
      <c r="G193" s="251" t="s">
        <v>680</v>
      </c>
      <c r="H193" s="251" t="s">
        <v>681</v>
      </c>
      <c r="I193" s="251" t="s">
        <v>682</v>
      </c>
      <c r="J193" s="251" t="s">
        <v>1346</v>
      </c>
      <c r="K193" s="251" t="s">
        <v>1405</v>
      </c>
    </row>
    <row r="194" spans="2:11">
      <c r="B194" s="250">
        <v>192</v>
      </c>
      <c r="C194" s="251" t="s">
        <v>1406</v>
      </c>
      <c r="D194" s="251" t="s">
        <v>1407</v>
      </c>
      <c r="E194" s="251" t="s">
        <v>1408</v>
      </c>
      <c r="F194" s="251" t="s">
        <v>679</v>
      </c>
      <c r="G194" s="251" t="s">
        <v>680</v>
      </c>
      <c r="H194" s="251" t="s">
        <v>681</v>
      </c>
      <c r="I194" s="251" t="s">
        <v>682</v>
      </c>
      <c r="J194" s="251" t="s">
        <v>1346</v>
      </c>
      <c r="K194" s="251" t="s">
        <v>1409</v>
      </c>
    </row>
    <row r="195" spans="2:11">
      <c r="B195" s="250">
        <v>193</v>
      </c>
      <c r="C195" s="251" t="s">
        <v>1410</v>
      </c>
      <c r="D195" s="251" t="s">
        <v>1411</v>
      </c>
      <c r="E195" s="251" t="s">
        <v>823</v>
      </c>
      <c r="F195" s="251" t="s">
        <v>679</v>
      </c>
      <c r="G195" s="251" t="s">
        <v>680</v>
      </c>
      <c r="H195" s="251" t="s">
        <v>681</v>
      </c>
      <c r="I195" s="251" t="s">
        <v>682</v>
      </c>
      <c r="J195" s="251" t="s">
        <v>1346</v>
      </c>
      <c r="K195" s="251" t="s">
        <v>1412</v>
      </c>
    </row>
    <row r="196" spans="2:11">
      <c r="B196" s="250">
        <v>194</v>
      </c>
      <c r="C196" s="251" t="s">
        <v>1413</v>
      </c>
      <c r="D196" s="251" t="s">
        <v>1414</v>
      </c>
      <c r="E196" s="251" t="s">
        <v>1083</v>
      </c>
      <c r="F196" s="251" t="s">
        <v>679</v>
      </c>
      <c r="G196" s="251" t="s">
        <v>680</v>
      </c>
      <c r="H196" s="251" t="s">
        <v>681</v>
      </c>
      <c r="I196" s="251" t="s">
        <v>682</v>
      </c>
      <c r="J196" s="251" t="s">
        <v>1346</v>
      </c>
      <c r="K196" s="251" t="s">
        <v>1415</v>
      </c>
    </row>
    <row r="197" spans="2:11">
      <c r="B197" s="250">
        <v>195</v>
      </c>
      <c r="C197" s="251" t="s">
        <v>1416</v>
      </c>
      <c r="D197" s="251" t="s">
        <v>1417</v>
      </c>
      <c r="E197" s="251" t="s">
        <v>1418</v>
      </c>
      <c r="F197" s="251" t="s">
        <v>679</v>
      </c>
      <c r="G197" s="251" t="s">
        <v>680</v>
      </c>
      <c r="H197" s="251" t="s">
        <v>681</v>
      </c>
      <c r="I197" s="251" t="s">
        <v>682</v>
      </c>
      <c r="J197" s="251" t="s">
        <v>1346</v>
      </c>
      <c r="K197" s="251" t="s">
        <v>1419</v>
      </c>
    </row>
    <row r="198" spans="2:11">
      <c r="B198" s="250">
        <v>196</v>
      </c>
      <c r="C198" s="251" t="s">
        <v>1420</v>
      </c>
      <c r="D198" s="251" t="s">
        <v>1421</v>
      </c>
      <c r="E198" s="251" t="s">
        <v>1422</v>
      </c>
      <c r="F198" s="251" t="s">
        <v>679</v>
      </c>
      <c r="G198" s="251" t="s">
        <v>680</v>
      </c>
      <c r="H198" s="251" t="s">
        <v>681</v>
      </c>
      <c r="I198" s="251" t="s">
        <v>682</v>
      </c>
      <c r="J198" s="251" t="s">
        <v>1346</v>
      </c>
      <c r="K198" s="251" t="s">
        <v>1423</v>
      </c>
    </row>
    <row r="199" spans="2:11">
      <c r="B199" s="250">
        <v>197</v>
      </c>
      <c r="C199" s="251" t="s">
        <v>1424</v>
      </c>
      <c r="D199" s="251" t="s">
        <v>1425</v>
      </c>
      <c r="E199" s="251" t="s">
        <v>1426</v>
      </c>
      <c r="F199" s="251" t="s">
        <v>679</v>
      </c>
      <c r="G199" s="251" t="s">
        <v>680</v>
      </c>
      <c r="H199" s="251" t="s">
        <v>681</v>
      </c>
      <c r="I199" s="251" t="s">
        <v>682</v>
      </c>
      <c r="J199" s="251" t="s">
        <v>1346</v>
      </c>
      <c r="K199" s="251" t="s">
        <v>1427</v>
      </c>
    </row>
    <row r="200" spans="2:11">
      <c r="B200" s="250">
        <v>198</v>
      </c>
      <c r="C200" s="251" t="s">
        <v>1428</v>
      </c>
      <c r="D200" s="251" t="s">
        <v>1429</v>
      </c>
      <c r="E200" s="251" t="s">
        <v>1430</v>
      </c>
      <c r="F200" s="251" t="s">
        <v>679</v>
      </c>
      <c r="G200" s="251" t="s">
        <v>680</v>
      </c>
      <c r="H200" s="251" t="s">
        <v>681</v>
      </c>
      <c r="I200" s="251" t="s">
        <v>682</v>
      </c>
      <c r="J200" s="251" t="s">
        <v>1346</v>
      </c>
      <c r="K200" s="251" t="s">
        <v>1431</v>
      </c>
    </row>
    <row r="201" spans="2:11">
      <c r="B201" s="250">
        <v>199</v>
      </c>
      <c r="C201" s="251" t="s">
        <v>1432</v>
      </c>
      <c r="D201" s="251" t="s">
        <v>1433</v>
      </c>
      <c r="E201" s="251" t="s">
        <v>1016</v>
      </c>
      <c r="F201" s="251" t="s">
        <v>679</v>
      </c>
      <c r="G201" s="251" t="s">
        <v>680</v>
      </c>
      <c r="H201" s="251" t="s">
        <v>681</v>
      </c>
      <c r="I201" s="251" t="s">
        <v>682</v>
      </c>
      <c r="J201" s="251" t="s">
        <v>1346</v>
      </c>
      <c r="K201" s="251" t="s">
        <v>1434</v>
      </c>
    </row>
    <row r="202" spans="2:11">
      <c r="B202" s="250">
        <v>200</v>
      </c>
      <c r="C202" s="251" t="s">
        <v>1435</v>
      </c>
      <c r="D202" s="251" t="s">
        <v>1436</v>
      </c>
      <c r="E202" s="251" t="s">
        <v>1437</v>
      </c>
      <c r="F202" s="251" t="s">
        <v>679</v>
      </c>
      <c r="G202" s="251" t="s">
        <v>680</v>
      </c>
      <c r="H202" s="251" t="s">
        <v>681</v>
      </c>
      <c r="I202" s="251" t="s">
        <v>682</v>
      </c>
      <c r="J202" s="251" t="s">
        <v>1346</v>
      </c>
      <c r="K202" s="251" t="s">
        <v>1438</v>
      </c>
    </row>
    <row r="203" spans="2:11">
      <c r="B203" s="250">
        <v>201</v>
      </c>
      <c r="C203" s="251" t="s">
        <v>1439</v>
      </c>
      <c r="D203" s="251" t="s">
        <v>1440</v>
      </c>
      <c r="E203" s="251" t="s">
        <v>1441</v>
      </c>
      <c r="F203" s="251" t="s">
        <v>679</v>
      </c>
      <c r="G203" s="251" t="s">
        <v>680</v>
      </c>
      <c r="H203" s="251" t="s">
        <v>681</v>
      </c>
      <c r="I203" s="251" t="s">
        <v>682</v>
      </c>
      <c r="J203" s="251" t="s">
        <v>1346</v>
      </c>
      <c r="K203" s="251" t="s">
        <v>1442</v>
      </c>
    </row>
    <row r="204" spans="2:11">
      <c r="B204" s="250">
        <v>202</v>
      </c>
      <c r="C204" s="251" t="s">
        <v>1443</v>
      </c>
      <c r="D204" s="251" t="s">
        <v>1444</v>
      </c>
      <c r="E204" s="251" t="s">
        <v>1445</v>
      </c>
      <c r="F204" s="251" t="s">
        <v>679</v>
      </c>
      <c r="G204" s="251" t="s">
        <v>680</v>
      </c>
      <c r="H204" s="251" t="s">
        <v>681</v>
      </c>
      <c r="I204" s="251" t="s">
        <v>682</v>
      </c>
      <c r="J204" s="251" t="s">
        <v>1346</v>
      </c>
      <c r="K204" s="251" t="s">
        <v>1446</v>
      </c>
    </row>
    <row r="205" spans="2:11">
      <c r="B205" s="250">
        <v>203</v>
      </c>
      <c r="C205" s="251" t="s">
        <v>1447</v>
      </c>
      <c r="D205" s="251" t="s">
        <v>1448</v>
      </c>
      <c r="E205" s="251" t="s">
        <v>1449</v>
      </c>
      <c r="F205" s="251" t="s">
        <v>679</v>
      </c>
      <c r="G205" s="251" t="s">
        <v>680</v>
      </c>
      <c r="H205" s="251" t="s">
        <v>681</v>
      </c>
      <c r="I205" s="251" t="s">
        <v>682</v>
      </c>
      <c r="J205" s="251" t="s">
        <v>1346</v>
      </c>
      <c r="K205" s="251" t="s">
        <v>1450</v>
      </c>
    </row>
    <row r="206" spans="2:11">
      <c r="B206" s="250">
        <v>204</v>
      </c>
      <c r="C206" s="251" t="s">
        <v>1451</v>
      </c>
      <c r="D206" s="251" t="s">
        <v>1452</v>
      </c>
      <c r="E206" s="251" t="s">
        <v>933</v>
      </c>
      <c r="F206" s="251" t="s">
        <v>679</v>
      </c>
      <c r="G206" s="251" t="s">
        <v>680</v>
      </c>
      <c r="H206" s="251" t="s">
        <v>681</v>
      </c>
      <c r="I206" s="251" t="s">
        <v>682</v>
      </c>
      <c r="J206" s="251" t="s">
        <v>1346</v>
      </c>
      <c r="K206" s="251" t="s">
        <v>1453</v>
      </c>
    </row>
    <row r="207" spans="2:11">
      <c r="B207" s="250">
        <v>205</v>
      </c>
      <c r="C207" s="251" t="s">
        <v>1454</v>
      </c>
      <c r="D207" s="251" t="s">
        <v>1455</v>
      </c>
      <c r="E207" s="251" t="s">
        <v>678</v>
      </c>
      <c r="F207" s="251" t="s">
        <v>679</v>
      </c>
      <c r="G207" s="251" t="s">
        <v>680</v>
      </c>
      <c r="H207" s="251" t="s">
        <v>681</v>
      </c>
      <c r="I207" s="251" t="s">
        <v>682</v>
      </c>
      <c r="J207" s="251" t="s">
        <v>1346</v>
      </c>
      <c r="K207" s="251" t="s">
        <v>1456</v>
      </c>
    </row>
    <row r="208" spans="2:11">
      <c r="B208" s="250">
        <v>206</v>
      </c>
      <c r="C208" s="251" t="s">
        <v>1457</v>
      </c>
      <c r="D208" s="251" t="s">
        <v>1458</v>
      </c>
      <c r="E208" s="251" t="s">
        <v>1459</v>
      </c>
      <c r="F208" s="251" t="s">
        <v>679</v>
      </c>
      <c r="G208" s="251" t="s">
        <v>680</v>
      </c>
      <c r="H208" s="251" t="s">
        <v>681</v>
      </c>
      <c r="I208" s="251" t="s">
        <v>682</v>
      </c>
      <c r="J208" s="251" t="s">
        <v>1346</v>
      </c>
      <c r="K208" s="251" t="s">
        <v>1460</v>
      </c>
    </row>
    <row r="209" spans="2:11">
      <c r="B209" s="250">
        <v>207</v>
      </c>
      <c r="C209" s="251" t="s">
        <v>1461</v>
      </c>
      <c r="D209" s="251" t="s">
        <v>1462</v>
      </c>
      <c r="E209" s="251" t="s">
        <v>1463</v>
      </c>
      <c r="F209" s="251" t="s">
        <v>679</v>
      </c>
      <c r="G209" s="251" t="s">
        <v>680</v>
      </c>
      <c r="H209" s="251" t="s">
        <v>681</v>
      </c>
      <c r="I209" s="251" t="s">
        <v>682</v>
      </c>
      <c r="J209" s="251" t="s">
        <v>1346</v>
      </c>
      <c r="K209" s="251" t="s">
        <v>1464</v>
      </c>
    </row>
    <row r="210" spans="2:11">
      <c r="B210" s="250">
        <v>208</v>
      </c>
      <c r="C210" s="251" t="s">
        <v>1465</v>
      </c>
      <c r="D210" s="251"/>
      <c r="E210" s="251" t="s">
        <v>1466</v>
      </c>
      <c r="F210" s="251" t="s">
        <v>679</v>
      </c>
      <c r="G210" s="251" t="s">
        <v>680</v>
      </c>
      <c r="H210" s="251" t="s">
        <v>681</v>
      </c>
      <c r="I210" s="251" t="s">
        <v>682</v>
      </c>
      <c r="J210" s="251" t="s">
        <v>1346</v>
      </c>
      <c r="K210" s="251" t="s">
        <v>1467</v>
      </c>
    </row>
    <row r="211" spans="2:11">
      <c r="B211" s="250">
        <v>209</v>
      </c>
      <c r="C211" s="251" t="s">
        <v>1468</v>
      </c>
      <c r="D211" s="251" t="s">
        <v>1469</v>
      </c>
      <c r="E211" s="251" t="s">
        <v>1470</v>
      </c>
      <c r="F211" s="251" t="s">
        <v>679</v>
      </c>
      <c r="G211" s="251" t="s">
        <v>680</v>
      </c>
      <c r="H211" s="251" t="s">
        <v>681</v>
      </c>
      <c r="I211" s="251" t="s">
        <v>682</v>
      </c>
      <c r="J211" s="251" t="s">
        <v>1471</v>
      </c>
      <c r="K211" s="251" t="s">
        <v>1472</v>
      </c>
    </row>
    <row r="212" spans="2:11">
      <c r="B212" s="250">
        <v>210</v>
      </c>
      <c r="C212" s="251" t="s">
        <v>1473</v>
      </c>
      <c r="D212" s="251" t="s">
        <v>1474</v>
      </c>
      <c r="E212" s="251" t="s">
        <v>1475</v>
      </c>
      <c r="F212" s="251" t="s">
        <v>679</v>
      </c>
      <c r="G212" s="251" t="s">
        <v>680</v>
      </c>
      <c r="H212" s="251" t="s">
        <v>681</v>
      </c>
      <c r="I212" s="251" t="s">
        <v>682</v>
      </c>
      <c r="J212" s="251" t="s">
        <v>1471</v>
      </c>
      <c r="K212" s="251" t="s">
        <v>1476</v>
      </c>
    </row>
    <row r="213" spans="2:11">
      <c r="B213" s="250">
        <v>211</v>
      </c>
      <c r="C213" s="251" t="s">
        <v>1477</v>
      </c>
      <c r="D213" s="251" t="s">
        <v>1478</v>
      </c>
      <c r="E213" s="251" t="s">
        <v>1479</v>
      </c>
      <c r="F213" s="251" t="s">
        <v>679</v>
      </c>
      <c r="G213" s="251" t="s">
        <v>680</v>
      </c>
      <c r="H213" s="251" t="s">
        <v>681</v>
      </c>
      <c r="I213" s="251" t="s">
        <v>682</v>
      </c>
      <c r="J213" s="251" t="s">
        <v>1471</v>
      </c>
      <c r="K213" s="251" t="s">
        <v>1480</v>
      </c>
    </row>
    <row r="214" spans="2:11">
      <c r="B214" s="250">
        <v>212</v>
      </c>
      <c r="C214" s="251" t="s">
        <v>1481</v>
      </c>
      <c r="D214" s="251" t="s">
        <v>1482</v>
      </c>
      <c r="E214" s="251" t="s">
        <v>1483</v>
      </c>
      <c r="F214" s="251" t="s">
        <v>679</v>
      </c>
      <c r="G214" s="251" t="s">
        <v>680</v>
      </c>
      <c r="H214" s="251" t="s">
        <v>681</v>
      </c>
      <c r="I214" s="251" t="s">
        <v>682</v>
      </c>
      <c r="J214" s="251" t="s">
        <v>1471</v>
      </c>
      <c r="K214" s="251" t="s">
        <v>1484</v>
      </c>
    </row>
    <row r="215" spans="2:11">
      <c r="B215" s="250">
        <v>213</v>
      </c>
      <c r="C215" s="251" t="s">
        <v>1485</v>
      </c>
      <c r="D215" s="251" t="s">
        <v>1486</v>
      </c>
      <c r="E215" s="251" t="s">
        <v>678</v>
      </c>
      <c r="F215" s="251" t="s">
        <v>679</v>
      </c>
      <c r="G215" s="251" t="s">
        <v>680</v>
      </c>
      <c r="H215" s="251" t="s">
        <v>681</v>
      </c>
      <c r="I215" s="251" t="s">
        <v>682</v>
      </c>
      <c r="J215" s="251" t="s">
        <v>1471</v>
      </c>
      <c r="K215" s="251" t="s">
        <v>1487</v>
      </c>
    </row>
    <row r="216" spans="2:11">
      <c r="B216" s="250">
        <v>214</v>
      </c>
      <c r="C216" s="251" t="s">
        <v>1488</v>
      </c>
      <c r="D216" s="251"/>
      <c r="E216" s="251" t="s">
        <v>1489</v>
      </c>
      <c r="F216" s="251" t="s">
        <v>679</v>
      </c>
      <c r="G216" s="251" t="s">
        <v>680</v>
      </c>
      <c r="H216" s="251" t="s">
        <v>681</v>
      </c>
      <c r="I216" s="251" t="s">
        <v>682</v>
      </c>
      <c r="J216" s="251" t="s">
        <v>1471</v>
      </c>
      <c r="K216" s="251" t="s">
        <v>1490</v>
      </c>
    </row>
    <row r="217" spans="2:11">
      <c r="B217" s="250">
        <v>215</v>
      </c>
      <c r="C217" s="251" t="s">
        <v>1491</v>
      </c>
      <c r="D217" s="251" t="s">
        <v>1492</v>
      </c>
      <c r="E217" s="251" t="s">
        <v>703</v>
      </c>
      <c r="F217" s="251" t="s">
        <v>679</v>
      </c>
      <c r="G217" s="251" t="s">
        <v>680</v>
      </c>
      <c r="H217" s="251" t="s">
        <v>681</v>
      </c>
      <c r="I217" s="251" t="s">
        <v>682</v>
      </c>
      <c r="J217" s="251" t="s">
        <v>1493</v>
      </c>
      <c r="K217" s="251" t="s">
        <v>1195</v>
      </c>
    </row>
    <row r="218" spans="2:11">
      <c r="B218" s="250">
        <v>216</v>
      </c>
      <c r="C218" s="251" t="s">
        <v>1494</v>
      </c>
      <c r="D218" s="251" t="s">
        <v>1495</v>
      </c>
      <c r="E218" s="251" t="s">
        <v>1496</v>
      </c>
      <c r="F218" s="251" t="s">
        <v>679</v>
      </c>
      <c r="G218" s="251" t="s">
        <v>680</v>
      </c>
      <c r="H218" s="251" t="s">
        <v>681</v>
      </c>
      <c r="I218" s="251" t="s">
        <v>682</v>
      </c>
      <c r="J218" s="251" t="s">
        <v>1493</v>
      </c>
      <c r="K218" s="251" t="s">
        <v>1497</v>
      </c>
    </row>
    <row r="219" spans="2:11">
      <c r="B219" s="250">
        <v>217</v>
      </c>
      <c r="C219" s="251" t="s">
        <v>1498</v>
      </c>
      <c r="D219" s="251" t="s">
        <v>1499</v>
      </c>
      <c r="E219" s="251" t="s">
        <v>1500</v>
      </c>
      <c r="F219" s="251" t="s">
        <v>679</v>
      </c>
      <c r="G219" s="251" t="s">
        <v>680</v>
      </c>
      <c r="H219" s="251" t="s">
        <v>681</v>
      </c>
      <c r="I219" s="251" t="s">
        <v>682</v>
      </c>
      <c r="J219" s="251" t="s">
        <v>1493</v>
      </c>
      <c r="K219" s="251" t="s">
        <v>1501</v>
      </c>
    </row>
    <row r="220" spans="2:11">
      <c r="B220" s="250">
        <v>218</v>
      </c>
      <c r="C220" s="251" t="s">
        <v>1502</v>
      </c>
      <c r="D220" s="251" t="s">
        <v>1503</v>
      </c>
      <c r="E220" s="251" t="s">
        <v>1504</v>
      </c>
      <c r="F220" s="251" t="s">
        <v>679</v>
      </c>
      <c r="G220" s="251" t="s">
        <v>680</v>
      </c>
      <c r="H220" s="251" t="s">
        <v>681</v>
      </c>
      <c r="I220" s="251" t="s">
        <v>682</v>
      </c>
      <c r="J220" s="251" t="s">
        <v>1493</v>
      </c>
      <c r="K220" s="251" t="s">
        <v>1505</v>
      </c>
    </row>
    <row r="221" spans="2:11">
      <c r="B221" s="250">
        <v>219</v>
      </c>
      <c r="C221" s="251" t="s">
        <v>1506</v>
      </c>
      <c r="D221" s="251" t="s">
        <v>1507</v>
      </c>
      <c r="E221" s="251" t="s">
        <v>1046</v>
      </c>
      <c r="F221" s="251" t="s">
        <v>679</v>
      </c>
      <c r="G221" s="251" t="s">
        <v>680</v>
      </c>
      <c r="H221" s="251" t="s">
        <v>681</v>
      </c>
      <c r="I221" s="251" t="s">
        <v>682</v>
      </c>
      <c r="J221" s="251" t="s">
        <v>1493</v>
      </c>
      <c r="K221" s="251" t="s">
        <v>1508</v>
      </c>
    </row>
    <row r="222" spans="2:11">
      <c r="B222" s="250">
        <v>220</v>
      </c>
      <c r="C222" s="251" t="s">
        <v>1509</v>
      </c>
      <c r="D222" s="251" t="s">
        <v>1510</v>
      </c>
      <c r="E222" s="251" t="s">
        <v>916</v>
      </c>
      <c r="F222" s="251" t="s">
        <v>679</v>
      </c>
      <c r="G222" s="251" t="s">
        <v>680</v>
      </c>
      <c r="H222" s="251" t="s">
        <v>681</v>
      </c>
      <c r="I222" s="251" t="s">
        <v>682</v>
      </c>
      <c r="J222" s="251" t="s">
        <v>1493</v>
      </c>
      <c r="K222" s="251" t="s">
        <v>1511</v>
      </c>
    </row>
    <row r="223" spans="2:11">
      <c r="B223" s="250">
        <v>221</v>
      </c>
      <c r="C223" s="251" t="s">
        <v>1512</v>
      </c>
      <c r="D223" s="251" t="s">
        <v>1513</v>
      </c>
      <c r="E223" s="251" t="s">
        <v>1205</v>
      </c>
      <c r="F223" s="251" t="s">
        <v>679</v>
      </c>
      <c r="G223" s="251" t="s">
        <v>680</v>
      </c>
      <c r="H223" s="251" t="s">
        <v>681</v>
      </c>
      <c r="I223" s="251" t="s">
        <v>682</v>
      </c>
      <c r="J223" s="251" t="s">
        <v>1493</v>
      </c>
      <c r="K223" s="251" t="s">
        <v>1514</v>
      </c>
    </row>
    <row r="224" spans="2:11">
      <c r="B224" s="250">
        <v>222</v>
      </c>
      <c r="C224" s="251" t="s">
        <v>1515</v>
      </c>
      <c r="D224" s="251" t="s">
        <v>1516</v>
      </c>
      <c r="E224" s="251" t="s">
        <v>1517</v>
      </c>
      <c r="F224" s="251" t="s">
        <v>679</v>
      </c>
      <c r="G224" s="251" t="s">
        <v>680</v>
      </c>
      <c r="H224" s="251" t="s">
        <v>681</v>
      </c>
      <c r="I224" s="251" t="s">
        <v>682</v>
      </c>
      <c r="J224" s="251" t="s">
        <v>1493</v>
      </c>
      <c r="K224" s="251" t="s">
        <v>1518</v>
      </c>
    </row>
    <row r="225" spans="2:11">
      <c r="B225" s="250">
        <v>223</v>
      </c>
      <c r="C225" s="251" t="s">
        <v>1519</v>
      </c>
      <c r="D225" s="251" t="s">
        <v>1520</v>
      </c>
      <c r="E225" s="251" t="s">
        <v>1521</v>
      </c>
      <c r="F225" s="251" t="s">
        <v>679</v>
      </c>
      <c r="G225" s="251" t="s">
        <v>680</v>
      </c>
      <c r="H225" s="251" t="s">
        <v>681</v>
      </c>
      <c r="I225" s="251" t="s">
        <v>682</v>
      </c>
      <c r="J225" s="251" t="s">
        <v>1493</v>
      </c>
      <c r="K225" s="251" t="s">
        <v>1522</v>
      </c>
    </row>
    <row r="226" spans="2:11">
      <c r="B226" s="250">
        <v>224</v>
      </c>
      <c r="C226" s="251" t="s">
        <v>1523</v>
      </c>
      <c r="D226" s="251" t="s">
        <v>1524</v>
      </c>
      <c r="E226" s="251" t="s">
        <v>727</v>
      </c>
      <c r="F226" s="251" t="s">
        <v>679</v>
      </c>
      <c r="G226" s="251" t="s">
        <v>680</v>
      </c>
      <c r="H226" s="251" t="s">
        <v>681</v>
      </c>
      <c r="I226" s="251" t="s">
        <v>682</v>
      </c>
      <c r="J226" s="251" t="s">
        <v>1493</v>
      </c>
      <c r="K226" s="251" t="s">
        <v>1525</v>
      </c>
    </row>
    <row r="227" spans="2:11">
      <c r="B227" s="250">
        <v>225</v>
      </c>
      <c r="C227" s="251" t="s">
        <v>1526</v>
      </c>
      <c r="D227" s="251" t="s">
        <v>1527</v>
      </c>
      <c r="E227" s="251" t="s">
        <v>1528</v>
      </c>
      <c r="F227" s="251" t="s">
        <v>679</v>
      </c>
      <c r="G227" s="251" t="s">
        <v>680</v>
      </c>
      <c r="H227" s="251" t="s">
        <v>681</v>
      </c>
      <c r="I227" s="251" t="s">
        <v>682</v>
      </c>
      <c r="J227" s="251" t="s">
        <v>1493</v>
      </c>
      <c r="K227" s="251" t="s">
        <v>1529</v>
      </c>
    </row>
    <row r="228" spans="2:11">
      <c r="B228" s="250">
        <v>226</v>
      </c>
      <c r="C228" s="251" t="s">
        <v>1530</v>
      </c>
      <c r="D228" s="251" t="s">
        <v>1531</v>
      </c>
      <c r="E228" s="251" t="s">
        <v>1350</v>
      </c>
      <c r="F228" s="251" t="s">
        <v>679</v>
      </c>
      <c r="G228" s="251" t="s">
        <v>680</v>
      </c>
      <c r="H228" s="251" t="s">
        <v>681</v>
      </c>
      <c r="I228" s="251" t="s">
        <v>682</v>
      </c>
      <c r="J228" s="251" t="s">
        <v>1493</v>
      </c>
      <c r="K228" s="251" t="s">
        <v>1532</v>
      </c>
    </row>
    <row r="229" spans="2:11">
      <c r="B229" s="250">
        <v>227</v>
      </c>
      <c r="C229" s="251" t="s">
        <v>1533</v>
      </c>
      <c r="D229" s="251" t="s">
        <v>1534</v>
      </c>
      <c r="E229" s="251" t="s">
        <v>1535</v>
      </c>
      <c r="F229" s="251" t="s">
        <v>679</v>
      </c>
      <c r="G229" s="251" t="s">
        <v>680</v>
      </c>
      <c r="H229" s="251" t="s">
        <v>681</v>
      </c>
      <c r="I229" s="251" t="s">
        <v>682</v>
      </c>
      <c r="J229" s="251" t="s">
        <v>1493</v>
      </c>
      <c r="K229" s="251" t="s">
        <v>1536</v>
      </c>
    </row>
    <row r="230" spans="2:11">
      <c r="B230" s="250">
        <v>228</v>
      </c>
      <c r="C230" s="251" t="s">
        <v>1537</v>
      </c>
      <c r="D230" s="251" t="s">
        <v>1538</v>
      </c>
      <c r="E230" s="251" t="s">
        <v>1539</v>
      </c>
      <c r="F230" s="251" t="s">
        <v>679</v>
      </c>
      <c r="G230" s="251" t="s">
        <v>680</v>
      </c>
      <c r="H230" s="251" t="s">
        <v>681</v>
      </c>
      <c r="I230" s="251" t="s">
        <v>682</v>
      </c>
      <c r="J230" s="251" t="s">
        <v>1493</v>
      </c>
      <c r="K230" s="251" t="s">
        <v>1540</v>
      </c>
    </row>
    <row r="231" spans="2:11">
      <c r="B231" s="250">
        <v>229</v>
      </c>
      <c r="C231" s="251" t="s">
        <v>1541</v>
      </c>
      <c r="D231" s="251" t="s">
        <v>1542</v>
      </c>
      <c r="E231" s="251" t="s">
        <v>823</v>
      </c>
      <c r="F231" s="251" t="s">
        <v>679</v>
      </c>
      <c r="G231" s="251" t="s">
        <v>680</v>
      </c>
      <c r="H231" s="251" t="s">
        <v>681</v>
      </c>
      <c r="I231" s="251" t="s">
        <v>682</v>
      </c>
      <c r="J231" s="251" t="s">
        <v>1493</v>
      </c>
      <c r="K231" s="251" t="s">
        <v>1543</v>
      </c>
    </row>
    <row r="232" spans="2:11">
      <c r="B232" s="250">
        <v>230</v>
      </c>
      <c r="C232" s="251" t="s">
        <v>1544</v>
      </c>
      <c r="D232" s="251" t="s">
        <v>1545</v>
      </c>
      <c r="E232" s="251" t="s">
        <v>707</v>
      </c>
      <c r="F232" s="251" t="s">
        <v>679</v>
      </c>
      <c r="G232" s="251" t="s">
        <v>680</v>
      </c>
      <c r="H232" s="251" t="s">
        <v>681</v>
      </c>
      <c r="I232" s="251" t="s">
        <v>682</v>
      </c>
      <c r="J232" s="251" t="s">
        <v>1493</v>
      </c>
      <c r="K232" s="251" t="s">
        <v>1546</v>
      </c>
    </row>
    <row r="233" spans="2:11">
      <c r="B233" s="250">
        <v>231</v>
      </c>
      <c r="C233" s="251" t="s">
        <v>1547</v>
      </c>
      <c r="D233" s="251" t="s">
        <v>1548</v>
      </c>
      <c r="E233" s="251" t="s">
        <v>1262</v>
      </c>
      <c r="F233" s="251" t="s">
        <v>679</v>
      </c>
      <c r="G233" s="251" t="s">
        <v>680</v>
      </c>
      <c r="H233" s="251" t="s">
        <v>681</v>
      </c>
      <c r="I233" s="251" t="s">
        <v>682</v>
      </c>
      <c r="J233" s="251" t="s">
        <v>1493</v>
      </c>
      <c r="K233" s="251" t="s">
        <v>1549</v>
      </c>
    </row>
    <row r="234" spans="2:11">
      <c r="B234" s="250">
        <v>232</v>
      </c>
      <c r="C234" s="251" t="s">
        <v>1550</v>
      </c>
      <c r="D234" s="251" t="s">
        <v>1551</v>
      </c>
      <c r="E234" s="251" t="s">
        <v>1552</v>
      </c>
      <c r="F234" s="251" t="s">
        <v>679</v>
      </c>
      <c r="G234" s="251" t="s">
        <v>680</v>
      </c>
      <c r="H234" s="251" t="s">
        <v>681</v>
      </c>
      <c r="I234" s="251" t="s">
        <v>682</v>
      </c>
      <c r="J234" s="251" t="s">
        <v>1493</v>
      </c>
      <c r="K234" s="251" t="s">
        <v>1553</v>
      </c>
    </row>
    <row r="235" spans="2:11">
      <c r="B235" s="250">
        <v>233</v>
      </c>
      <c r="C235" s="251" t="s">
        <v>1554</v>
      </c>
      <c r="D235" s="251" t="s">
        <v>1555</v>
      </c>
      <c r="E235" s="251" t="s">
        <v>1556</v>
      </c>
      <c r="F235" s="251" t="s">
        <v>679</v>
      </c>
      <c r="G235" s="251" t="s">
        <v>680</v>
      </c>
      <c r="H235" s="251" t="s">
        <v>681</v>
      </c>
      <c r="I235" s="251" t="s">
        <v>682</v>
      </c>
      <c r="J235" s="251" t="s">
        <v>1493</v>
      </c>
      <c r="K235" s="251" t="s">
        <v>1557</v>
      </c>
    </row>
    <row r="236" spans="2:11">
      <c r="B236" s="250">
        <v>234</v>
      </c>
      <c r="C236" s="251" t="s">
        <v>1558</v>
      </c>
      <c r="D236" s="251" t="s">
        <v>1559</v>
      </c>
      <c r="E236" s="251" t="s">
        <v>1560</v>
      </c>
      <c r="F236" s="251" t="s">
        <v>679</v>
      </c>
      <c r="G236" s="251" t="s">
        <v>680</v>
      </c>
      <c r="H236" s="251" t="s">
        <v>681</v>
      </c>
      <c r="I236" s="251" t="s">
        <v>682</v>
      </c>
      <c r="J236" s="251" t="s">
        <v>1561</v>
      </c>
      <c r="K236" s="251" t="s">
        <v>1562</v>
      </c>
    </row>
    <row r="237" spans="2:11">
      <c r="B237" s="250">
        <v>235</v>
      </c>
      <c r="C237" s="251" t="s">
        <v>1563</v>
      </c>
      <c r="D237" s="251" t="s">
        <v>1564</v>
      </c>
      <c r="E237" s="251" t="s">
        <v>1565</v>
      </c>
      <c r="F237" s="251" t="s">
        <v>679</v>
      </c>
      <c r="G237" s="251" t="s">
        <v>680</v>
      </c>
      <c r="H237" s="251" t="s">
        <v>681</v>
      </c>
      <c r="I237" s="251" t="s">
        <v>682</v>
      </c>
      <c r="J237" s="251" t="s">
        <v>1561</v>
      </c>
      <c r="K237" s="251" t="s">
        <v>1566</v>
      </c>
    </row>
    <row r="238" spans="2:11">
      <c r="B238" s="250">
        <v>236</v>
      </c>
      <c r="C238" s="251" t="s">
        <v>1567</v>
      </c>
      <c r="D238" s="251" t="s">
        <v>1568</v>
      </c>
      <c r="E238" s="251" t="s">
        <v>1569</v>
      </c>
      <c r="F238" s="251" t="s">
        <v>679</v>
      </c>
      <c r="G238" s="251" t="s">
        <v>680</v>
      </c>
      <c r="H238" s="251" t="s">
        <v>681</v>
      </c>
      <c r="I238" s="251" t="s">
        <v>682</v>
      </c>
      <c r="J238" s="251" t="s">
        <v>1561</v>
      </c>
      <c r="K238" s="251" t="s">
        <v>1570</v>
      </c>
    </row>
    <row r="239" spans="2:11">
      <c r="B239" s="250">
        <v>237</v>
      </c>
      <c r="C239" s="251" t="s">
        <v>1571</v>
      </c>
      <c r="D239" s="251" t="s">
        <v>1572</v>
      </c>
      <c r="E239" s="251" t="s">
        <v>1573</v>
      </c>
      <c r="F239" s="251" t="s">
        <v>679</v>
      </c>
      <c r="G239" s="251" t="s">
        <v>680</v>
      </c>
      <c r="H239" s="251" t="s">
        <v>681</v>
      </c>
      <c r="I239" s="251" t="s">
        <v>682</v>
      </c>
      <c r="J239" s="251" t="s">
        <v>1561</v>
      </c>
      <c r="K239" s="251" t="s">
        <v>1574</v>
      </c>
    </row>
    <row r="240" spans="2:11">
      <c r="B240" s="250">
        <v>238</v>
      </c>
      <c r="C240" s="251" t="s">
        <v>1575</v>
      </c>
      <c r="D240" s="251" t="s">
        <v>1576</v>
      </c>
      <c r="E240" s="251" t="s">
        <v>1577</v>
      </c>
      <c r="F240" s="251" t="s">
        <v>679</v>
      </c>
      <c r="G240" s="251" t="s">
        <v>680</v>
      </c>
      <c r="H240" s="251" t="s">
        <v>681</v>
      </c>
      <c r="I240" s="251" t="s">
        <v>682</v>
      </c>
      <c r="J240" s="251" t="s">
        <v>1561</v>
      </c>
      <c r="K240" s="251" t="s">
        <v>1578</v>
      </c>
    </row>
    <row r="241" spans="2:11">
      <c r="B241" s="250">
        <v>239</v>
      </c>
      <c r="C241" s="251" t="s">
        <v>1579</v>
      </c>
      <c r="D241" s="251" t="s">
        <v>1580</v>
      </c>
      <c r="E241" s="251" t="s">
        <v>815</v>
      </c>
      <c r="F241" s="251" t="s">
        <v>679</v>
      </c>
      <c r="G241" s="251" t="s">
        <v>680</v>
      </c>
      <c r="H241" s="251" t="s">
        <v>681</v>
      </c>
      <c r="I241" s="251" t="s">
        <v>682</v>
      </c>
      <c r="J241" s="251" t="s">
        <v>1561</v>
      </c>
      <c r="K241" s="251" t="s">
        <v>1581</v>
      </c>
    </row>
    <row r="242" spans="2:11">
      <c r="B242" s="250">
        <v>240</v>
      </c>
      <c r="C242" s="251" t="s">
        <v>1582</v>
      </c>
      <c r="D242" s="251" t="s">
        <v>1583</v>
      </c>
      <c r="E242" s="251" t="s">
        <v>877</v>
      </c>
      <c r="F242" s="251" t="s">
        <v>679</v>
      </c>
      <c r="G242" s="251" t="s">
        <v>680</v>
      </c>
      <c r="H242" s="251" t="s">
        <v>681</v>
      </c>
      <c r="I242" s="251" t="s">
        <v>682</v>
      </c>
      <c r="J242" s="251" t="s">
        <v>1561</v>
      </c>
      <c r="K242" s="251" t="s">
        <v>1584</v>
      </c>
    </row>
    <row r="243" spans="2:11">
      <c r="B243" s="250">
        <v>241</v>
      </c>
      <c r="C243" s="251" t="s">
        <v>1585</v>
      </c>
      <c r="D243" s="251" t="s">
        <v>1586</v>
      </c>
      <c r="E243" s="251" t="s">
        <v>1587</v>
      </c>
      <c r="F243" s="251" t="s">
        <v>679</v>
      </c>
      <c r="G243" s="251" t="s">
        <v>680</v>
      </c>
      <c r="H243" s="251" t="s">
        <v>681</v>
      </c>
      <c r="I243" s="251" t="s">
        <v>682</v>
      </c>
      <c r="J243" s="251" t="s">
        <v>1588</v>
      </c>
      <c r="K243" s="251" t="s">
        <v>1589</v>
      </c>
    </row>
    <row r="244" spans="2:11">
      <c r="B244" s="250">
        <v>242</v>
      </c>
      <c r="C244" s="251" t="s">
        <v>1590</v>
      </c>
      <c r="D244" s="251" t="s">
        <v>1591</v>
      </c>
      <c r="E244" s="251" t="s">
        <v>1592</v>
      </c>
      <c r="F244" s="251" t="s">
        <v>679</v>
      </c>
      <c r="G244" s="251" t="s">
        <v>680</v>
      </c>
      <c r="H244" s="251" t="s">
        <v>681</v>
      </c>
      <c r="I244" s="251" t="s">
        <v>682</v>
      </c>
      <c r="J244" s="251" t="s">
        <v>1588</v>
      </c>
      <c r="K244" s="251" t="s">
        <v>1593</v>
      </c>
    </row>
    <row r="245" spans="2:11">
      <c r="B245" s="250">
        <v>243</v>
      </c>
      <c r="C245" s="251" t="s">
        <v>1594</v>
      </c>
      <c r="D245" s="251" t="s">
        <v>1595</v>
      </c>
      <c r="E245" s="251" t="s">
        <v>1596</v>
      </c>
      <c r="F245" s="251" t="s">
        <v>679</v>
      </c>
      <c r="G245" s="251" t="s">
        <v>680</v>
      </c>
      <c r="H245" s="251" t="s">
        <v>681</v>
      </c>
      <c r="I245" s="251" t="s">
        <v>682</v>
      </c>
      <c r="J245" s="251" t="s">
        <v>1588</v>
      </c>
      <c r="K245" s="251" t="s">
        <v>1597</v>
      </c>
    </row>
    <row r="246" spans="2:11">
      <c r="B246" s="250">
        <v>244</v>
      </c>
      <c r="C246" s="251" t="s">
        <v>1598</v>
      </c>
      <c r="D246" s="251" t="s">
        <v>1599</v>
      </c>
      <c r="E246" s="251" t="s">
        <v>1600</v>
      </c>
      <c r="F246" s="251" t="s">
        <v>679</v>
      </c>
      <c r="G246" s="251" t="s">
        <v>680</v>
      </c>
      <c r="H246" s="251" t="s">
        <v>681</v>
      </c>
      <c r="I246" s="251" t="s">
        <v>682</v>
      </c>
      <c r="J246" s="251" t="s">
        <v>1588</v>
      </c>
      <c r="K246" s="251" t="s">
        <v>1601</v>
      </c>
    </row>
    <row r="247" spans="2:11">
      <c r="B247" s="250">
        <v>245</v>
      </c>
      <c r="C247" s="251" t="s">
        <v>1602</v>
      </c>
      <c r="D247" s="251" t="s">
        <v>1603</v>
      </c>
      <c r="E247" s="251" t="s">
        <v>1604</v>
      </c>
      <c r="F247" s="251" t="s">
        <v>679</v>
      </c>
      <c r="G247" s="251" t="s">
        <v>680</v>
      </c>
      <c r="H247" s="251" t="s">
        <v>681</v>
      </c>
      <c r="I247" s="251" t="s">
        <v>682</v>
      </c>
      <c r="J247" s="251" t="s">
        <v>1588</v>
      </c>
      <c r="K247" s="251" t="s">
        <v>696</v>
      </c>
    </row>
    <row r="248" spans="2:11">
      <c r="B248" s="250">
        <v>246</v>
      </c>
      <c r="C248" s="251" t="s">
        <v>1605</v>
      </c>
      <c r="D248" s="251" t="s">
        <v>1606</v>
      </c>
      <c r="E248" s="251" t="s">
        <v>1607</v>
      </c>
      <c r="F248" s="251" t="s">
        <v>679</v>
      </c>
      <c r="G248" s="251" t="s">
        <v>680</v>
      </c>
      <c r="H248" s="251" t="s">
        <v>681</v>
      </c>
      <c r="I248" s="251" t="s">
        <v>682</v>
      </c>
      <c r="J248" s="251" t="s">
        <v>1588</v>
      </c>
      <c r="K248" s="251" t="s">
        <v>1608</v>
      </c>
    </row>
    <row r="249" spans="2:11">
      <c r="B249" s="250">
        <v>247</v>
      </c>
      <c r="C249" s="251" t="s">
        <v>1609</v>
      </c>
      <c r="D249" s="251" t="s">
        <v>1610</v>
      </c>
      <c r="E249" s="251" t="s">
        <v>797</v>
      </c>
      <c r="F249" s="251" t="s">
        <v>679</v>
      </c>
      <c r="G249" s="251" t="s">
        <v>680</v>
      </c>
      <c r="H249" s="251" t="s">
        <v>681</v>
      </c>
      <c r="I249" s="251" t="s">
        <v>682</v>
      </c>
      <c r="J249" s="251" t="s">
        <v>1588</v>
      </c>
      <c r="K249" s="251" t="s">
        <v>696</v>
      </c>
    </row>
    <row r="250" spans="2:11">
      <c r="B250" s="250">
        <v>248</v>
      </c>
      <c r="C250" s="251" t="s">
        <v>1611</v>
      </c>
      <c r="D250" s="251" t="s">
        <v>1612</v>
      </c>
      <c r="E250" s="251" t="s">
        <v>1613</v>
      </c>
      <c r="F250" s="251" t="s">
        <v>679</v>
      </c>
      <c r="G250" s="251" t="s">
        <v>680</v>
      </c>
      <c r="H250" s="251" t="s">
        <v>681</v>
      </c>
      <c r="I250" s="251" t="s">
        <v>682</v>
      </c>
      <c r="J250" s="251" t="s">
        <v>1588</v>
      </c>
      <c r="K250" s="251" t="s">
        <v>1614</v>
      </c>
    </row>
    <row r="251" spans="2:11">
      <c r="B251" s="250">
        <v>249</v>
      </c>
      <c r="C251" s="251" t="s">
        <v>1615</v>
      </c>
      <c r="D251" s="251" t="s">
        <v>1616</v>
      </c>
      <c r="E251" s="251" t="s">
        <v>1617</v>
      </c>
      <c r="F251" s="251" t="s">
        <v>679</v>
      </c>
      <c r="G251" s="251" t="s">
        <v>680</v>
      </c>
      <c r="H251" s="251" t="s">
        <v>681</v>
      </c>
      <c r="I251" s="251" t="s">
        <v>682</v>
      </c>
      <c r="J251" s="251" t="s">
        <v>1588</v>
      </c>
      <c r="K251" s="251" t="s">
        <v>1618</v>
      </c>
    </row>
    <row r="252" spans="2:11">
      <c r="B252" s="250">
        <v>250</v>
      </c>
      <c r="C252" s="251" t="s">
        <v>1619</v>
      </c>
      <c r="D252" s="251" t="s">
        <v>1620</v>
      </c>
      <c r="E252" s="251" t="s">
        <v>678</v>
      </c>
      <c r="F252" s="251" t="s">
        <v>679</v>
      </c>
      <c r="G252" s="251" t="s">
        <v>680</v>
      </c>
      <c r="H252" s="251" t="s">
        <v>681</v>
      </c>
      <c r="I252" s="251" t="s">
        <v>682</v>
      </c>
      <c r="J252" s="251" t="s">
        <v>1588</v>
      </c>
      <c r="K252" s="251" t="s">
        <v>1621</v>
      </c>
    </row>
    <row r="253" spans="2:11">
      <c r="B253" s="250">
        <v>251</v>
      </c>
      <c r="C253" s="251" t="s">
        <v>1622</v>
      </c>
      <c r="D253" s="251" t="s">
        <v>1623</v>
      </c>
      <c r="E253" s="251" t="s">
        <v>1624</v>
      </c>
      <c r="F253" s="251" t="s">
        <v>679</v>
      </c>
      <c r="G253" s="251" t="s">
        <v>680</v>
      </c>
      <c r="H253" s="251" t="s">
        <v>681</v>
      </c>
      <c r="I253" s="251" t="s">
        <v>682</v>
      </c>
      <c r="J253" s="251" t="s">
        <v>1588</v>
      </c>
      <c r="K253" s="251" t="s">
        <v>1625</v>
      </c>
    </row>
    <row r="254" spans="2:11">
      <c r="B254" s="250">
        <v>252</v>
      </c>
      <c r="C254" s="251" t="s">
        <v>1626</v>
      </c>
      <c r="D254" s="251" t="s">
        <v>1627</v>
      </c>
      <c r="E254" s="251" t="s">
        <v>1008</v>
      </c>
      <c r="F254" s="251" t="s">
        <v>679</v>
      </c>
      <c r="G254" s="251" t="s">
        <v>680</v>
      </c>
      <c r="H254" s="251" t="s">
        <v>681</v>
      </c>
      <c r="I254" s="251" t="s">
        <v>682</v>
      </c>
      <c r="J254" s="251" t="s">
        <v>1588</v>
      </c>
      <c r="K254" s="251" t="s">
        <v>1628</v>
      </c>
    </row>
    <row r="255" spans="2:11">
      <c r="B255" s="250">
        <v>253</v>
      </c>
      <c r="C255" s="251" t="s">
        <v>1629</v>
      </c>
      <c r="D255" s="251" t="s">
        <v>1630</v>
      </c>
      <c r="E255" s="251" t="s">
        <v>1631</v>
      </c>
      <c r="F255" s="251" t="s">
        <v>679</v>
      </c>
      <c r="G255" s="251" t="s">
        <v>680</v>
      </c>
      <c r="H255" s="251" t="s">
        <v>681</v>
      </c>
      <c r="I255" s="251" t="s">
        <v>682</v>
      </c>
      <c r="J255" s="251" t="s">
        <v>1588</v>
      </c>
      <c r="K255" s="251" t="s">
        <v>1632</v>
      </c>
    </row>
    <row r="256" spans="2:11">
      <c r="B256" s="250">
        <v>254</v>
      </c>
      <c r="C256" s="251" t="s">
        <v>1633</v>
      </c>
      <c r="D256" s="251" t="s">
        <v>1634</v>
      </c>
      <c r="E256" s="251" t="s">
        <v>1635</v>
      </c>
      <c r="F256" s="251" t="s">
        <v>679</v>
      </c>
      <c r="G256" s="251" t="s">
        <v>680</v>
      </c>
      <c r="H256" s="251" t="s">
        <v>681</v>
      </c>
      <c r="I256" s="251" t="s">
        <v>682</v>
      </c>
      <c r="J256" s="251" t="s">
        <v>1588</v>
      </c>
      <c r="K256" s="251" t="s">
        <v>1636</v>
      </c>
    </row>
    <row r="257" spans="2:11">
      <c r="B257" s="250">
        <v>255</v>
      </c>
      <c r="C257" s="251" t="s">
        <v>1637</v>
      </c>
      <c r="D257" s="251" t="s">
        <v>1638</v>
      </c>
      <c r="E257" s="251" t="s">
        <v>1639</v>
      </c>
      <c r="F257" s="251" t="s">
        <v>679</v>
      </c>
      <c r="G257" s="251" t="s">
        <v>680</v>
      </c>
      <c r="H257" s="251" t="s">
        <v>681</v>
      </c>
      <c r="I257" s="251" t="s">
        <v>682</v>
      </c>
      <c r="J257" s="251" t="s">
        <v>1588</v>
      </c>
      <c r="K257" s="251" t="s">
        <v>1640</v>
      </c>
    </row>
    <row r="258" spans="2:11">
      <c r="B258" s="250">
        <v>256</v>
      </c>
      <c r="C258" s="251" t="s">
        <v>1641</v>
      </c>
      <c r="D258" s="251" t="s">
        <v>1642</v>
      </c>
      <c r="E258" s="251" t="s">
        <v>1035</v>
      </c>
      <c r="F258" s="251" t="s">
        <v>679</v>
      </c>
      <c r="G258" s="251" t="s">
        <v>680</v>
      </c>
      <c r="H258" s="251" t="s">
        <v>681</v>
      </c>
      <c r="I258" s="251" t="s">
        <v>682</v>
      </c>
      <c r="J258" s="251" t="s">
        <v>1588</v>
      </c>
      <c r="K258" s="251" t="s">
        <v>1643</v>
      </c>
    </row>
    <row r="259" spans="2:11">
      <c r="B259" s="250">
        <v>257</v>
      </c>
      <c r="C259" s="251" t="s">
        <v>1644</v>
      </c>
      <c r="D259" s="251" t="s">
        <v>1645</v>
      </c>
      <c r="E259" s="251" t="s">
        <v>1646</v>
      </c>
      <c r="F259" s="251" t="s">
        <v>679</v>
      </c>
      <c r="G259" s="251" t="s">
        <v>680</v>
      </c>
      <c r="H259" s="251" t="s">
        <v>681</v>
      </c>
      <c r="I259" s="251" t="s">
        <v>682</v>
      </c>
      <c r="J259" s="251" t="s">
        <v>1588</v>
      </c>
      <c r="K259" s="251" t="s">
        <v>1647</v>
      </c>
    </row>
    <row r="260" spans="2:11">
      <c r="B260" s="250">
        <v>258</v>
      </c>
      <c r="C260" s="251" t="s">
        <v>1648</v>
      </c>
      <c r="D260" s="251" t="s">
        <v>1649</v>
      </c>
      <c r="E260" s="251" t="s">
        <v>1650</v>
      </c>
      <c r="F260" s="251" t="s">
        <v>679</v>
      </c>
      <c r="G260" s="251" t="s">
        <v>680</v>
      </c>
      <c r="H260" s="251" t="s">
        <v>681</v>
      </c>
      <c r="I260" s="251" t="s">
        <v>682</v>
      </c>
      <c r="J260" s="251" t="s">
        <v>1588</v>
      </c>
      <c r="K260" s="251" t="s">
        <v>1651</v>
      </c>
    </row>
    <row r="261" spans="2:11">
      <c r="B261" s="250">
        <v>259</v>
      </c>
      <c r="C261" s="251" t="s">
        <v>1652</v>
      </c>
      <c r="D261" s="251" t="s">
        <v>1653</v>
      </c>
      <c r="E261" s="251" t="s">
        <v>865</v>
      </c>
      <c r="F261" s="251" t="s">
        <v>679</v>
      </c>
      <c r="G261" s="251" t="s">
        <v>680</v>
      </c>
      <c r="H261" s="251" t="s">
        <v>681</v>
      </c>
      <c r="I261" s="251" t="s">
        <v>682</v>
      </c>
      <c r="J261" s="251" t="s">
        <v>1588</v>
      </c>
      <c r="K261" s="251" t="s">
        <v>1654</v>
      </c>
    </row>
    <row r="262" spans="2:11">
      <c r="B262" s="250">
        <v>260</v>
      </c>
      <c r="C262" s="251" t="s">
        <v>1655</v>
      </c>
      <c r="D262" s="251" t="s">
        <v>1656</v>
      </c>
      <c r="E262" s="251" t="s">
        <v>1657</v>
      </c>
      <c r="F262" s="251" t="s">
        <v>679</v>
      </c>
      <c r="G262" s="251" t="s">
        <v>680</v>
      </c>
      <c r="H262" s="251" t="s">
        <v>681</v>
      </c>
      <c r="I262" s="251" t="s">
        <v>682</v>
      </c>
      <c r="J262" s="251" t="s">
        <v>1588</v>
      </c>
      <c r="K262" s="251" t="s">
        <v>1658</v>
      </c>
    </row>
    <row r="263" spans="2:11">
      <c r="B263" s="250">
        <v>261</v>
      </c>
      <c r="C263" s="251" t="s">
        <v>1659</v>
      </c>
      <c r="D263" s="251" t="s">
        <v>1660</v>
      </c>
      <c r="E263" s="251" t="s">
        <v>1661</v>
      </c>
      <c r="F263" s="251" t="s">
        <v>679</v>
      </c>
      <c r="G263" s="251" t="s">
        <v>680</v>
      </c>
      <c r="H263" s="251" t="s">
        <v>681</v>
      </c>
      <c r="I263" s="251" t="s">
        <v>682</v>
      </c>
      <c r="J263" s="251" t="s">
        <v>1588</v>
      </c>
      <c r="K263" s="251" t="s">
        <v>1662</v>
      </c>
    </row>
    <row r="264" spans="2:11">
      <c r="B264" s="250">
        <v>262</v>
      </c>
      <c r="C264" s="251" t="s">
        <v>1663</v>
      </c>
      <c r="D264" s="251" t="s">
        <v>1664</v>
      </c>
      <c r="E264" s="251" t="s">
        <v>1665</v>
      </c>
      <c r="F264" s="251" t="s">
        <v>679</v>
      </c>
      <c r="G264" s="251" t="s">
        <v>680</v>
      </c>
      <c r="H264" s="251" t="s">
        <v>681</v>
      </c>
      <c r="I264" s="251" t="s">
        <v>682</v>
      </c>
      <c r="J264" s="251" t="s">
        <v>1588</v>
      </c>
      <c r="K264" s="251" t="s">
        <v>1666</v>
      </c>
    </row>
    <row r="265" spans="2:11">
      <c r="B265" s="250">
        <v>263</v>
      </c>
      <c r="C265" s="251" t="s">
        <v>1667</v>
      </c>
      <c r="D265" s="251" t="s">
        <v>1668</v>
      </c>
      <c r="E265" s="251" t="s">
        <v>1669</v>
      </c>
      <c r="F265" s="251" t="s">
        <v>679</v>
      </c>
      <c r="G265" s="251" t="s">
        <v>680</v>
      </c>
      <c r="H265" s="251" t="s">
        <v>681</v>
      </c>
      <c r="I265" s="251" t="s">
        <v>682</v>
      </c>
      <c r="J265" s="251" t="s">
        <v>1588</v>
      </c>
      <c r="K265" s="251" t="s">
        <v>1670</v>
      </c>
    </row>
    <row r="266" spans="2:11">
      <c r="B266" s="250">
        <v>264</v>
      </c>
      <c r="C266" s="251" t="s">
        <v>1671</v>
      </c>
      <c r="D266" s="251" t="s">
        <v>1672</v>
      </c>
      <c r="E266" s="251" t="s">
        <v>1673</v>
      </c>
      <c r="F266" s="251" t="s">
        <v>679</v>
      </c>
      <c r="G266" s="251" t="s">
        <v>680</v>
      </c>
      <c r="H266" s="251" t="s">
        <v>681</v>
      </c>
      <c r="I266" s="251" t="s">
        <v>682</v>
      </c>
      <c r="J266" s="251" t="s">
        <v>1588</v>
      </c>
      <c r="K266" s="251" t="s">
        <v>969</v>
      </c>
    </row>
    <row r="267" spans="2:11">
      <c r="B267" s="250">
        <v>265</v>
      </c>
      <c r="C267" s="251" t="s">
        <v>1674</v>
      </c>
      <c r="D267" s="251" t="s">
        <v>1675</v>
      </c>
      <c r="E267" s="251" t="s">
        <v>1676</v>
      </c>
      <c r="F267" s="251" t="s">
        <v>679</v>
      </c>
      <c r="G267" s="251" t="s">
        <v>680</v>
      </c>
      <c r="H267" s="251" t="s">
        <v>681</v>
      </c>
      <c r="I267" s="251" t="s">
        <v>682</v>
      </c>
      <c r="J267" s="251" t="s">
        <v>1588</v>
      </c>
      <c r="K267" s="251" t="s">
        <v>1677</v>
      </c>
    </row>
    <row r="268" spans="2:11">
      <c r="B268" s="250">
        <v>266</v>
      </c>
      <c r="C268" s="251" t="s">
        <v>1678</v>
      </c>
      <c r="D268" s="251" t="s">
        <v>1679</v>
      </c>
      <c r="E268" s="251" t="s">
        <v>1680</v>
      </c>
      <c r="F268" s="251" t="s">
        <v>679</v>
      </c>
      <c r="G268" s="251" t="s">
        <v>680</v>
      </c>
      <c r="H268" s="251" t="s">
        <v>681</v>
      </c>
      <c r="I268" s="251" t="s">
        <v>682</v>
      </c>
      <c r="J268" s="251" t="s">
        <v>1588</v>
      </c>
      <c r="K268" s="251" t="s">
        <v>1681</v>
      </c>
    </row>
    <row r="269" spans="2:11">
      <c r="B269" s="250">
        <v>267</v>
      </c>
      <c r="C269" s="251" t="s">
        <v>1682</v>
      </c>
      <c r="D269" s="251" t="s">
        <v>1683</v>
      </c>
      <c r="E269" s="251" t="s">
        <v>1684</v>
      </c>
      <c r="F269" s="251" t="s">
        <v>679</v>
      </c>
      <c r="G269" s="251" t="s">
        <v>680</v>
      </c>
      <c r="H269" s="251" t="s">
        <v>681</v>
      </c>
      <c r="I269" s="251" t="s">
        <v>682</v>
      </c>
      <c r="J269" s="251" t="s">
        <v>1588</v>
      </c>
      <c r="K269" s="251" t="s">
        <v>1685</v>
      </c>
    </row>
    <row r="270" spans="2:11">
      <c r="B270" s="250">
        <v>268</v>
      </c>
      <c r="C270" s="251" t="s">
        <v>1686</v>
      </c>
      <c r="D270" s="251" t="s">
        <v>1687</v>
      </c>
      <c r="E270" s="251" t="s">
        <v>1688</v>
      </c>
      <c r="F270" s="251" t="s">
        <v>679</v>
      </c>
      <c r="G270" s="251" t="s">
        <v>680</v>
      </c>
      <c r="H270" s="251" t="s">
        <v>681</v>
      </c>
      <c r="I270" s="251" t="s">
        <v>682</v>
      </c>
      <c r="J270" s="251" t="s">
        <v>1689</v>
      </c>
      <c r="K270" s="251" t="s">
        <v>1690</v>
      </c>
    </row>
    <row r="271" spans="2:11">
      <c r="B271" s="250">
        <v>269</v>
      </c>
      <c r="C271" s="251" t="s">
        <v>1691</v>
      </c>
      <c r="D271" s="251" t="s">
        <v>1692</v>
      </c>
      <c r="E271" s="251" t="s">
        <v>1693</v>
      </c>
      <c r="F271" s="251" t="s">
        <v>679</v>
      </c>
      <c r="G271" s="251" t="s">
        <v>680</v>
      </c>
      <c r="H271" s="251" t="s">
        <v>681</v>
      </c>
      <c r="I271" s="251" t="s">
        <v>682</v>
      </c>
      <c r="J271" s="251" t="s">
        <v>1689</v>
      </c>
      <c r="K271" s="251" t="s">
        <v>1694</v>
      </c>
    </row>
    <row r="272" spans="2:11">
      <c r="B272" s="250">
        <v>270</v>
      </c>
      <c r="C272" s="251" t="s">
        <v>1695</v>
      </c>
      <c r="D272" s="251" t="s">
        <v>1696</v>
      </c>
      <c r="E272" s="251" t="s">
        <v>1697</v>
      </c>
      <c r="F272" s="251" t="s">
        <v>679</v>
      </c>
      <c r="G272" s="251" t="s">
        <v>680</v>
      </c>
      <c r="H272" s="251" t="s">
        <v>681</v>
      </c>
      <c r="I272" s="251" t="s">
        <v>682</v>
      </c>
      <c r="J272" s="251" t="s">
        <v>1689</v>
      </c>
      <c r="K272" s="251" t="s">
        <v>1698</v>
      </c>
    </row>
    <row r="273" spans="2:11">
      <c r="B273" s="250">
        <v>271</v>
      </c>
      <c r="C273" s="251" t="s">
        <v>1699</v>
      </c>
      <c r="D273" s="251" t="s">
        <v>1700</v>
      </c>
      <c r="E273" s="251" t="s">
        <v>1701</v>
      </c>
      <c r="F273" s="251" t="s">
        <v>679</v>
      </c>
      <c r="G273" s="251" t="s">
        <v>680</v>
      </c>
      <c r="H273" s="251" t="s">
        <v>681</v>
      </c>
      <c r="I273" s="251" t="s">
        <v>682</v>
      </c>
      <c r="J273" s="251" t="s">
        <v>1689</v>
      </c>
      <c r="K273" s="251" t="s">
        <v>1702</v>
      </c>
    </row>
    <row r="274" spans="2:11">
      <c r="B274" s="250">
        <v>272</v>
      </c>
      <c r="C274" s="251" t="s">
        <v>1703</v>
      </c>
      <c r="D274" s="251" t="s">
        <v>1704</v>
      </c>
      <c r="E274" s="251" t="s">
        <v>1705</v>
      </c>
      <c r="F274" s="251" t="s">
        <v>679</v>
      </c>
      <c r="G274" s="251" t="s">
        <v>680</v>
      </c>
      <c r="H274" s="251" t="s">
        <v>681</v>
      </c>
      <c r="I274" s="251" t="s">
        <v>682</v>
      </c>
      <c r="J274" s="251" t="s">
        <v>1689</v>
      </c>
      <c r="K274" s="251" t="s">
        <v>1706</v>
      </c>
    </row>
    <row r="275" spans="2:11">
      <c r="B275" s="250">
        <v>273</v>
      </c>
      <c r="C275" s="251" t="s">
        <v>1707</v>
      </c>
      <c r="D275" s="251" t="s">
        <v>1708</v>
      </c>
      <c r="E275" s="251" t="s">
        <v>1709</v>
      </c>
      <c r="F275" s="251" t="s">
        <v>679</v>
      </c>
      <c r="G275" s="251" t="s">
        <v>680</v>
      </c>
      <c r="H275" s="251" t="s">
        <v>681</v>
      </c>
      <c r="I275" s="251" t="s">
        <v>682</v>
      </c>
      <c r="J275" s="251" t="s">
        <v>1689</v>
      </c>
      <c r="K275" s="251" t="s">
        <v>1710</v>
      </c>
    </row>
    <row r="276" spans="2:11">
      <c r="B276" s="250">
        <v>274</v>
      </c>
      <c r="C276" s="251" t="s">
        <v>1711</v>
      </c>
      <c r="D276" s="251" t="s">
        <v>1712</v>
      </c>
      <c r="E276" s="251" t="s">
        <v>1713</v>
      </c>
      <c r="F276" s="251" t="s">
        <v>679</v>
      </c>
      <c r="G276" s="251" t="s">
        <v>680</v>
      </c>
      <c r="H276" s="251" t="s">
        <v>681</v>
      </c>
      <c r="I276" s="251" t="s">
        <v>682</v>
      </c>
      <c r="J276" s="251" t="s">
        <v>1689</v>
      </c>
      <c r="K276" s="251" t="s">
        <v>1714</v>
      </c>
    </row>
    <row r="277" spans="2:11">
      <c r="B277" s="250">
        <v>275</v>
      </c>
      <c r="C277" s="251" t="s">
        <v>1715</v>
      </c>
      <c r="D277" s="251" t="s">
        <v>1716</v>
      </c>
      <c r="E277" s="251" t="s">
        <v>1717</v>
      </c>
      <c r="F277" s="251" t="s">
        <v>679</v>
      </c>
      <c r="G277" s="251" t="s">
        <v>680</v>
      </c>
      <c r="H277" s="251" t="s">
        <v>681</v>
      </c>
      <c r="I277" s="251" t="s">
        <v>682</v>
      </c>
      <c r="J277" s="251" t="s">
        <v>1689</v>
      </c>
      <c r="K277" s="251" t="s">
        <v>1718</v>
      </c>
    </row>
    <row r="278" spans="2:11">
      <c r="B278" s="250">
        <v>276</v>
      </c>
      <c r="C278" s="251" t="s">
        <v>1719</v>
      </c>
      <c r="D278" s="251" t="s">
        <v>1720</v>
      </c>
      <c r="E278" s="251" t="s">
        <v>1721</v>
      </c>
      <c r="F278" s="251" t="s">
        <v>679</v>
      </c>
      <c r="G278" s="251" t="s">
        <v>680</v>
      </c>
      <c r="H278" s="251" t="s">
        <v>681</v>
      </c>
      <c r="I278" s="251" t="s">
        <v>682</v>
      </c>
      <c r="J278" s="251" t="s">
        <v>1689</v>
      </c>
      <c r="K278" s="251" t="s">
        <v>1722</v>
      </c>
    </row>
    <row r="279" spans="2:11">
      <c r="B279" s="250">
        <v>277</v>
      </c>
      <c r="C279" s="251" t="s">
        <v>1723</v>
      </c>
      <c r="D279" s="251" t="s">
        <v>1724</v>
      </c>
      <c r="E279" s="251" t="s">
        <v>992</v>
      </c>
      <c r="F279" s="251" t="s">
        <v>679</v>
      </c>
      <c r="G279" s="251" t="s">
        <v>680</v>
      </c>
      <c r="H279" s="251" t="s">
        <v>681</v>
      </c>
      <c r="I279" s="251" t="s">
        <v>682</v>
      </c>
      <c r="J279" s="251" t="s">
        <v>1689</v>
      </c>
      <c r="K279" s="251" t="s">
        <v>1725</v>
      </c>
    </row>
    <row r="280" spans="2:11">
      <c r="B280" s="250">
        <v>278</v>
      </c>
      <c r="C280" s="251" t="s">
        <v>1726</v>
      </c>
      <c r="D280" s="251" t="s">
        <v>1727</v>
      </c>
      <c r="E280" s="251" t="s">
        <v>1728</v>
      </c>
      <c r="F280" s="251" t="s">
        <v>679</v>
      </c>
      <c r="G280" s="251" t="s">
        <v>680</v>
      </c>
      <c r="H280" s="251" t="s">
        <v>681</v>
      </c>
      <c r="I280" s="251" t="s">
        <v>682</v>
      </c>
      <c r="J280" s="251" t="s">
        <v>1689</v>
      </c>
      <c r="K280" s="251" t="s">
        <v>1729</v>
      </c>
    </row>
    <row r="281" spans="2:11">
      <c r="B281" s="250">
        <v>279</v>
      </c>
      <c r="C281" s="251" t="s">
        <v>1730</v>
      </c>
      <c r="D281" s="251" t="s">
        <v>1731</v>
      </c>
      <c r="E281" s="251" t="s">
        <v>1732</v>
      </c>
      <c r="F281" s="251" t="s">
        <v>679</v>
      </c>
      <c r="G281" s="251" t="s">
        <v>680</v>
      </c>
      <c r="H281" s="251" t="s">
        <v>681</v>
      </c>
      <c r="I281" s="251" t="s">
        <v>682</v>
      </c>
      <c r="J281" s="251" t="s">
        <v>1689</v>
      </c>
      <c r="K281" s="251" t="s">
        <v>1733</v>
      </c>
    </row>
    <row r="282" spans="2:11">
      <c r="B282" s="250">
        <v>280</v>
      </c>
      <c r="C282" s="251" t="s">
        <v>1734</v>
      </c>
      <c r="D282" s="251" t="s">
        <v>1735</v>
      </c>
      <c r="E282" s="251" t="s">
        <v>1736</v>
      </c>
      <c r="F282" s="251" t="s">
        <v>679</v>
      </c>
      <c r="G282" s="251" t="s">
        <v>680</v>
      </c>
      <c r="H282" s="251" t="s">
        <v>681</v>
      </c>
      <c r="I282" s="251" t="s">
        <v>682</v>
      </c>
      <c r="J282" s="251" t="s">
        <v>1689</v>
      </c>
      <c r="K282" s="251" t="s">
        <v>1737</v>
      </c>
    </row>
    <row r="283" spans="2:11">
      <c r="B283" s="250">
        <v>281</v>
      </c>
      <c r="C283" s="251" t="s">
        <v>1738</v>
      </c>
      <c r="D283" s="251" t="s">
        <v>1739</v>
      </c>
      <c r="E283" s="251" t="s">
        <v>678</v>
      </c>
      <c r="F283" s="251" t="s">
        <v>679</v>
      </c>
      <c r="G283" s="251" t="s">
        <v>680</v>
      </c>
      <c r="H283" s="251" t="s">
        <v>681</v>
      </c>
      <c r="I283" s="251" t="s">
        <v>682</v>
      </c>
      <c r="J283" s="251" t="s">
        <v>1689</v>
      </c>
      <c r="K283" s="251" t="s">
        <v>1740</v>
      </c>
    </row>
    <row r="284" spans="2:11">
      <c r="B284" s="250">
        <v>282</v>
      </c>
      <c r="C284" s="251" t="s">
        <v>1741</v>
      </c>
      <c r="D284" s="251" t="s">
        <v>1742</v>
      </c>
      <c r="E284" s="251" t="s">
        <v>1743</v>
      </c>
      <c r="F284" s="251" t="s">
        <v>679</v>
      </c>
      <c r="G284" s="251" t="s">
        <v>680</v>
      </c>
      <c r="H284" s="251" t="s">
        <v>681</v>
      </c>
      <c r="I284" s="251" t="s">
        <v>682</v>
      </c>
      <c r="J284" s="251" t="s">
        <v>1689</v>
      </c>
      <c r="K284" s="251" t="s">
        <v>1744</v>
      </c>
    </row>
    <row r="285" spans="2:11">
      <c r="B285" s="250">
        <v>283</v>
      </c>
      <c r="C285" s="251" t="s">
        <v>1745</v>
      </c>
      <c r="D285" s="251" t="s">
        <v>1746</v>
      </c>
      <c r="E285" s="251" t="s">
        <v>1747</v>
      </c>
      <c r="F285" s="251" t="s">
        <v>679</v>
      </c>
      <c r="G285" s="251" t="s">
        <v>680</v>
      </c>
      <c r="H285" s="251" t="s">
        <v>681</v>
      </c>
      <c r="I285" s="251" t="s">
        <v>682</v>
      </c>
      <c r="J285" s="251" t="s">
        <v>1689</v>
      </c>
      <c r="K285" s="251" t="s">
        <v>1748</v>
      </c>
    </row>
    <row r="286" spans="2:11">
      <c r="B286" s="250">
        <v>284</v>
      </c>
      <c r="C286" s="251" t="s">
        <v>1749</v>
      </c>
      <c r="D286" s="251" t="s">
        <v>1750</v>
      </c>
      <c r="E286" s="251" t="s">
        <v>1751</v>
      </c>
      <c r="F286" s="251" t="s">
        <v>679</v>
      </c>
      <c r="G286" s="251" t="s">
        <v>680</v>
      </c>
      <c r="H286" s="251" t="s">
        <v>681</v>
      </c>
      <c r="I286" s="251" t="s">
        <v>682</v>
      </c>
      <c r="J286" s="251" t="s">
        <v>1689</v>
      </c>
      <c r="K286" s="251" t="s">
        <v>1752</v>
      </c>
    </row>
    <row r="287" spans="2:11">
      <c r="B287" s="250">
        <v>285</v>
      </c>
      <c r="C287" s="251" t="s">
        <v>1753</v>
      </c>
      <c r="D287" s="251" t="s">
        <v>1754</v>
      </c>
      <c r="E287" s="251" t="s">
        <v>1755</v>
      </c>
      <c r="F287" s="251" t="s">
        <v>679</v>
      </c>
      <c r="G287" s="251" t="s">
        <v>680</v>
      </c>
      <c r="H287" s="251" t="s">
        <v>681</v>
      </c>
      <c r="I287" s="251" t="s">
        <v>682</v>
      </c>
      <c r="J287" s="251" t="s">
        <v>1689</v>
      </c>
      <c r="K287" s="251" t="s">
        <v>1756</v>
      </c>
    </row>
    <row r="288" spans="2:11">
      <c r="B288" s="250">
        <v>286</v>
      </c>
      <c r="C288" s="251" t="s">
        <v>1757</v>
      </c>
      <c r="D288" s="251" t="s">
        <v>1758</v>
      </c>
      <c r="E288" s="251" t="s">
        <v>1759</v>
      </c>
      <c r="F288" s="251" t="s">
        <v>679</v>
      </c>
      <c r="G288" s="251" t="s">
        <v>680</v>
      </c>
      <c r="H288" s="251" t="s">
        <v>681</v>
      </c>
      <c r="I288" s="251" t="s">
        <v>682</v>
      </c>
      <c r="J288" s="251" t="s">
        <v>1689</v>
      </c>
      <c r="K288" s="251" t="s">
        <v>1760</v>
      </c>
    </row>
    <row r="289" spans="2:11">
      <c r="B289" s="250">
        <v>287</v>
      </c>
      <c r="C289" s="251" t="s">
        <v>1761</v>
      </c>
      <c r="D289" s="251" t="s">
        <v>1762</v>
      </c>
      <c r="E289" s="251" t="s">
        <v>1763</v>
      </c>
      <c r="F289" s="251" t="s">
        <v>679</v>
      </c>
      <c r="G289" s="251" t="s">
        <v>680</v>
      </c>
      <c r="H289" s="251" t="s">
        <v>681</v>
      </c>
      <c r="I289" s="251" t="s">
        <v>682</v>
      </c>
      <c r="J289" s="251" t="s">
        <v>1764</v>
      </c>
      <c r="K289" s="251" t="s">
        <v>1765</v>
      </c>
    </row>
    <row r="290" spans="2:11">
      <c r="B290" s="250">
        <v>288</v>
      </c>
      <c r="C290" s="251" t="s">
        <v>1766</v>
      </c>
      <c r="D290" s="251" t="s">
        <v>1767</v>
      </c>
      <c r="E290" s="251" t="s">
        <v>1768</v>
      </c>
      <c r="F290" s="251" t="s">
        <v>679</v>
      </c>
      <c r="G290" s="251" t="s">
        <v>680</v>
      </c>
      <c r="H290" s="251" t="s">
        <v>681</v>
      </c>
      <c r="I290" s="251" t="s">
        <v>682</v>
      </c>
      <c r="J290" s="251" t="s">
        <v>1764</v>
      </c>
      <c r="K290" s="251" t="s">
        <v>1769</v>
      </c>
    </row>
    <row r="291" spans="2:11">
      <c r="B291" s="250">
        <v>289</v>
      </c>
      <c r="C291" s="251" t="s">
        <v>1770</v>
      </c>
      <c r="D291" s="251" t="s">
        <v>1771</v>
      </c>
      <c r="E291" s="251" t="s">
        <v>1772</v>
      </c>
      <c r="F291" s="251" t="s">
        <v>679</v>
      </c>
      <c r="G291" s="251" t="s">
        <v>680</v>
      </c>
      <c r="H291" s="251" t="s">
        <v>681</v>
      </c>
      <c r="I291" s="251" t="s">
        <v>682</v>
      </c>
      <c r="J291" s="251" t="s">
        <v>1764</v>
      </c>
      <c r="K291" s="251" t="s">
        <v>1773</v>
      </c>
    </row>
    <row r="292" spans="2:11">
      <c r="B292" s="250">
        <v>290</v>
      </c>
      <c r="C292" s="251" t="s">
        <v>1774</v>
      </c>
      <c r="D292" s="251" t="s">
        <v>1775</v>
      </c>
      <c r="E292" s="251" t="s">
        <v>790</v>
      </c>
      <c r="F292" s="251" t="s">
        <v>679</v>
      </c>
      <c r="G292" s="251" t="s">
        <v>680</v>
      </c>
      <c r="H292" s="251" t="s">
        <v>681</v>
      </c>
      <c r="I292" s="251" t="s">
        <v>682</v>
      </c>
      <c r="J292" s="251" t="s">
        <v>1764</v>
      </c>
      <c r="K292" s="251" t="s">
        <v>1776</v>
      </c>
    </row>
    <row r="293" spans="2:11">
      <c r="B293" s="250">
        <v>291</v>
      </c>
      <c r="C293" s="251" t="s">
        <v>1777</v>
      </c>
      <c r="D293" s="251" t="s">
        <v>1778</v>
      </c>
      <c r="E293" s="251" t="s">
        <v>952</v>
      </c>
      <c r="F293" s="251" t="s">
        <v>679</v>
      </c>
      <c r="G293" s="251" t="s">
        <v>680</v>
      </c>
      <c r="H293" s="251" t="s">
        <v>681</v>
      </c>
      <c r="I293" s="251" t="s">
        <v>682</v>
      </c>
      <c r="J293" s="251" t="s">
        <v>1764</v>
      </c>
      <c r="K293" s="251" t="s">
        <v>1779</v>
      </c>
    </row>
    <row r="294" spans="2:11">
      <c r="B294" s="250">
        <v>292</v>
      </c>
      <c r="C294" s="251" t="s">
        <v>1780</v>
      </c>
      <c r="D294" s="251" t="s">
        <v>1781</v>
      </c>
      <c r="E294" s="251" t="s">
        <v>1782</v>
      </c>
      <c r="F294" s="251" t="s">
        <v>679</v>
      </c>
      <c r="G294" s="251" t="s">
        <v>680</v>
      </c>
      <c r="H294" s="251" t="s">
        <v>681</v>
      </c>
      <c r="I294" s="251" t="s">
        <v>682</v>
      </c>
      <c r="J294" s="251" t="s">
        <v>1764</v>
      </c>
      <c r="K294" s="251" t="s">
        <v>1783</v>
      </c>
    </row>
    <row r="295" spans="2:11">
      <c r="B295" s="250">
        <v>293</v>
      </c>
      <c r="C295" s="251" t="s">
        <v>1784</v>
      </c>
      <c r="D295" s="251" t="s">
        <v>1785</v>
      </c>
      <c r="E295" s="251" t="s">
        <v>1596</v>
      </c>
      <c r="F295" s="251" t="s">
        <v>679</v>
      </c>
      <c r="G295" s="251" t="s">
        <v>680</v>
      </c>
      <c r="H295" s="251" t="s">
        <v>681</v>
      </c>
      <c r="I295" s="251" t="s">
        <v>682</v>
      </c>
      <c r="J295" s="251" t="s">
        <v>1764</v>
      </c>
      <c r="K295" s="251" t="s">
        <v>1786</v>
      </c>
    </row>
    <row r="296" spans="2:11">
      <c r="B296" s="250">
        <v>294</v>
      </c>
      <c r="C296" s="251" t="s">
        <v>1787</v>
      </c>
      <c r="D296" s="251" t="s">
        <v>1788</v>
      </c>
      <c r="E296" s="251" t="s">
        <v>1789</v>
      </c>
      <c r="F296" s="251" t="s">
        <v>679</v>
      </c>
      <c r="G296" s="251" t="s">
        <v>680</v>
      </c>
      <c r="H296" s="251" t="s">
        <v>681</v>
      </c>
      <c r="I296" s="251" t="s">
        <v>682</v>
      </c>
      <c r="J296" s="251" t="s">
        <v>1764</v>
      </c>
      <c r="K296" s="251" t="s">
        <v>1790</v>
      </c>
    </row>
    <row r="297" spans="2:11">
      <c r="B297" s="250">
        <v>295</v>
      </c>
      <c r="C297" s="251" t="s">
        <v>1791</v>
      </c>
      <c r="D297" s="251" t="s">
        <v>1792</v>
      </c>
      <c r="E297" s="251" t="s">
        <v>1793</v>
      </c>
      <c r="F297" s="251" t="s">
        <v>679</v>
      </c>
      <c r="G297" s="251" t="s">
        <v>680</v>
      </c>
      <c r="H297" s="251" t="s">
        <v>681</v>
      </c>
      <c r="I297" s="251" t="s">
        <v>682</v>
      </c>
      <c r="J297" s="251" t="s">
        <v>1764</v>
      </c>
      <c r="K297" s="251" t="s">
        <v>1794</v>
      </c>
    </row>
    <row r="298" spans="2:11">
      <c r="B298" s="250">
        <v>296</v>
      </c>
      <c r="C298" s="251" t="s">
        <v>1795</v>
      </c>
      <c r="D298" s="251" t="s">
        <v>1796</v>
      </c>
      <c r="E298" s="251" t="s">
        <v>1797</v>
      </c>
      <c r="F298" s="251" t="s">
        <v>679</v>
      </c>
      <c r="G298" s="251" t="s">
        <v>680</v>
      </c>
      <c r="H298" s="251" t="s">
        <v>681</v>
      </c>
      <c r="I298" s="251" t="s">
        <v>682</v>
      </c>
      <c r="J298" s="251" t="s">
        <v>1798</v>
      </c>
      <c r="K298" s="251" t="s">
        <v>1799</v>
      </c>
    </row>
    <row r="299" spans="2:11">
      <c r="B299" s="250">
        <v>297</v>
      </c>
      <c r="C299" s="251" t="s">
        <v>1800</v>
      </c>
      <c r="D299" s="251" t="s">
        <v>1801</v>
      </c>
      <c r="E299" s="251" t="s">
        <v>1802</v>
      </c>
      <c r="F299" s="251" t="s">
        <v>679</v>
      </c>
      <c r="G299" s="251" t="s">
        <v>680</v>
      </c>
      <c r="H299" s="251" t="s">
        <v>681</v>
      </c>
      <c r="I299" s="251" t="s">
        <v>682</v>
      </c>
      <c r="J299" s="251" t="s">
        <v>1798</v>
      </c>
      <c r="K299" s="251" t="s">
        <v>1803</v>
      </c>
    </row>
    <row r="300" spans="2:11">
      <c r="B300" s="250">
        <v>298</v>
      </c>
      <c r="C300" s="251" t="s">
        <v>1804</v>
      </c>
      <c r="D300" s="251" t="s">
        <v>1805</v>
      </c>
      <c r="E300" s="251" t="s">
        <v>1806</v>
      </c>
      <c r="F300" s="251" t="s">
        <v>679</v>
      </c>
      <c r="G300" s="251" t="s">
        <v>680</v>
      </c>
      <c r="H300" s="251" t="s">
        <v>681</v>
      </c>
      <c r="I300" s="251" t="s">
        <v>682</v>
      </c>
      <c r="J300" s="251" t="s">
        <v>1798</v>
      </c>
      <c r="K300" s="251" t="s">
        <v>1807</v>
      </c>
    </row>
    <row r="301" spans="2:11">
      <c r="B301" s="250">
        <v>299</v>
      </c>
      <c r="C301" s="251" t="s">
        <v>1808</v>
      </c>
      <c r="D301" s="251" t="s">
        <v>1809</v>
      </c>
      <c r="E301" s="251" t="s">
        <v>1810</v>
      </c>
      <c r="F301" s="251" t="s">
        <v>679</v>
      </c>
      <c r="G301" s="251" t="s">
        <v>680</v>
      </c>
      <c r="H301" s="251" t="s">
        <v>681</v>
      </c>
      <c r="I301" s="251" t="s">
        <v>682</v>
      </c>
      <c r="J301" s="251" t="s">
        <v>1798</v>
      </c>
      <c r="K301" s="251" t="s">
        <v>1811</v>
      </c>
    </row>
    <row r="302" spans="2:11">
      <c r="B302" s="250">
        <v>300</v>
      </c>
      <c r="C302" s="251" t="s">
        <v>1812</v>
      </c>
      <c r="D302" s="251" t="s">
        <v>1813</v>
      </c>
      <c r="E302" s="251" t="s">
        <v>1814</v>
      </c>
      <c r="F302" s="251" t="s">
        <v>679</v>
      </c>
      <c r="G302" s="251" t="s">
        <v>680</v>
      </c>
      <c r="H302" s="251" t="s">
        <v>681</v>
      </c>
      <c r="I302" s="251" t="s">
        <v>682</v>
      </c>
      <c r="J302" s="251" t="s">
        <v>1798</v>
      </c>
      <c r="K302" s="251" t="s">
        <v>1815</v>
      </c>
    </row>
    <row r="303" spans="2:11">
      <c r="B303" s="250">
        <v>301</v>
      </c>
      <c r="C303" s="251" t="s">
        <v>1816</v>
      </c>
      <c r="D303" s="251" t="s">
        <v>1817</v>
      </c>
      <c r="E303" s="251" t="s">
        <v>1459</v>
      </c>
      <c r="F303" s="251" t="s">
        <v>679</v>
      </c>
      <c r="G303" s="251" t="s">
        <v>680</v>
      </c>
      <c r="H303" s="251" t="s">
        <v>681</v>
      </c>
      <c r="I303" s="251" t="s">
        <v>682</v>
      </c>
      <c r="J303" s="251" t="s">
        <v>1798</v>
      </c>
      <c r="K303" s="251" t="s">
        <v>1818</v>
      </c>
    </row>
    <row r="304" spans="2:11">
      <c r="B304" s="250">
        <v>302</v>
      </c>
      <c r="C304" s="251" t="s">
        <v>1819</v>
      </c>
      <c r="D304" s="251" t="s">
        <v>1820</v>
      </c>
      <c r="E304" s="251" t="s">
        <v>1821</v>
      </c>
      <c r="F304" s="251" t="s">
        <v>679</v>
      </c>
      <c r="G304" s="251" t="s">
        <v>680</v>
      </c>
      <c r="H304" s="251" t="s">
        <v>681</v>
      </c>
      <c r="I304" s="251" t="s">
        <v>682</v>
      </c>
      <c r="J304" s="251" t="s">
        <v>1798</v>
      </c>
      <c r="K304" s="251" t="s">
        <v>1822</v>
      </c>
    </row>
    <row r="305" spans="2:11">
      <c r="B305" s="250">
        <v>303</v>
      </c>
      <c r="C305" s="251" t="s">
        <v>1823</v>
      </c>
      <c r="D305" s="251" t="s">
        <v>1824</v>
      </c>
      <c r="E305" s="251" t="s">
        <v>1825</v>
      </c>
      <c r="F305" s="251" t="s">
        <v>679</v>
      </c>
      <c r="G305" s="251" t="s">
        <v>680</v>
      </c>
      <c r="H305" s="251" t="s">
        <v>681</v>
      </c>
      <c r="I305" s="251" t="s">
        <v>682</v>
      </c>
      <c r="J305" s="251" t="s">
        <v>1798</v>
      </c>
      <c r="K305" s="251" t="s">
        <v>1826</v>
      </c>
    </row>
    <row r="306" spans="2:11">
      <c r="B306" s="250">
        <v>304</v>
      </c>
      <c r="C306" s="251" t="s">
        <v>1827</v>
      </c>
      <c r="D306" s="251" t="s">
        <v>1828</v>
      </c>
      <c r="E306" s="251" t="s">
        <v>1291</v>
      </c>
      <c r="F306" s="251" t="s">
        <v>679</v>
      </c>
      <c r="G306" s="251" t="s">
        <v>680</v>
      </c>
      <c r="H306" s="251" t="s">
        <v>681</v>
      </c>
      <c r="I306" s="251" t="s">
        <v>682</v>
      </c>
      <c r="J306" s="251" t="s">
        <v>1798</v>
      </c>
      <c r="K306" s="251" t="s">
        <v>1829</v>
      </c>
    </row>
    <row r="307" spans="2:11">
      <c r="B307" s="250">
        <v>305</v>
      </c>
      <c r="C307" s="251" t="s">
        <v>1830</v>
      </c>
      <c r="D307" s="251" t="s">
        <v>1831</v>
      </c>
      <c r="E307" s="251" t="s">
        <v>1832</v>
      </c>
      <c r="F307" s="251" t="s">
        <v>679</v>
      </c>
      <c r="G307" s="251" t="s">
        <v>680</v>
      </c>
      <c r="H307" s="251" t="s">
        <v>681</v>
      </c>
      <c r="I307" s="251" t="s">
        <v>682</v>
      </c>
      <c r="J307" s="251" t="s">
        <v>1798</v>
      </c>
      <c r="K307" s="251" t="s">
        <v>1833</v>
      </c>
    </row>
    <row r="308" spans="2:11">
      <c r="B308" s="250">
        <v>306</v>
      </c>
      <c r="C308" s="251" t="s">
        <v>1834</v>
      </c>
      <c r="D308" s="251" t="s">
        <v>1835</v>
      </c>
      <c r="E308" s="251" t="s">
        <v>1000</v>
      </c>
      <c r="F308" s="251" t="s">
        <v>679</v>
      </c>
      <c r="G308" s="251" t="s">
        <v>680</v>
      </c>
      <c r="H308" s="251" t="s">
        <v>681</v>
      </c>
      <c r="I308" s="251" t="s">
        <v>682</v>
      </c>
      <c r="J308" s="251" t="s">
        <v>1798</v>
      </c>
      <c r="K308" s="251" t="s">
        <v>1836</v>
      </c>
    </row>
    <row r="309" spans="2:11">
      <c r="B309" s="250">
        <v>307</v>
      </c>
      <c r="C309" s="251" t="s">
        <v>1837</v>
      </c>
      <c r="D309" s="251" t="s">
        <v>1838</v>
      </c>
      <c r="E309" s="251" t="s">
        <v>1839</v>
      </c>
      <c r="F309" s="251" t="s">
        <v>679</v>
      </c>
      <c r="G309" s="251" t="s">
        <v>680</v>
      </c>
      <c r="H309" s="251" t="s">
        <v>681</v>
      </c>
      <c r="I309" s="251" t="s">
        <v>682</v>
      </c>
      <c r="J309" s="251" t="s">
        <v>1798</v>
      </c>
      <c r="K309" s="251" t="s">
        <v>1840</v>
      </c>
    </row>
    <row r="310" spans="2:11">
      <c r="B310" s="250">
        <v>308</v>
      </c>
      <c r="C310" s="251" t="s">
        <v>1841</v>
      </c>
      <c r="D310" s="251" t="s">
        <v>1842</v>
      </c>
      <c r="E310" s="251" t="s">
        <v>1843</v>
      </c>
      <c r="F310" s="251" t="s">
        <v>679</v>
      </c>
      <c r="G310" s="251" t="s">
        <v>680</v>
      </c>
      <c r="H310" s="251" t="s">
        <v>681</v>
      </c>
      <c r="I310" s="251" t="s">
        <v>682</v>
      </c>
      <c r="J310" s="251" t="s">
        <v>1798</v>
      </c>
      <c r="K310" s="251" t="s">
        <v>696</v>
      </c>
    </row>
    <row r="311" spans="2:11">
      <c r="B311" s="250">
        <v>309</v>
      </c>
      <c r="C311" s="251" t="s">
        <v>1844</v>
      </c>
      <c r="D311" s="251" t="s">
        <v>1845</v>
      </c>
      <c r="E311" s="251" t="s">
        <v>1846</v>
      </c>
      <c r="F311" s="251" t="s">
        <v>679</v>
      </c>
      <c r="G311" s="251" t="s">
        <v>680</v>
      </c>
      <c r="H311" s="251" t="s">
        <v>681</v>
      </c>
      <c r="I311" s="251" t="s">
        <v>682</v>
      </c>
      <c r="J311" s="251" t="s">
        <v>1798</v>
      </c>
      <c r="K311" s="251" t="s">
        <v>1847</v>
      </c>
    </row>
    <row r="312" spans="2:11">
      <c r="B312" s="250">
        <v>310</v>
      </c>
      <c r="C312" s="251" t="s">
        <v>1848</v>
      </c>
      <c r="D312" s="251" t="s">
        <v>1849</v>
      </c>
      <c r="E312" s="251" t="s">
        <v>1244</v>
      </c>
      <c r="F312" s="251" t="s">
        <v>679</v>
      </c>
      <c r="G312" s="251" t="s">
        <v>680</v>
      </c>
      <c r="H312" s="251" t="s">
        <v>681</v>
      </c>
      <c r="I312" s="251" t="s">
        <v>682</v>
      </c>
      <c r="J312" s="251" t="s">
        <v>1798</v>
      </c>
      <c r="K312" s="251" t="s">
        <v>1850</v>
      </c>
    </row>
    <row r="313" spans="2:11">
      <c r="B313" s="250">
        <v>311</v>
      </c>
      <c r="C313" s="251" t="s">
        <v>1851</v>
      </c>
      <c r="D313" s="251" t="s">
        <v>1852</v>
      </c>
      <c r="E313" s="251" t="s">
        <v>1262</v>
      </c>
      <c r="F313" s="251" t="s">
        <v>679</v>
      </c>
      <c r="G313" s="251" t="s">
        <v>680</v>
      </c>
      <c r="H313" s="251" t="s">
        <v>681</v>
      </c>
      <c r="I313" s="251" t="s">
        <v>682</v>
      </c>
      <c r="J313" s="251" t="s">
        <v>1798</v>
      </c>
      <c r="K313" s="251" t="s">
        <v>1853</v>
      </c>
    </row>
    <row r="314" spans="2:11">
      <c r="B314" s="250">
        <v>312</v>
      </c>
      <c r="C314" s="251" t="s">
        <v>1854</v>
      </c>
      <c r="D314" s="251" t="s">
        <v>1855</v>
      </c>
      <c r="E314" s="251" t="s">
        <v>916</v>
      </c>
      <c r="F314" s="251" t="s">
        <v>679</v>
      </c>
      <c r="G314" s="251" t="s">
        <v>680</v>
      </c>
      <c r="H314" s="251" t="s">
        <v>681</v>
      </c>
      <c r="I314" s="251" t="s">
        <v>682</v>
      </c>
      <c r="J314" s="251" t="s">
        <v>1798</v>
      </c>
      <c r="K314" s="251" t="s">
        <v>1856</v>
      </c>
    </row>
    <row r="315" spans="2:11">
      <c r="B315" s="250">
        <v>313</v>
      </c>
      <c r="C315" s="251" t="s">
        <v>1857</v>
      </c>
      <c r="D315" s="251" t="s">
        <v>1858</v>
      </c>
      <c r="E315" s="251" t="s">
        <v>1046</v>
      </c>
      <c r="F315" s="251" t="s">
        <v>679</v>
      </c>
      <c r="G315" s="251" t="s">
        <v>680</v>
      </c>
      <c r="H315" s="251" t="s">
        <v>681</v>
      </c>
      <c r="I315" s="251" t="s">
        <v>682</v>
      </c>
      <c r="J315" s="251" t="s">
        <v>1798</v>
      </c>
      <c r="K315" s="251" t="s">
        <v>1859</v>
      </c>
    </row>
    <row r="316" spans="2:11">
      <c r="B316" s="250">
        <v>314</v>
      </c>
      <c r="C316" s="251" t="s">
        <v>1860</v>
      </c>
      <c r="D316" s="251" t="s">
        <v>1861</v>
      </c>
      <c r="E316" s="251" t="s">
        <v>1862</v>
      </c>
      <c r="F316" s="251" t="s">
        <v>679</v>
      </c>
      <c r="G316" s="251" t="s">
        <v>680</v>
      </c>
      <c r="H316" s="251" t="s">
        <v>681</v>
      </c>
      <c r="I316" s="251" t="s">
        <v>682</v>
      </c>
      <c r="J316" s="251" t="s">
        <v>1798</v>
      </c>
      <c r="K316" s="251" t="s">
        <v>1863</v>
      </c>
    </row>
    <row r="317" spans="2:11">
      <c r="B317" s="250">
        <v>315</v>
      </c>
      <c r="C317" s="251" t="s">
        <v>1864</v>
      </c>
      <c r="D317" s="251" t="s">
        <v>1865</v>
      </c>
      <c r="E317" s="251" t="s">
        <v>1866</v>
      </c>
      <c r="F317" s="251" t="s">
        <v>679</v>
      </c>
      <c r="G317" s="251" t="s">
        <v>680</v>
      </c>
      <c r="H317" s="251" t="s">
        <v>681</v>
      </c>
      <c r="I317" s="251" t="s">
        <v>682</v>
      </c>
      <c r="J317" s="251" t="s">
        <v>1798</v>
      </c>
      <c r="K317" s="251" t="s">
        <v>1867</v>
      </c>
    </row>
    <row r="318" spans="2:11">
      <c r="B318" s="250">
        <v>316</v>
      </c>
      <c r="C318" s="251" t="s">
        <v>1868</v>
      </c>
      <c r="D318" s="251" t="s">
        <v>1869</v>
      </c>
      <c r="E318" s="251" t="s">
        <v>1843</v>
      </c>
      <c r="F318" s="251" t="s">
        <v>679</v>
      </c>
      <c r="G318" s="251" t="s">
        <v>680</v>
      </c>
      <c r="H318" s="251" t="s">
        <v>681</v>
      </c>
      <c r="I318" s="251" t="s">
        <v>682</v>
      </c>
      <c r="J318" s="251" t="s">
        <v>1798</v>
      </c>
      <c r="K318" s="251" t="s">
        <v>1870</v>
      </c>
    </row>
    <row r="319" spans="2:11">
      <c r="B319" s="250">
        <v>317</v>
      </c>
      <c r="C319" s="251" t="s">
        <v>1871</v>
      </c>
      <c r="D319" s="251" t="s">
        <v>1872</v>
      </c>
      <c r="E319" s="251" t="s">
        <v>834</v>
      </c>
      <c r="F319" s="251" t="s">
        <v>679</v>
      </c>
      <c r="G319" s="251" t="s">
        <v>680</v>
      </c>
      <c r="H319" s="251" t="s">
        <v>681</v>
      </c>
      <c r="I319" s="251" t="s">
        <v>682</v>
      </c>
      <c r="J319" s="251" t="s">
        <v>1798</v>
      </c>
      <c r="K319" s="251" t="s">
        <v>1873</v>
      </c>
    </row>
    <row r="320" spans="2:11">
      <c r="B320" s="250">
        <v>318</v>
      </c>
      <c r="C320" s="251" t="s">
        <v>1874</v>
      </c>
      <c r="D320" s="251" t="s">
        <v>1875</v>
      </c>
      <c r="E320" s="251" t="s">
        <v>1876</v>
      </c>
      <c r="F320" s="251" t="s">
        <v>679</v>
      </c>
      <c r="G320" s="251" t="s">
        <v>680</v>
      </c>
      <c r="H320" s="251" t="s">
        <v>681</v>
      </c>
      <c r="I320" s="251" t="s">
        <v>682</v>
      </c>
      <c r="J320" s="251" t="s">
        <v>1798</v>
      </c>
      <c r="K320" s="251" t="s">
        <v>1877</v>
      </c>
    </row>
    <row r="321" spans="2:11">
      <c r="B321" s="250">
        <v>319</v>
      </c>
      <c r="C321" s="251" t="s">
        <v>1878</v>
      </c>
      <c r="D321" s="251" t="s">
        <v>1879</v>
      </c>
      <c r="E321" s="251" t="s">
        <v>1880</v>
      </c>
      <c r="F321" s="251" t="s">
        <v>679</v>
      </c>
      <c r="G321" s="251" t="s">
        <v>680</v>
      </c>
      <c r="H321" s="251" t="s">
        <v>681</v>
      </c>
      <c r="I321" s="251" t="s">
        <v>682</v>
      </c>
      <c r="J321" s="251" t="s">
        <v>1798</v>
      </c>
      <c r="K321" s="251" t="s">
        <v>1881</v>
      </c>
    </row>
    <row r="322" spans="2:11">
      <c r="B322" s="250">
        <v>320</v>
      </c>
      <c r="C322" s="251" t="s">
        <v>1882</v>
      </c>
      <c r="D322" s="251" t="s">
        <v>1883</v>
      </c>
      <c r="E322" s="251" t="s">
        <v>1884</v>
      </c>
      <c r="F322" s="251" t="s">
        <v>679</v>
      </c>
      <c r="G322" s="251" t="s">
        <v>680</v>
      </c>
      <c r="H322" s="251" t="s">
        <v>681</v>
      </c>
      <c r="I322" s="251" t="s">
        <v>682</v>
      </c>
      <c r="J322" s="251" t="s">
        <v>1798</v>
      </c>
      <c r="K322" s="251" t="s">
        <v>1885</v>
      </c>
    </row>
    <row r="323" spans="2:11">
      <c r="B323" s="250">
        <v>321</v>
      </c>
      <c r="C323" s="251" t="s">
        <v>1886</v>
      </c>
      <c r="D323" s="251" t="s">
        <v>1887</v>
      </c>
      <c r="E323" s="251" t="s">
        <v>1888</v>
      </c>
      <c r="F323" s="251" t="s">
        <v>679</v>
      </c>
      <c r="G323" s="251" t="s">
        <v>680</v>
      </c>
      <c r="H323" s="251" t="s">
        <v>681</v>
      </c>
      <c r="I323" s="251" t="s">
        <v>682</v>
      </c>
      <c r="J323" s="251" t="s">
        <v>1889</v>
      </c>
      <c r="K323" s="251" t="s">
        <v>1890</v>
      </c>
    </row>
    <row r="324" spans="2:11">
      <c r="B324" s="250">
        <v>322</v>
      </c>
      <c r="C324" s="251" t="s">
        <v>1891</v>
      </c>
      <c r="D324" s="251" t="s">
        <v>1892</v>
      </c>
      <c r="E324" s="251" t="s">
        <v>1893</v>
      </c>
      <c r="F324" s="251" t="s">
        <v>679</v>
      </c>
      <c r="G324" s="251" t="s">
        <v>680</v>
      </c>
      <c r="H324" s="251" t="s">
        <v>681</v>
      </c>
      <c r="I324" s="251" t="s">
        <v>682</v>
      </c>
      <c r="J324" s="251" t="s">
        <v>1889</v>
      </c>
      <c r="K324" s="251" t="s">
        <v>1894</v>
      </c>
    </row>
    <row r="325" spans="2:11">
      <c r="B325" s="250">
        <v>323</v>
      </c>
      <c r="C325" s="251" t="s">
        <v>1895</v>
      </c>
      <c r="D325" s="251" t="s">
        <v>1896</v>
      </c>
      <c r="E325" s="251" t="s">
        <v>916</v>
      </c>
      <c r="F325" s="251" t="s">
        <v>679</v>
      </c>
      <c r="G325" s="251" t="s">
        <v>680</v>
      </c>
      <c r="H325" s="251" t="s">
        <v>681</v>
      </c>
      <c r="I325" s="251" t="s">
        <v>682</v>
      </c>
      <c r="J325" s="251" t="s">
        <v>1897</v>
      </c>
      <c r="K325" s="251" t="s">
        <v>1898</v>
      </c>
    </row>
    <row r="326" spans="2:11">
      <c r="B326" s="250">
        <v>324</v>
      </c>
      <c r="C326" s="251" t="s">
        <v>1899</v>
      </c>
      <c r="D326" s="251" t="s">
        <v>1900</v>
      </c>
      <c r="E326" s="251" t="s">
        <v>1901</v>
      </c>
      <c r="F326" s="251" t="s">
        <v>679</v>
      </c>
      <c r="G326" s="251" t="s">
        <v>680</v>
      </c>
      <c r="H326" s="251" t="s">
        <v>681</v>
      </c>
      <c r="I326" s="251" t="s">
        <v>682</v>
      </c>
      <c r="J326" s="251" t="s">
        <v>1902</v>
      </c>
      <c r="K326" s="251" t="s">
        <v>1903</v>
      </c>
    </row>
    <row r="327" spans="2:11">
      <c r="B327" s="250">
        <v>325</v>
      </c>
      <c r="C327" s="251" t="s">
        <v>1904</v>
      </c>
      <c r="D327" s="251" t="s">
        <v>1905</v>
      </c>
      <c r="E327" s="251" t="s">
        <v>1906</v>
      </c>
      <c r="F327" s="251" t="s">
        <v>679</v>
      </c>
      <c r="G327" s="251" t="s">
        <v>680</v>
      </c>
      <c r="H327" s="251" t="s">
        <v>681</v>
      </c>
      <c r="I327" s="251" t="s">
        <v>682</v>
      </c>
      <c r="J327" s="251" t="s">
        <v>1902</v>
      </c>
      <c r="K327" s="251" t="s">
        <v>1907</v>
      </c>
    </row>
    <row r="328" spans="2:11">
      <c r="B328" s="250">
        <v>326</v>
      </c>
      <c r="C328" s="251" t="s">
        <v>1908</v>
      </c>
      <c r="D328" s="251" t="s">
        <v>1909</v>
      </c>
      <c r="E328" s="251" t="s">
        <v>1910</v>
      </c>
      <c r="F328" s="251" t="s">
        <v>679</v>
      </c>
      <c r="G328" s="251" t="s">
        <v>680</v>
      </c>
      <c r="H328" s="251" t="s">
        <v>681</v>
      </c>
      <c r="I328" s="251" t="s">
        <v>682</v>
      </c>
      <c r="J328" s="251" t="s">
        <v>1902</v>
      </c>
      <c r="K328" s="251" t="s">
        <v>1911</v>
      </c>
    </row>
    <row r="329" spans="2:11">
      <c r="B329" s="250">
        <v>327</v>
      </c>
      <c r="C329" s="251" t="s">
        <v>1912</v>
      </c>
      <c r="D329" s="251" t="s">
        <v>1913</v>
      </c>
      <c r="E329" s="251" t="s">
        <v>1914</v>
      </c>
      <c r="F329" s="251" t="s">
        <v>679</v>
      </c>
      <c r="G329" s="251" t="s">
        <v>680</v>
      </c>
      <c r="H329" s="251" t="s">
        <v>681</v>
      </c>
      <c r="I329" s="251" t="s">
        <v>682</v>
      </c>
      <c r="J329" s="251" t="s">
        <v>1902</v>
      </c>
      <c r="K329" s="251" t="s">
        <v>1915</v>
      </c>
    </row>
    <row r="330" spans="2:11">
      <c r="B330" s="250">
        <v>328</v>
      </c>
      <c r="C330" s="251" t="s">
        <v>1916</v>
      </c>
      <c r="D330" s="251" t="s">
        <v>1917</v>
      </c>
      <c r="E330" s="251" t="s">
        <v>1918</v>
      </c>
      <c r="F330" s="251" t="s">
        <v>679</v>
      </c>
      <c r="G330" s="251" t="s">
        <v>680</v>
      </c>
      <c r="H330" s="251" t="s">
        <v>681</v>
      </c>
      <c r="I330" s="251" t="s">
        <v>682</v>
      </c>
      <c r="J330" s="251" t="s">
        <v>1902</v>
      </c>
      <c r="K330" s="251" t="s">
        <v>1919</v>
      </c>
    </row>
    <row r="331" spans="2:11">
      <c r="B331" s="250">
        <v>329</v>
      </c>
      <c r="C331" s="251" t="s">
        <v>1920</v>
      </c>
      <c r="D331" s="251" t="s">
        <v>1921</v>
      </c>
      <c r="E331" s="251" t="s">
        <v>1922</v>
      </c>
      <c r="F331" s="251" t="s">
        <v>679</v>
      </c>
      <c r="G331" s="251" t="s">
        <v>680</v>
      </c>
      <c r="H331" s="251" t="s">
        <v>681</v>
      </c>
      <c r="I331" s="251" t="s">
        <v>682</v>
      </c>
      <c r="J331" s="251" t="s">
        <v>1902</v>
      </c>
      <c r="K331" s="251" t="s">
        <v>1923</v>
      </c>
    </row>
    <row r="332" spans="2:11">
      <c r="B332" s="250">
        <v>330</v>
      </c>
      <c r="C332" s="251" t="s">
        <v>1924</v>
      </c>
      <c r="D332" s="251" t="s">
        <v>1925</v>
      </c>
      <c r="E332" s="251" t="s">
        <v>1926</v>
      </c>
      <c r="F332" s="251" t="s">
        <v>679</v>
      </c>
      <c r="G332" s="251" t="s">
        <v>680</v>
      </c>
      <c r="H332" s="251" t="s">
        <v>681</v>
      </c>
      <c r="I332" s="251" t="s">
        <v>682</v>
      </c>
      <c r="J332" s="251" t="s">
        <v>1902</v>
      </c>
      <c r="K332" s="251" t="s">
        <v>1927</v>
      </c>
    </row>
    <row r="333" spans="2:11">
      <c r="B333" s="250">
        <v>331</v>
      </c>
      <c r="C333" s="251" t="s">
        <v>1928</v>
      </c>
      <c r="D333" s="251" t="s">
        <v>1929</v>
      </c>
      <c r="E333" s="251" t="s">
        <v>1930</v>
      </c>
      <c r="F333" s="251" t="s">
        <v>679</v>
      </c>
      <c r="G333" s="251" t="s">
        <v>680</v>
      </c>
      <c r="H333" s="251" t="s">
        <v>681</v>
      </c>
      <c r="I333" s="251" t="s">
        <v>682</v>
      </c>
      <c r="J333" s="251" t="s">
        <v>1902</v>
      </c>
      <c r="K333" s="251" t="s">
        <v>1931</v>
      </c>
    </row>
    <row r="334" spans="2:11">
      <c r="B334" s="250">
        <v>332</v>
      </c>
      <c r="C334" s="251" t="s">
        <v>1932</v>
      </c>
      <c r="D334" s="251" t="s">
        <v>1933</v>
      </c>
      <c r="E334" s="251" t="s">
        <v>687</v>
      </c>
      <c r="F334" s="251" t="s">
        <v>679</v>
      </c>
      <c r="G334" s="251" t="s">
        <v>680</v>
      </c>
      <c r="H334" s="251" t="s">
        <v>681</v>
      </c>
      <c r="I334" s="251" t="s">
        <v>682</v>
      </c>
      <c r="J334" s="251" t="s">
        <v>1902</v>
      </c>
      <c r="K334" s="251" t="s">
        <v>1934</v>
      </c>
    </row>
    <row r="335" spans="2:11">
      <c r="B335" s="250">
        <v>333</v>
      </c>
      <c r="C335" s="251" t="s">
        <v>1935</v>
      </c>
      <c r="D335" s="251" t="s">
        <v>1936</v>
      </c>
      <c r="E335" s="251" t="s">
        <v>1031</v>
      </c>
      <c r="F335" s="251" t="s">
        <v>679</v>
      </c>
      <c r="G335" s="251" t="s">
        <v>680</v>
      </c>
      <c r="H335" s="251" t="s">
        <v>681</v>
      </c>
      <c r="I335" s="251" t="s">
        <v>682</v>
      </c>
      <c r="J335" s="251" t="s">
        <v>1902</v>
      </c>
      <c r="K335" s="251" t="s">
        <v>1937</v>
      </c>
    </row>
    <row r="336" spans="2:11">
      <c r="B336" s="250">
        <v>334</v>
      </c>
      <c r="C336" s="251" t="s">
        <v>1938</v>
      </c>
      <c r="D336" s="251" t="s">
        <v>1939</v>
      </c>
      <c r="E336" s="251" t="s">
        <v>1940</v>
      </c>
      <c r="F336" s="251" t="s">
        <v>679</v>
      </c>
      <c r="G336" s="251" t="s">
        <v>680</v>
      </c>
      <c r="H336" s="251" t="s">
        <v>681</v>
      </c>
      <c r="I336" s="251" t="s">
        <v>682</v>
      </c>
      <c r="J336" s="251" t="s">
        <v>1902</v>
      </c>
      <c r="K336" s="251" t="s">
        <v>1941</v>
      </c>
    </row>
    <row r="337" spans="2:11">
      <c r="B337" s="250">
        <v>335</v>
      </c>
      <c r="C337" s="251" t="s">
        <v>1942</v>
      </c>
      <c r="D337" s="251" t="s">
        <v>1943</v>
      </c>
      <c r="E337" s="251" t="s">
        <v>1944</v>
      </c>
      <c r="F337" s="251" t="s">
        <v>679</v>
      </c>
      <c r="G337" s="251" t="s">
        <v>680</v>
      </c>
      <c r="H337" s="251" t="s">
        <v>681</v>
      </c>
      <c r="I337" s="251" t="s">
        <v>682</v>
      </c>
      <c r="J337" s="251" t="s">
        <v>1902</v>
      </c>
      <c r="K337" s="251" t="s">
        <v>1945</v>
      </c>
    </row>
    <row r="338" spans="2:11">
      <c r="B338" s="250">
        <v>336</v>
      </c>
      <c r="C338" s="251" t="s">
        <v>1946</v>
      </c>
      <c r="D338" s="251" t="s">
        <v>1947</v>
      </c>
      <c r="E338" s="251" t="s">
        <v>1948</v>
      </c>
      <c r="F338" s="251" t="s">
        <v>679</v>
      </c>
      <c r="G338" s="251" t="s">
        <v>680</v>
      </c>
      <c r="H338" s="251" t="s">
        <v>681</v>
      </c>
      <c r="I338" s="251" t="s">
        <v>682</v>
      </c>
      <c r="J338" s="251" t="s">
        <v>1902</v>
      </c>
      <c r="K338" s="251" t="s">
        <v>1949</v>
      </c>
    </row>
    <row r="339" spans="2:11">
      <c r="B339" s="250">
        <v>337</v>
      </c>
      <c r="C339" s="251" t="s">
        <v>1950</v>
      </c>
      <c r="D339" s="251" t="s">
        <v>1951</v>
      </c>
      <c r="E339" s="251" t="s">
        <v>1952</v>
      </c>
      <c r="F339" s="251" t="s">
        <v>679</v>
      </c>
      <c r="G339" s="251" t="s">
        <v>680</v>
      </c>
      <c r="H339" s="251" t="s">
        <v>681</v>
      </c>
      <c r="I339" s="251" t="s">
        <v>682</v>
      </c>
      <c r="J339" s="251" t="s">
        <v>1902</v>
      </c>
      <c r="K339" s="251" t="s">
        <v>1953</v>
      </c>
    </row>
    <row r="340" spans="2:11">
      <c r="B340" s="250">
        <v>338</v>
      </c>
      <c r="C340" s="251" t="s">
        <v>1954</v>
      </c>
      <c r="D340" s="251" t="s">
        <v>1955</v>
      </c>
      <c r="E340" s="251" t="s">
        <v>1956</v>
      </c>
      <c r="F340" s="251" t="s">
        <v>679</v>
      </c>
      <c r="G340" s="251" t="s">
        <v>680</v>
      </c>
      <c r="H340" s="251" t="s">
        <v>681</v>
      </c>
      <c r="I340" s="251" t="s">
        <v>682</v>
      </c>
      <c r="J340" s="251" t="s">
        <v>1902</v>
      </c>
      <c r="K340" s="251" t="s">
        <v>1957</v>
      </c>
    </row>
    <row r="341" spans="2:11">
      <c r="B341" s="250">
        <v>339</v>
      </c>
      <c r="C341" s="251" t="s">
        <v>1958</v>
      </c>
      <c r="D341" s="251" t="s">
        <v>1959</v>
      </c>
      <c r="E341" s="251" t="s">
        <v>1262</v>
      </c>
      <c r="F341" s="251" t="s">
        <v>679</v>
      </c>
      <c r="G341" s="251" t="s">
        <v>680</v>
      </c>
      <c r="H341" s="251" t="s">
        <v>681</v>
      </c>
      <c r="I341" s="251" t="s">
        <v>682</v>
      </c>
      <c r="J341" s="251" t="s">
        <v>1902</v>
      </c>
      <c r="K341" s="251" t="s">
        <v>1919</v>
      </c>
    </row>
    <row r="342" spans="2:11">
      <c r="B342" s="250">
        <v>340</v>
      </c>
      <c r="C342" s="251" t="s">
        <v>1960</v>
      </c>
      <c r="D342" s="251" t="s">
        <v>1961</v>
      </c>
      <c r="E342" s="251" t="s">
        <v>877</v>
      </c>
      <c r="F342" s="251" t="s">
        <v>679</v>
      </c>
      <c r="G342" s="251" t="s">
        <v>680</v>
      </c>
      <c r="H342" s="251" t="s">
        <v>681</v>
      </c>
      <c r="I342" s="251" t="s">
        <v>682</v>
      </c>
      <c r="J342" s="251" t="s">
        <v>1962</v>
      </c>
      <c r="K342" s="251" t="s">
        <v>1963</v>
      </c>
    </row>
    <row r="343" spans="2:11">
      <c r="B343" s="250">
        <v>341</v>
      </c>
      <c r="C343" s="251" t="s">
        <v>1964</v>
      </c>
      <c r="D343" s="251" t="s">
        <v>1965</v>
      </c>
      <c r="E343" s="251" t="s">
        <v>678</v>
      </c>
      <c r="F343" s="251" t="s">
        <v>679</v>
      </c>
      <c r="G343" s="251" t="s">
        <v>680</v>
      </c>
      <c r="H343" s="251" t="s">
        <v>681</v>
      </c>
      <c r="I343" s="251" t="s">
        <v>682</v>
      </c>
      <c r="J343" s="251" t="s">
        <v>1962</v>
      </c>
      <c r="K343" s="251" t="s">
        <v>1966</v>
      </c>
    </row>
    <row r="344" spans="2:11">
      <c r="B344" s="250">
        <v>342</v>
      </c>
      <c r="C344" s="251" t="s">
        <v>1967</v>
      </c>
      <c r="D344" s="251" t="s">
        <v>1968</v>
      </c>
      <c r="E344" s="251" t="s">
        <v>1969</v>
      </c>
      <c r="F344" s="251" t="s">
        <v>679</v>
      </c>
      <c r="G344" s="251" t="s">
        <v>680</v>
      </c>
      <c r="H344" s="251" t="s">
        <v>681</v>
      </c>
      <c r="I344" s="251" t="s">
        <v>682</v>
      </c>
      <c r="J344" s="251" t="s">
        <v>1962</v>
      </c>
      <c r="K344" s="251" t="s">
        <v>1970</v>
      </c>
    </row>
    <row r="345" spans="2:11">
      <c r="B345" s="250">
        <v>343</v>
      </c>
      <c r="C345" s="251" t="s">
        <v>1971</v>
      </c>
      <c r="D345" s="251" t="s">
        <v>1972</v>
      </c>
      <c r="E345" s="251" t="s">
        <v>1031</v>
      </c>
      <c r="F345" s="251" t="s">
        <v>679</v>
      </c>
      <c r="G345" s="251" t="s">
        <v>680</v>
      </c>
      <c r="H345" s="251" t="s">
        <v>681</v>
      </c>
      <c r="I345" s="251" t="s">
        <v>682</v>
      </c>
      <c r="J345" s="251" t="s">
        <v>1962</v>
      </c>
      <c r="K345" s="251" t="s">
        <v>1973</v>
      </c>
    </row>
    <row r="346" spans="2:11">
      <c r="B346" s="250">
        <v>344</v>
      </c>
      <c r="C346" s="251" t="s">
        <v>1974</v>
      </c>
      <c r="D346" s="251" t="s">
        <v>1975</v>
      </c>
      <c r="E346" s="251" t="s">
        <v>703</v>
      </c>
      <c r="F346" s="251" t="s">
        <v>679</v>
      </c>
      <c r="G346" s="251" t="s">
        <v>680</v>
      </c>
      <c r="H346" s="251" t="s">
        <v>681</v>
      </c>
      <c r="I346" s="251" t="s">
        <v>682</v>
      </c>
      <c r="J346" s="251" t="s">
        <v>1962</v>
      </c>
      <c r="K346" s="251" t="s">
        <v>1976</v>
      </c>
    </row>
    <row r="347" spans="2:11">
      <c r="B347" s="250">
        <v>345</v>
      </c>
      <c r="C347" s="251" t="s">
        <v>1977</v>
      </c>
      <c r="D347" s="251" t="s">
        <v>1978</v>
      </c>
      <c r="E347" s="251" t="s">
        <v>1979</v>
      </c>
      <c r="F347" s="251" t="s">
        <v>679</v>
      </c>
      <c r="G347" s="251" t="s">
        <v>680</v>
      </c>
      <c r="H347" s="251" t="s">
        <v>681</v>
      </c>
      <c r="I347" s="251" t="s">
        <v>682</v>
      </c>
      <c r="J347" s="251" t="s">
        <v>1962</v>
      </c>
      <c r="K347" s="251" t="s">
        <v>1980</v>
      </c>
    </row>
    <row r="348" spans="2:11">
      <c r="B348" s="250">
        <v>346</v>
      </c>
      <c r="C348" s="251" t="s">
        <v>1981</v>
      </c>
      <c r="D348" s="251" t="s">
        <v>1982</v>
      </c>
      <c r="E348" s="251" t="s">
        <v>1008</v>
      </c>
      <c r="F348" s="251" t="s">
        <v>679</v>
      </c>
      <c r="G348" s="251" t="s">
        <v>680</v>
      </c>
      <c r="H348" s="251" t="s">
        <v>681</v>
      </c>
      <c r="I348" s="251" t="s">
        <v>682</v>
      </c>
      <c r="J348" s="251" t="s">
        <v>1962</v>
      </c>
      <c r="K348" s="251" t="s">
        <v>1983</v>
      </c>
    </row>
    <row r="349" spans="2:11">
      <c r="B349" s="250">
        <v>347</v>
      </c>
      <c r="C349" s="251" t="s">
        <v>1984</v>
      </c>
      <c r="D349" s="251" t="s">
        <v>1985</v>
      </c>
      <c r="E349" s="251" t="s">
        <v>1176</v>
      </c>
      <c r="F349" s="251" t="s">
        <v>679</v>
      </c>
      <c r="G349" s="251" t="s">
        <v>680</v>
      </c>
      <c r="H349" s="251" t="s">
        <v>681</v>
      </c>
      <c r="I349" s="251" t="s">
        <v>682</v>
      </c>
      <c r="J349" s="251" t="s">
        <v>1962</v>
      </c>
      <c r="K349" s="251" t="s">
        <v>1986</v>
      </c>
    </row>
    <row r="350" spans="2:11">
      <c r="B350" s="250">
        <v>348</v>
      </c>
      <c r="C350" s="251" t="s">
        <v>1987</v>
      </c>
      <c r="D350" s="251" t="s">
        <v>1988</v>
      </c>
      <c r="E350" s="251" t="s">
        <v>916</v>
      </c>
      <c r="F350" s="251" t="s">
        <v>679</v>
      </c>
      <c r="G350" s="251" t="s">
        <v>680</v>
      </c>
      <c r="H350" s="251" t="s">
        <v>681</v>
      </c>
      <c r="I350" s="251" t="s">
        <v>682</v>
      </c>
      <c r="J350" s="251" t="s">
        <v>1962</v>
      </c>
      <c r="K350" s="251" t="s">
        <v>1989</v>
      </c>
    </row>
    <row r="351" spans="2:11">
      <c r="B351" s="250">
        <v>349</v>
      </c>
      <c r="C351" s="251" t="s">
        <v>1990</v>
      </c>
      <c r="D351" s="251" t="s">
        <v>1991</v>
      </c>
      <c r="E351" s="251" t="s">
        <v>933</v>
      </c>
      <c r="F351" s="251" t="s">
        <v>679</v>
      </c>
      <c r="G351" s="251" t="s">
        <v>680</v>
      </c>
      <c r="H351" s="251" t="s">
        <v>681</v>
      </c>
      <c r="I351" s="251" t="s">
        <v>682</v>
      </c>
      <c r="J351" s="251" t="s">
        <v>1962</v>
      </c>
      <c r="K351" s="251" t="s">
        <v>1992</v>
      </c>
    </row>
    <row r="352" spans="2:11">
      <c r="B352" s="250">
        <v>350</v>
      </c>
      <c r="C352" s="251" t="s">
        <v>1993</v>
      </c>
      <c r="D352" s="251" t="s">
        <v>1994</v>
      </c>
      <c r="E352" s="251" t="s">
        <v>1995</v>
      </c>
      <c r="F352" s="251" t="s">
        <v>679</v>
      </c>
      <c r="G352" s="251" t="s">
        <v>680</v>
      </c>
      <c r="H352" s="251" t="s">
        <v>681</v>
      </c>
      <c r="I352" s="251" t="s">
        <v>682</v>
      </c>
      <c r="J352" s="251" t="s">
        <v>1962</v>
      </c>
      <c r="K352" s="251" t="s">
        <v>1996</v>
      </c>
    </row>
    <row r="353" spans="2:11">
      <c r="B353" s="257">
        <v>351</v>
      </c>
      <c r="C353" s="263" t="s">
        <v>1997</v>
      </c>
      <c r="D353" s="263" t="s">
        <v>1998</v>
      </c>
      <c r="E353" s="263" t="s">
        <v>1046</v>
      </c>
      <c r="F353" s="263" t="s">
        <v>679</v>
      </c>
      <c r="G353" s="263" t="s">
        <v>680</v>
      </c>
      <c r="H353" s="263" t="s">
        <v>681</v>
      </c>
      <c r="I353" s="263" t="s">
        <v>682</v>
      </c>
      <c r="J353" s="263" t="s">
        <v>2234</v>
      </c>
      <c r="K353" s="251" t="s">
        <v>2000</v>
      </c>
    </row>
    <row r="354" spans="2:11">
      <c r="B354" s="257">
        <v>352</v>
      </c>
      <c r="C354" s="263" t="s">
        <v>2001</v>
      </c>
      <c r="D354" s="263" t="s">
        <v>2002</v>
      </c>
      <c r="E354" s="263" t="s">
        <v>2003</v>
      </c>
      <c r="F354" s="263" t="s">
        <v>679</v>
      </c>
      <c r="G354" s="263" t="s">
        <v>680</v>
      </c>
      <c r="H354" s="263" t="s">
        <v>681</v>
      </c>
      <c r="I354" s="263" t="s">
        <v>682</v>
      </c>
      <c r="J354" s="263" t="s">
        <v>2234</v>
      </c>
      <c r="K354" s="251" t="s">
        <v>2004</v>
      </c>
    </row>
    <row r="355" spans="2:11">
      <c r="B355" s="257">
        <v>353</v>
      </c>
      <c r="C355" s="263" t="s">
        <v>2005</v>
      </c>
      <c r="D355" s="263" t="s">
        <v>2006</v>
      </c>
      <c r="E355" s="263" t="s">
        <v>2007</v>
      </c>
      <c r="F355" s="263" t="s">
        <v>679</v>
      </c>
      <c r="G355" s="263" t="s">
        <v>680</v>
      </c>
      <c r="H355" s="263" t="s">
        <v>681</v>
      </c>
      <c r="I355" s="263" t="s">
        <v>682</v>
      </c>
      <c r="J355" s="263" t="s">
        <v>2234</v>
      </c>
      <c r="K355" s="251" t="s">
        <v>2008</v>
      </c>
    </row>
    <row r="356" spans="2:11">
      <c r="B356" s="257">
        <v>354</v>
      </c>
      <c r="C356" s="263" t="s">
        <v>2009</v>
      </c>
      <c r="D356" s="263" t="s">
        <v>2010</v>
      </c>
      <c r="E356" s="263" t="s">
        <v>2011</v>
      </c>
      <c r="F356" s="263" t="s">
        <v>679</v>
      </c>
      <c r="G356" s="263" t="s">
        <v>680</v>
      </c>
      <c r="H356" s="263" t="s">
        <v>681</v>
      </c>
      <c r="I356" s="263" t="s">
        <v>682</v>
      </c>
      <c r="J356" s="263" t="s">
        <v>2234</v>
      </c>
      <c r="K356" s="251" t="s">
        <v>2012</v>
      </c>
    </row>
    <row r="357" spans="2:11">
      <c r="B357" s="257">
        <v>355</v>
      </c>
      <c r="C357" s="263" t="s">
        <v>2013</v>
      </c>
      <c r="D357" s="263" t="s">
        <v>2014</v>
      </c>
      <c r="E357" s="263" t="s">
        <v>678</v>
      </c>
      <c r="F357" s="263" t="s">
        <v>679</v>
      </c>
      <c r="G357" s="263" t="s">
        <v>680</v>
      </c>
      <c r="H357" s="263" t="s">
        <v>681</v>
      </c>
      <c r="I357" s="263" t="s">
        <v>682</v>
      </c>
      <c r="J357" s="263" t="s">
        <v>2234</v>
      </c>
      <c r="K357" s="251" t="s">
        <v>696</v>
      </c>
    </row>
    <row r="358" spans="2:11">
      <c r="B358" s="257">
        <v>356</v>
      </c>
      <c r="C358" s="263" t="s">
        <v>2015</v>
      </c>
      <c r="D358" s="263" t="s">
        <v>2016</v>
      </c>
      <c r="E358" s="263" t="s">
        <v>707</v>
      </c>
      <c r="F358" s="263" t="s">
        <v>679</v>
      </c>
      <c r="G358" s="263" t="s">
        <v>680</v>
      </c>
      <c r="H358" s="263" t="s">
        <v>681</v>
      </c>
      <c r="I358" s="263" t="s">
        <v>682</v>
      </c>
      <c r="J358" s="263" t="s">
        <v>2234</v>
      </c>
      <c r="K358" s="251" t="s">
        <v>2017</v>
      </c>
    </row>
    <row r="359" spans="2:11">
      <c r="B359" s="257">
        <v>357</v>
      </c>
      <c r="C359" s="263" t="s">
        <v>2018</v>
      </c>
      <c r="D359" s="263" t="s">
        <v>2019</v>
      </c>
      <c r="E359" s="263" t="s">
        <v>916</v>
      </c>
      <c r="F359" s="263" t="s">
        <v>679</v>
      </c>
      <c r="G359" s="263" t="s">
        <v>680</v>
      </c>
      <c r="H359" s="263" t="s">
        <v>681</v>
      </c>
      <c r="I359" s="263" t="s">
        <v>682</v>
      </c>
      <c r="J359" s="263" t="s">
        <v>2234</v>
      </c>
      <c r="K359" s="251" t="s">
        <v>2020</v>
      </c>
    </row>
    <row r="360" spans="2:11">
      <c r="B360" s="257">
        <v>358</v>
      </c>
      <c r="C360" s="263" t="s">
        <v>2021</v>
      </c>
      <c r="D360" s="263" t="s">
        <v>2022</v>
      </c>
      <c r="E360" s="263" t="s">
        <v>2023</v>
      </c>
      <c r="F360" s="263" t="s">
        <v>679</v>
      </c>
      <c r="G360" s="263" t="s">
        <v>680</v>
      </c>
      <c r="H360" s="263" t="s">
        <v>681</v>
      </c>
      <c r="I360" s="263" t="s">
        <v>682</v>
      </c>
      <c r="J360" s="263" t="s">
        <v>2234</v>
      </c>
      <c r="K360" s="251" t="s">
        <v>2024</v>
      </c>
    </row>
    <row r="361" spans="2:11">
      <c r="B361" s="257">
        <v>359</v>
      </c>
      <c r="C361" s="263" t="s">
        <v>2025</v>
      </c>
      <c r="D361" s="263" t="s">
        <v>2026</v>
      </c>
      <c r="E361" s="263" t="s">
        <v>2027</v>
      </c>
      <c r="F361" s="263" t="s">
        <v>679</v>
      </c>
      <c r="G361" s="263" t="s">
        <v>680</v>
      </c>
      <c r="H361" s="263" t="s">
        <v>681</v>
      </c>
      <c r="I361" s="263" t="s">
        <v>682</v>
      </c>
      <c r="J361" s="263" t="s">
        <v>2235</v>
      </c>
      <c r="K361" s="251" t="s">
        <v>2028</v>
      </c>
    </row>
    <row r="362" spans="2:11">
      <c r="B362" s="257">
        <v>360</v>
      </c>
      <c r="C362" s="263" t="s">
        <v>2029</v>
      </c>
      <c r="D362" s="263" t="s">
        <v>2030</v>
      </c>
      <c r="E362" s="263" t="s">
        <v>2031</v>
      </c>
      <c r="F362" s="263" t="s">
        <v>679</v>
      </c>
      <c r="G362" s="263" t="s">
        <v>680</v>
      </c>
      <c r="H362" s="263" t="s">
        <v>681</v>
      </c>
      <c r="I362" s="263" t="s">
        <v>682</v>
      </c>
      <c r="J362" s="263" t="s">
        <v>2234</v>
      </c>
      <c r="K362" s="251" t="s">
        <v>2032</v>
      </c>
    </row>
    <row r="363" spans="2:11">
      <c r="B363" s="257">
        <v>361</v>
      </c>
      <c r="C363" s="263" t="s">
        <v>2033</v>
      </c>
      <c r="D363" s="263" t="s">
        <v>2034</v>
      </c>
      <c r="E363" s="263" t="s">
        <v>687</v>
      </c>
      <c r="F363" s="263" t="s">
        <v>679</v>
      </c>
      <c r="G363" s="263" t="s">
        <v>680</v>
      </c>
      <c r="H363" s="263" t="s">
        <v>681</v>
      </c>
      <c r="I363" s="263" t="s">
        <v>682</v>
      </c>
      <c r="J363" s="263" t="s">
        <v>2234</v>
      </c>
      <c r="K363" s="251" t="s">
        <v>2035</v>
      </c>
    </row>
    <row r="364" spans="2:11">
      <c r="B364" s="257">
        <v>362</v>
      </c>
      <c r="C364" s="263" t="s">
        <v>2036</v>
      </c>
      <c r="D364" s="263"/>
      <c r="E364" s="263" t="s">
        <v>1046</v>
      </c>
      <c r="F364" s="263" t="s">
        <v>679</v>
      </c>
      <c r="G364" s="263" t="s">
        <v>680</v>
      </c>
      <c r="H364" s="263" t="s">
        <v>681</v>
      </c>
      <c r="I364" s="263" t="s">
        <v>682</v>
      </c>
      <c r="J364" s="263" t="s">
        <v>2234</v>
      </c>
      <c r="K364" s="251" t="s">
        <v>2037</v>
      </c>
    </row>
    <row r="365" spans="2:11">
      <c r="B365" s="257">
        <v>363</v>
      </c>
      <c r="C365" s="263" t="s">
        <v>2038</v>
      </c>
      <c r="D365" s="263" t="s">
        <v>2039</v>
      </c>
      <c r="E365" s="263" t="s">
        <v>2040</v>
      </c>
      <c r="F365" s="263" t="s">
        <v>679</v>
      </c>
      <c r="G365" s="263" t="s">
        <v>680</v>
      </c>
      <c r="H365" s="263" t="s">
        <v>681</v>
      </c>
      <c r="I365" s="263" t="s">
        <v>682</v>
      </c>
      <c r="J365" s="263" t="s">
        <v>2234</v>
      </c>
      <c r="K365" s="251" t="s">
        <v>2041</v>
      </c>
    </row>
    <row r="366" spans="2:11">
      <c r="B366" s="257">
        <v>364</v>
      </c>
      <c r="C366" s="263" t="s">
        <v>2042</v>
      </c>
      <c r="D366" s="263"/>
      <c r="E366" s="263" t="s">
        <v>2043</v>
      </c>
      <c r="F366" s="263" t="s">
        <v>679</v>
      </c>
      <c r="G366" s="263" t="s">
        <v>680</v>
      </c>
      <c r="H366" s="263" t="s">
        <v>681</v>
      </c>
      <c r="I366" s="263" t="s">
        <v>682</v>
      </c>
      <c r="J366" s="263" t="s">
        <v>2234</v>
      </c>
      <c r="K366" s="251" t="s">
        <v>2044</v>
      </c>
    </row>
    <row r="367" spans="2:11">
      <c r="B367" s="257">
        <v>365</v>
      </c>
      <c r="C367" s="263" t="s">
        <v>2045</v>
      </c>
      <c r="D367" s="263" t="s">
        <v>2046</v>
      </c>
      <c r="E367" s="263" t="s">
        <v>933</v>
      </c>
      <c r="F367" s="263" t="s">
        <v>679</v>
      </c>
      <c r="G367" s="263" t="s">
        <v>680</v>
      </c>
      <c r="H367" s="263" t="s">
        <v>681</v>
      </c>
      <c r="I367" s="263" t="s">
        <v>682</v>
      </c>
      <c r="J367" s="263" t="s">
        <v>2234</v>
      </c>
      <c r="K367" s="251" t="s">
        <v>2047</v>
      </c>
    </row>
    <row r="368" spans="2:11">
      <c r="B368" s="257">
        <v>366</v>
      </c>
      <c r="C368" s="263" t="s">
        <v>2048</v>
      </c>
      <c r="D368" s="263" t="s">
        <v>2049</v>
      </c>
      <c r="E368" s="263" t="s">
        <v>1755</v>
      </c>
      <c r="F368" s="263" t="s">
        <v>679</v>
      </c>
      <c r="G368" s="263" t="s">
        <v>680</v>
      </c>
      <c r="H368" s="263" t="s">
        <v>681</v>
      </c>
      <c r="I368" s="263" t="s">
        <v>682</v>
      </c>
      <c r="J368" s="263" t="s">
        <v>2234</v>
      </c>
      <c r="K368" s="251" t="s">
        <v>2050</v>
      </c>
    </row>
    <row r="369" spans="2:11">
      <c r="B369" s="257">
        <v>367</v>
      </c>
      <c r="C369" s="263" t="s">
        <v>2051</v>
      </c>
      <c r="D369" s="263" t="s">
        <v>2052</v>
      </c>
      <c r="E369" s="263" t="s">
        <v>916</v>
      </c>
      <c r="F369" s="263" t="s">
        <v>679</v>
      </c>
      <c r="G369" s="263" t="s">
        <v>680</v>
      </c>
      <c r="H369" s="263" t="s">
        <v>681</v>
      </c>
      <c r="I369" s="263" t="s">
        <v>682</v>
      </c>
      <c r="J369" s="263" t="s">
        <v>2234</v>
      </c>
      <c r="K369" s="251" t="s">
        <v>2053</v>
      </c>
    </row>
    <row r="370" spans="2:11">
      <c r="B370" s="257">
        <v>368</v>
      </c>
      <c r="C370" s="263" t="s">
        <v>2054</v>
      </c>
      <c r="D370" s="263" t="s">
        <v>2055</v>
      </c>
      <c r="E370" s="263" t="s">
        <v>1661</v>
      </c>
      <c r="F370" s="263" t="s">
        <v>679</v>
      </c>
      <c r="G370" s="263" t="s">
        <v>680</v>
      </c>
      <c r="H370" s="263" t="s">
        <v>681</v>
      </c>
      <c r="I370" s="263" t="s">
        <v>682</v>
      </c>
      <c r="J370" s="263" t="s">
        <v>2234</v>
      </c>
      <c r="K370" s="251" t="s">
        <v>2056</v>
      </c>
    </row>
    <row r="371" spans="2:11">
      <c r="B371" s="257">
        <v>369</v>
      </c>
      <c r="C371" s="263" t="s">
        <v>2057</v>
      </c>
      <c r="D371" s="263" t="s">
        <v>2058</v>
      </c>
      <c r="E371" s="263" t="s">
        <v>2059</v>
      </c>
      <c r="F371" s="263" t="s">
        <v>679</v>
      </c>
      <c r="G371" s="263" t="s">
        <v>680</v>
      </c>
      <c r="H371" s="263" t="s">
        <v>681</v>
      </c>
      <c r="I371" s="263" t="s">
        <v>682</v>
      </c>
      <c r="J371" s="263" t="s">
        <v>2234</v>
      </c>
      <c r="K371" s="251" t="s">
        <v>2060</v>
      </c>
    </row>
    <row r="372" spans="2:11">
      <c r="B372" s="257">
        <v>370</v>
      </c>
      <c r="C372" s="263" t="s">
        <v>2061</v>
      </c>
      <c r="D372" s="263" t="s">
        <v>2062</v>
      </c>
      <c r="E372" s="263" t="s">
        <v>2063</v>
      </c>
      <c r="F372" s="263" t="s">
        <v>679</v>
      </c>
      <c r="G372" s="263" t="s">
        <v>680</v>
      </c>
      <c r="H372" s="263" t="s">
        <v>681</v>
      </c>
      <c r="I372" s="263" t="s">
        <v>682</v>
      </c>
      <c r="J372" s="263" t="s">
        <v>2234</v>
      </c>
      <c r="K372" s="251" t="s">
        <v>2064</v>
      </c>
    </row>
    <row r="373" spans="2:11">
      <c r="B373" s="257">
        <v>371</v>
      </c>
      <c r="C373" s="263" t="s">
        <v>2065</v>
      </c>
      <c r="D373" s="263" t="s">
        <v>2066</v>
      </c>
      <c r="E373" s="263" t="s">
        <v>1000</v>
      </c>
      <c r="F373" s="263" t="s">
        <v>679</v>
      </c>
      <c r="G373" s="263" t="s">
        <v>680</v>
      </c>
      <c r="H373" s="263" t="s">
        <v>681</v>
      </c>
      <c r="I373" s="263" t="s">
        <v>682</v>
      </c>
      <c r="J373" s="263" t="s">
        <v>2234</v>
      </c>
      <c r="K373" s="251" t="s">
        <v>2067</v>
      </c>
    </row>
    <row r="374" spans="2:11">
      <c r="B374" s="257">
        <v>372</v>
      </c>
      <c r="C374" s="263" t="s">
        <v>2068</v>
      </c>
      <c r="D374" s="263" t="s">
        <v>2069</v>
      </c>
      <c r="E374" s="263" t="s">
        <v>1408</v>
      </c>
      <c r="F374" s="263" t="s">
        <v>679</v>
      </c>
      <c r="G374" s="263" t="s">
        <v>680</v>
      </c>
      <c r="H374" s="263" t="s">
        <v>681</v>
      </c>
      <c r="I374" s="263" t="s">
        <v>682</v>
      </c>
      <c r="J374" s="263" t="s">
        <v>2234</v>
      </c>
      <c r="K374" s="251" t="s">
        <v>2070</v>
      </c>
    </row>
    <row r="375" spans="2:11">
      <c r="B375" s="257">
        <v>373</v>
      </c>
      <c r="C375" s="263" t="s">
        <v>2071</v>
      </c>
      <c r="D375" s="263" t="s">
        <v>2072</v>
      </c>
      <c r="E375" s="263" t="s">
        <v>852</v>
      </c>
      <c r="F375" s="263" t="s">
        <v>679</v>
      </c>
      <c r="G375" s="263" t="s">
        <v>680</v>
      </c>
      <c r="H375" s="263" t="s">
        <v>681</v>
      </c>
      <c r="I375" s="263" t="s">
        <v>682</v>
      </c>
      <c r="J375" s="263" t="s">
        <v>2234</v>
      </c>
      <c r="K375" s="251" t="s">
        <v>2073</v>
      </c>
    </row>
    <row r="376" spans="2:11">
      <c r="B376" s="257">
        <v>374</v>
      </c>
      <c r="C376" s="263" t="s">
        <v>2074</v>
      </c>
      <c r="D376" s="263" t="s">
        <v>2075</v>
      </c>
      <c r="E376" s="263" t="s">
        <v>2076</v>
      </c>
      <c r="F376" s="263" t="s">
        <v>679</v>
      </c>
      <c r="G376" s="263" t="s">
        <v>680</v>
      </c>
      <c r="H376" s="263" t="s">
        <v>681</v>
      </c>
      <c r="I376" s="263" t="s">
        <v>682</v>
      </c>
      <c r="J376" s="263" t="s">
        <v>2234</v>
      </c>
      <c r="K376" s="251" t="s">
        <v>2077</v>
      </c>
    </row>
    <row r="377" spans="2:11">
      <c r="B377" s="257">
        <v>375</v>
      </c>
      <c r="C377" s="263" t="s">
        <v>2078</v>
      </c>
      <c r="D377" s="263" t="s">
        <v>2079</v>
      </c>
      <c r="E377" s="263" t="s">
        <v>1273</v>
      </c>
      <c r="F377" s="263" t="s">
        <v>679</v>
      </c>
      <c r="G377" s="263" t="s">
        <v>680</v>
      </c>
      <c r="H377" s="263" t="s">
        <v>681</v>
      </c>
      <c r="I377" s="263" t="s">
        <v>682</v>
      </c>
      <c r="J377" s="263" t="s">
        <v>2235</v>
      </c>
      <c r="K377" s="251" t="s">
        <v>696</v>
      </c>
    </row>
    <row r="378" spans="2:11">
      <c r="B378" s="257">
        <v>376</v>
      </c>
      <c r="C378" s="263" t="s">
        <v>2080</v>
      </c>
      <c r="D378" s="263" t="s">
        <v>2081</v>
      </c>
      <c r="E378" s="263" t="s">
        <v>1046</v>
      </c>
      <c r="F378" s="263" t="s">
        <v>679</v>
      </c>
      <c r="G378" s="263" t="s">
        <v>680</v>
      </c>
      <c r="H378" s="263" t="s">
        <v>681</v>
      </c>
      <c r="I378" s="263" t="s">
        <v>682</v>
      </c>
      <c r="J378" s="263" t="s">
        <v>2235</v>
      </c>
      <c r="K378" s="251" t="s">
        <v>2082</v>
      </c>
    </row>
    <row r="379" spans="2:11">
      <c r="B379" s="257">
        <v>377</v>
      </c>
      <c r="C379" s="263" t="s">
        <v>2083</v>
      </c>
      <c r="D379" s="263" t="s">
        <v>2084</v>
      </c>
      <c r="E379" s="263" t="s">
        <v>2085</v>
      </c>
      <c r="F379" s="263" t="s">
        <v>679</v>
      </c>
      <c r="G379" s="263" t="s">
        <v>680</v>
      </c>
      <c r="H379" s="263" t="s">
        <v>681</v>
      </c>
      <c r="I379" s="263" t="s">
        <v>682</v>
      </c>
      <c r="J379" s="263" t="s">
        <v>2235</v>
      </c>
      <c r="K379" s="251" t="s">
        <v>2086</v>
      </c>
    </row>
    <row r="380" spans="2:11">
      <c r="B380" s="257">
        <v>378</v>
      </c>
      <c r="C380" s="263" t="s">
        <v>2087</v>
      </c>
      <c r="D380" s="263" t="s">
        <v>2088</v>
      </c>
      <c r="E380" s="263" t="s">
        <v>1083</v>
      </c>
      <c r="F380" s="263" t="s">
        <v>679</v>
      </c>
      <c r="G380" s="263" t="s">
        <v>680</v>
      </c>
      <c r="H380" s="263" t="s">
        <v>681</v>
      </c>
      <c r="I380" s="263" t="s">
        <v>682</v>
      </c>
      <c r="J380" s="263" t="s">
        <v>2235</v>
      </c>
      <c r="K380" s="251" t="s">
        <v>696</v>
      </c>
    </row>
    <row r="381" spans="2:11">
      <c r="B381" s="257">
        <v>379</v>
      </c>
      <c r="C381" s="263" t="s">
        <v>2089</v>
      </c>
      <c r="D381" s="263" t="s">
        <v>2090</v>
      </c>
      <c r="E381" s="263" t="s">
        <v>2091</v>
      </c>
      <c r="F381" s="263" t="s">
        <v>679</v>
      </c>
      <c r="G381" s="263" t="s">
        <v>680</v>
      </c>
      <c r="H381" s="263" t="s">
        <v>681</v>
      </c>
      <c r="I381" s="263" t="s">
        <v>682</v>
      </c>
      <c r="J381" s="263" t="s">
        <v>2235</v>
      </c>
      <c r="K381" s="251" t="s">
        <v>2092</v>
      </c>
    </row>
    <row r="382" spans="2:11">
      <c r="B382" s="257">
        <v>380</v>
      </c>
      <c r="C382" s="263" t="s">
        <v>2093</v>
      </c>
      <c r="D382" s="263" t="s">
        <v>2094</v>
      </c>
      <c r="E382" s="263" t="s">
        <v>2095</v>
      </c>
      <c r="F382" s="263" t="s">
        <v>679</v>
      </c>
      <c r="G382" s="263" t="s">
        <v>680</v>
      </c>
      <c r="H382" s="263" t="s">
        <v>681</v>
      </c>
      <c r="I382" s="263" t="s">
        <v>682</v>
      </c>
      <c r="J382" s="263" t="s">
        <v>2235</v>
      </c>
      <c r="K382" s="251" t="s">
        <v>2096</v>
      </c>
    </row>
    <row r="383" spans="2:11">
      <c r="B383" s="257">
        <v>381</v>
      </c>
      <c r="C383" s="263" t="s">
        <v>2097</v>
      </c>
      <c r="D383" s="263" t="s">
        <v>2098</v>
      </c>
      <c r="E383" s="263" t="s">
        <v>1000</v>
      </c>
      <c r="F383" s="263" t="s">
        <v>679</v>
      </c>
      <c r="G383" s="263" t="s">
        <v>680</v>
      </c>
      <c r="H383" s="263" t="s">
        <v>681</v>
      </c>
      <c r="I383" s="263" t="s">
        <v>682</v>
      </c>
      <c r="J383" s="263" t="s">
        <v>2235</v>
      </c>
      <c r="K383" s="251" t="s">
        <v>2099</v>
      </c>
    </row>
    <row r="384" spans="2:11">
      <c r="B384" s="257">
        <v>382</v>
      </c>
      <c r="C384" s="263" t="s">
        <v>2100</v>
      </c>
      <c r="D384" s="263" t="s">
        <v>2101</v>
      </c>
      <c r="E384" s="263" t="s">
        <v>2102</v>
      </c>
      <c r="F384" s="263" t="s">
        <v>679</v>
      </c>
      <c r="G384" s="263" t="s">
        <v>680</v>
      </c>
      <c r="H384" s="263" t="s">
        <v>681</v>
      </c>
      <c r="I384" s="263" t="s">
        <v>682</v>
      </c>
      <c r="J384" s="263" t="s">
        <v>2235</v>
      </c>
      <c r="K384" s="251" t="s">
        <v>2103</v>
      </c>
    </row>
    <row r="385" spans="2:11">
      <c r="B385" s="257">
        <v>383</v>
      </c>
      <c r="C385" s="263" t="s">
        <v>2104</v>
      </c>
      <c r="D385" s="263" t="s">
        <v>2105</v>
      </c>
      <c r="E385" s="263" t="s">
        <v>1862</v>
      </c>
      <c r="F385" s="263" t="s">
        <v>679</v>
      </c>
      <c r="G385" s="263" t="s">
        <v>680</v>
      </c>
      <c r="H385" s="263" t="s">
        <v>681</v>
      </c>
      <c r="I385" s="263" t="s">
        <v>682</v>
      </c>
      <c r="J385" s="263" t="s">
        <v>2235</v>
      </c>
      <c r="K385" s="251" t="s">
        <v>2106</v>
      </c>
    </row>
    <row r="386" spans="2:11">
      <c r="B386" s="257">
        <v>384</v>
      </c>
      <c r="C386" s="263" t="s">
        <v>2107</v>
      </c>
      <c r="D386" s="263" t="s">
        <v>2108</v>
      </c>
      <c r="E386" s="263" t="s">
        <v>2109</v>
      </c>
      <c r="F386" s="263" t="s">
        <v>679</v>
      </c>
      <c r="G386" s="263" t="s">
        <v>680</v>
      </c>
      <c r="H386" s="263" t="s">
        <v>681</v>
      </c>
      <c r="I386" s="263" t="s">
        <v>682</v>
      </c>
      <c r="J386" s="263" t="s">
        <v>2235</v>
      </c>
      <c r="K386" s="251" t="s">
        <v>2110</v>
      </c>
    </row>
    <row r="387" spans="2:11">
      <c r="B387" s="257">
        <v>385</v>
      </c>
      <c r="C387" s="263" t="s">
        <v>2111</v>
      </c>
      <c r="D387" s="263" t="s">
        <v>2112</v>
      </c>
      <c r="E387" s="263" t="s">
        <v>916</v>
      </c>
      <c r="F387" s="263" t="s">
        <v>679</v>
      </c>
      <c r="G387" s="263" t="s">
        <v>680</v>
      </c>
      <c r="H387" s="263" t="s">
        <v>681</v>
      </c>
      <c r="I387" s="263" t="s">
        <v>682</v>
      </c>
      <c r="J387" s="263" t="s">
        <v>2235</v>
      </c>
      <c r="K387" s="251" t="s">
        <v>2113</v>
      </c>
    </row>
    <row r="388" spans="2:11">
      <c r="B388" s="257">
        <v>386</v>
      </c>
      <c r="C388" s="263" t="s">
        <v>2114</v>
      </c>
      <c r="D388" s="263" t="s">
        <v>2115</v>
      </c>
      <c r="E388" s="263" t="s">
        <v>916</v>
      </c>
      <c r="F388" s="263" t="s">
        <v>679</v>
      </c>
      <c r="G388" s="263" t="s">
        <v>680</v>
      </c>
      <c r="H388" s="263" t="s">
        <v>681</v>
      </c>
      <c r="I388" s="263" t="s">
        <v>682</v>
      </c>
      <c r="J388" s="263" t="s">
        <v>2235</v>
      </c>
      <c r="K388" s="251" t="s">
        <v>2116</v>
      </c>
    </row>
    <row r="389" spans="2:11">
      <c r="B389" s="257">
        <v>387</v>
      </c>
      <c r="C389" s="263" t="s">
        <v>2117</v>
      </c>
      <c r="D389" s="263" t="s">
        <v>2118</v>
      </c>
      <c r="E389" s="263" t="s">
        <v>1262</v>
      </c>
      <c r="F389" s="263" t="s">
        <v>679</v>
      </c>
      <c r="G389" s="263" t="s">
        <v>680</v>
      </c>
      <c r="H389" s="263" t="s">
        <v>681</v>
      </c>
      <c r="I389" s="263" t="s">
        <v>682</v>
      </c>
      <c r="J389" s="263" t="s">
        <v>2235</v>
      </c>
      <c r="K389" s="251" t="s">
        <v>1405</v>
      </c>
    </row>
    <row r="390" spans="2:11">
      <c r="B390" s="257">
        <v>388</v>
      </c>
      <c r="C390" s="263" t="s">
        <v>2119</v>
      </c>
      <c r="D390" s="263" t="s">
        <v>2120</v>
      </c>
      <c r="E390" s="263" t="s">
        <v>2121</v>
      </c>
      <c r="F390" s="263" t="s">
        <v>679</v>
      </c>
      <c r="G390" s="263" t="s">
        <v>680</v>
      </c>
      <c r="H390" s="263" t="s">
        <v>681</v>
      </c>
      <c r="I390" s="263" t="s">
        <v>682</v>
      </c>
      <c r="J390" s="263" t="s">
        <v>2234</v>
      </c>
      <c r="K390" s="251" t="s">
        <v>2122</v>
      </c>
    </row>
    <row r="391" spans="2:11">
      <c r="B391" s="257">
        <v>389</v>
      </c>
      <c r="C391" s="263" t="s">
        <v>2123</v>
      </c>
      <c r="D391" s="263" t="s">
        <v>2124</v>
      </c>
      <c r="E391" s="263" t="s">
        <v>2125</v>
      </c>
      <c r="F391" s="263" t="s">
        <v>679</v>
      </c>
      <c r="G391" s="263" t="s">
        <v>680</v>
      </c>
      <c r="H391" s="263" t="s">
        <v>681</v>
      </c>
      <c r="I391" s="263" t="s">
        <v>682</v>
      </c>
      <c r="J391" s="263" t="s">
        <v>2235</v>
      </c>
      <c r="K391" s="251" t="s">
        <v>2126</v>
      </c>
    </row>
    <row r="392" spans="2:11">
      <c r="B392" s="257">
        <v>390</v>
      </c>
      <c r="C392" s="263" t="s">
        <v>2127</v>
      </c>
      <c r="D392" s="263" t="s">
        <v>2128</v>
      </c>
      <c r="E392" s="263" t="s">
        <v>1220</v>
      </c>
      <c r="F392" s="263" t="s">
        <v>679</v>
      </c>
      <c r="G392" s="263" t="s">
        <v>680</v>
      </c>
      <c r="H392" s="263" t="s">
        <v>681</v>
      </c>
      <c r="I392" s="263" t="s">
        <v>682</v>
      </c>
      <c r="J392" s="263" t="s">
        <v>2235</v>
      </c>
      <c r="K392" s="251" t="s">
        <v>2129</v>
      </c>
    </row>
    <row r="393" spans="2:11">
      <c r="B393" s="250">
        <v>391</v>
      </c>
      <c r="C393" s="251" t="s">
        <v>2130</v>
      </c>
      <c r="D393" s="251" t="s">
        <v>2131</v>
      </c>
      <c r="E393" s="251" t="s">
        <v>2132</v>
      </c>
      <c r="F393" s="251" t="s">
        <v>679</v>
      </c>
      <c r="G393" s="251" t="s">
        <v>680</v>
      </c>
      <c r="H393" s="251" t="s">
        <v>681</v>
      </c>
      <c r="I393" s="251" t="s">
        <v>682</v>
      </c>
      <c r="J393" s="251" t="s">
        <v>2133</v>
      </c>
      <c r="K393" s="251" t="s">
        <v>1484</v>
      </c>
    </row>
    <row r="394" spans="2:11">
      <c r="B394" s="250">
        <v>392</v>
      </c>
      <c r="C394" s="251" t="s">
        <v>2134</v>
      </c>
      <c r="D394" s="251" t="s">
        <v>2135</v>
      </c>
      <c r="E394" s="251" t="s">
        <v>715</v>
      </c>
      <c r="F394" s="251" t="s">
        <v>679</v>
      </c>
      <c r="G394" s="251" t="s">
        <v>680</v>
      </c>
      <c r="H394" s="251" t="s">
        <v>681</v>
      </c>
      <c r="I394" s="251" t="s">
        <v>682</v>
      </c>
      <c r="J394" s="251" t="s">
        <v>2133</v>
      </c>
      <c r="K394" s="251" t="s">
        <v>2136</v>
      </c>
    </row>
    <row r="395" spans="2:11">
      <c r="B395" s="250">
        <v>393</v>
      </c>
      <c r="C395" s="251" t="s">
        <v>2137</v>
      </c>
      <c r="D395" s="251" t="s">
        <v>2138</v>
      </c>
      <c r="E395" s="251" t="s">
        <v>727</v>
      </c>
      <c r="F395" s="251" t="s">
        <v>679</v>
      </c>
      <c r="G395" s="251" t="s">
        <v>680</v>
      </c>
      <c r="H395" s="251" t="s">
        <v>681</v>
      </c>
      <c r="I395" s="251" t="s">
        <v>682</v>
      </c>
      <c r="J395" s="251" t="s">
        <v>2133</v>
      </c>
      <c r="K395" s="251" t="s">
        <v>2139</v>
      </c>
    </row>
    <row r="396" spans="2:11">
      <c r="B396" s="250">
        <v>394</v>
      </c>
      <c r="C396" s="251" t="s">
        <v>2140</v>
      </c>
      <c r="D396" s="251" t="s">
        <v>2141</v>
      </c>
      <c r="E396" s="251" t="s">
        <v>1083</v>
      </c>
      <c r="F396" s="251" t="s">
        <v>679</v>
      </c>
      <c r="G396" s="251" t="s">
        <v>680</v>
      </c>
      <c r="H396" s="251" t="s">
        <v>681</v>
      </c>
      <c r="I396" s="251" t="s">
        <v>682</v>
      </c>
      <c r="J396" s="251" t="s">
        <v>2133</v>
      </c>
      <c r="K396" s="251" t="s">
        <v>2142</v>
      </c>
    </row>
    <row r="397" spans="2:11">
      <c r="B397" s="250">
        <v>395</v>
      </c>
      <c r="C397" s="251" t="s">
        <v>2143</v>
      </c>
      <c r="D397" s="251" t="s">
        <v>2144</v>
      </c>
      <c r="E397" s="251" t="s">
        <v>2145</v>
      </c>
      <c r="F397" s="251" t="s">
        <v>679</v>
      </c>
      <c r="G397" s="251" t="s">
        <v>680</v>
      </c>
      <c r="H397" s="251" t="s">
        <v>681</v>
      </c>
      <c r="I397" s="251" t="s">
        <v>682</v>
      </c>
      <c r="J397" s="251" t="s">
        <v>2133</v>
      </c>
      <c r="K397" s="251" t="s">
        <v>696</v>
      </c>
    </row>
    <row r="398" spans="2:11">
      <c r="B398" s="250">
        <v>396</v>
      </c>
      <c r="C398" s="251" t="s">
        <v>2146</v>
      </c>
      <c r="D398" s="251" t="s">
        <v>2147</v>
      </c>
      <c r="E398" s="251" t="s">
        <v>834</v>
      </c>
      <c r="F398" s="251" t="s">
        <v>679</v>
      </c>
      <c r="G398" s="251" t="s">
        <v>680</v>
      </c>
      <c r="H398" s="251" t="s">
        <v>681</v>
      </c>
      <c r="I398" s="251" t="s">
        <v>682</v>
      </c>
      <c r="J398" s="251" t="s">
        <v>2133</v>
      </c>
      <c r="K398" s="251" t="s">
        <v>2148</v>
      </c>
    </row>
    <row r="399" spans="2:11">
      <c r="B399" s="250">
        <v>397</v>
      </c>
      <c r="C399" s="251" t="s">
        <v>2149</v>
      </c>
      <c r="D399" s="251" t="s">
        <v>2150</v>
      </c>
      <c r="E399" s="251" t="s">
        <v>2151</v>
      </c>
      <c r="F399" s="251" t="s">
        <v>679</v>
      </c>
      <c r="G399" s="251" t="s">
        <v>680</v>
      </c>
      <c r="H399" s="251" t="s">
        <v>681</v>
      </c>
      <c r="I399" s="251" t="s">
        <v>682</v>
      </c>
      <c r="J399" s="251" t="s">
        <v>2133</v>
      </c>
      <c r="K399" s="251" t="s">
        <v>2152</v>
      </c>
    </row>
    <row r="400" spans="2:11">
      <c r="B400" s="250">
        <v>398</v>
      </c>
      <c r="C400" s="251" t="s">
        <v>2153</v>
      </c>
      <c r="D400" s="251" t="s">
        <v>2154</v>
      </c>
      <c r="E400" s="251" t="s">
        <v>2155</v>
      </c>
      <c r="F400" s="251" t="s">
        <v>679</v>
      </c>
      <c r="G400" s="251" t="s">
        <v>680</v>
      </c>
      <c r="H400" s="251" t="s">
        <v>681</v>
      </c>
      <c r="I400" s="251" t="s">
        <v>682</v>
      </c>
      <c r="J400" s="251" t="s">
        <v>2133</v>
      </c>
      <c r="K400" s="251" t="s">
        <v>2156</v>
      </c>
    </row>
    <row r="401" spans="2:11">
      <c r="B401" s="250">
        <v>399</v>
      </c>
      <c r="C401" s="251" t="s">
        <v>2157</v>
      </c>
      <c r="D401" s="251" t="s">
        <v>2158</v>
      </c>
      <c r="E401" s="251" t="s">
        <v>2159</v>
      </c>
      <c r="F401" s="251" t="s">
        <v>679</v>
      </c>
      <c r="G401" s="251" t="s">
        <v>680</v>
      </c>
      <c r="H401" s="251" t="s">
        <v>681</v>
      </c>
      <c r="I401" s="251" t="s">
        <v>682</v>
      </c>
      <c r="J401" s="251" t="s">
        <v>2133</v>
      </c>
      <c r="K401" s="251" t="s">
        <v>2160</v>
      </c>
    </row>
    <row r="402" spans="2:11">
      <c r="B402" s="250">
        <v>400</v>
      </c>
      <c r="C402" s="251" t="s">
        <v>2161</v>
      </c>
      <c r="D402" s="251" t="s">
        <v>2162</v>
      </c>
      <c r="E402" s="251" t="s">
        <v>2163</v>
      </c>
      <c r="F402" s="251" t="s">
        <v>679</v>
      </c>
      <c r="G402" s="251" t="s">
        <v>680</v>
      </c>
      <c r="H402" s="251" t="s">
        <v>681</v>
      </c>
      <c r="I402" s="251" t="s">
        <v>682</v>
      </c>
      <c r="J402" s="251" t="s">
        <v>2133</v>
      </c>
      <c r="K402" s="251" t="s">
        <v>2164</v>
      </c>
    </row>
    <row r="403" spans="2:11">
      <c r="B403" s="250">
        <v>401</v>
      </c>
      <c r="C403" s="251" t="s">
        <v>2165</v>
      </c>
      <c r="D403" s="251" t="s">
        <v>2166</v>
      </c>
      <c r="E403" s="251" t="s">
        <v>933</v>
      </c>
      <c r="F403" s="251" t="s">
        <v>679</v>
      </c>
      <c r="G403" s="251" t="s">
        <v>680</v>
      </c>
      <c r="H403" s="251" t="s">
        <v>681</v>
      </c>
      <c r="I403" s="251" t="s">
        <v>682</v>
      </c>
      <c r="J403" s="251" t="s">
        <v>2133</v>
      </c>
      <c r="K403" s="251" t="s">
        <v>2167</v>
      </c>
    </row>
    <row r="404" spans="2:11">
      <c r="B404" s="250">
        <v>402</v>
      </c>
      <c r="C404" s="251" t="s">
        <v>2168</v>
      </c>
      <c r="D404" s="251" t="s">
        <v>2169</v>
      </c>
      <c r="E404" s="251" t="s">
        <v>2170</v>
      </c>
      <c r="F404" s="251" t="s">
        <v>679</v>
      </c>
      <c r="G404" s="251" t="s">
        <v>680</v>
      </c>
      <c r="H404" s="251" t="s">
        <v>681</v>
      </c>
      <c r="I404" s="251" t="s">
        <v>682</v>
      </c>
      <c r="J404" s="251" t="s">
        <v>2133</v>
      </c>
      <c r="K404" s="251" t="s">
        <v>2171</v>
      </c>
    </row>
    <row r="405" spans="2:11">
      <c r="B405" s="250">
        <v>403</v>
      </c>
      <c r="C405" s="251" t="s">
        <v>2172</v>
      </c>
      <c r="D405" s="251" t="s">
        <v>2173</v>
      </c>
      <c r="E405" s="251" t="s">
        <v>2174</v>
      </c>
      <c r="F405" s="251" t="s">
        <v>679</v>
      </c>
      <c r="G405" s="251" t="s">
        <v>680</v>
      </c>
      <c r="H405" s="251" t="s">
        <v>681</v>
      </c>
      <c r="I405" s="251" t="s">
        <v>682</v>
      </c>
      <c r="J405" s="251" t="s">
        <v>2133</v>
      </c>
      <c r="K405" s="251" t="s">
        <v>2175</v>
      </c>
    </row>
    <row r="406" spans="2:11">
      <c r="B406" s="250">
        <v>404</v>
      </c>
      <c r="C406" s="251" t="s">
        <v>2176</v>
      </c>
      <c r="D406" s="251" t="s">
        <v>2177</v>
      </c>
      <c r="E406" s="251" t="s">
        <v>2178</v>
      </c>
      <c r="F406" s="251" t="s">
        <v>679</v>
      </c>
      <c r="G406" s="251" t="s">
        <v>680</v>
      </c>
      <c r="H406" s="251" t="s">
        <v>681</v>
      </c>
      <c r="I406" s="251" t="s">
        <v>682</v>
      </c>
      <c r="J406" s="251" t="s">
        <v>2133</v>
      </c>
      <c r="K406" s="251" t="s">
        <v>2179</v>
      </c>
    </row>
    <row r="407" spans="2:11">
      <c r="B407" s="250">
        <v>405</v>
      </c>
      <c r="C407" s="251" t="s">
        <v>2180</v>
      </c>
      <c r="D407" s="251" t="s">
        <v>2181</v>
      </c>
      <c r="E407" s="251" t="s">
        <v>2182</v>
      </c>
      <c r="F407" s="251" t="s">
        <v>679</v>
      </c>
      <c r="G407" s="251" t="s">
        <v>680</v>
      </c>
      <c r="H407" s="251" t="s">
        <v>681</v>
      </c>
      <c r="I407" s="251" t="s">
        <v>682</v>
      </c>
      <c r="J407" s="251" t="s">
        <v>2133</v>
      </c>
      <c r="K407" s="251" t="s">
        <v>1484</v>
      </c>
    </row>
    <row r="408" spans="2:11">
      <c r="B408" s="250">
        <v>406</v>
      </c>
      <c r="C408" s="251" t="s">
        <v>2183</v>
      </c>
      <c r="D408" s="251" t="s">
        <v>2184</v>
      </c>
      <c r="E408" s="251" t="s">
        <v>2185</v>
      </c>
      <c r="F408" s="251" t="s">
        <v>679</v>
      </c>
      <c r="G408" s="251" t="s">
        <v>680</v>
      </c>
      <c r="H408" s="251" t="s">
        <v>681</v>
      </c>
      <c r="I408" s="251" t="s">
        <v>682</v>
      </c>
      <c r="J408" s="251" t="s">
        <v>2133</v>
      </c>
      <c r="K408" s="251" t="s">
        <v>2167</v>
      </c>
    </row>
    <row r="409" spans="2:11">
      <c r="B409" s="250">
        <v>407</v>
      </c>
      <c r="C409" s="251" t="s">
        <v>2186</v>
      </c>
      <c r="D409" s="251" t="s">
        <v>2187</v>
      </c>
      <c r="E409" s="251" t="s">
        <v>2188</v>
      </c>
      <c r="F409" s="251" t="s">
        <v>679</v>
      </c>
      <c r="G409" s="251" t="s">
        <v>680</v>
      </c>
      <c r="H409" s="251" t="s">
        <v>681</v>
      </c>
      <c r="I409" s="251" t="s">
        <v>682</v>
      </c>
      <c r="J409" s="251" t="s">
        <v>2133</v>
      </c>
      <c r="K409" s="251" t="s">
        <v>2189</v>
      </c>
    </row>
    <row r="410" spans="2:11">
      <c r="B410" s="250">
        <v>408</v>
      </c>
      <c r="C410" s="251" t="s">
        <v>2190</v>
      </c>
      <c r="D410" s="251" t="s">
        <v>2191</v>
      </c>
      <c r="E410" s="251" t="s">
        <v>2192</v>
      </c>
      <c r="F410" s="251" t="s">
        <v>679</v>
      </c>
      <c r="G410" s="251" t="s">
        <v>680</v>
      </c>
      <c r="H410" s="251" t="s">
        <v>681</v>
      </c>
      <c r="I410" s="251" t="s">
        <v>682</v>
      </c>
      <c r="J410" s="251" t="s">
        <v>2133</v>
      </c>
      <c r="K410" s="251" t="s">
        <v>2193</v>
      </c>
    </row>
    <row r="411" spans="2:11">
      <c r="B411" s="250">
        <v>409</v>
      </c>
      <c r="C411" s="251" t="s">
        <v>2194</v>
      </c>
      <c r="D411" s="251" t="s">
        <v>2195</v>
      </c>
      <c r="E411" s="251" t="s">
        <v>678</v>
      </c>
      <c r="F411" s="251" t="s">
        <v>679</v>
      </c>
      <c r="G411" s="251" t="s">
        <v>680</v>
      </c>
      <c r="H411" s="251" t="s">
        <v>681</v>
      </c>
      <c r="I411" s="251" t="s">
        <v>682</v>
      </c>
      <c r="J411" s="251" t="s">
        <v>2133</v>
      </c>
      <c r="K411" s="251" t="s">
        <v>2196</v>
      </c>
    </row>
    <row r="412" spans="2:11">
      <c r="B412" s="250">
        <v>410</v>
      </c>
      <c r="C412" s="251" t="s">
        <v>2197</v>
      </c>
      <c r="D412" s="251" t="s">
        <v>2198</v>
      </c>
      <c r="E412" s="251" t="s">
        <v>2199</v>
      </c>
      <c r="F412" s="251" t="s">
        <v>679</v>
      </c>
      <c r="G412" s="251" t="s">
        <v>680</v>
      </c>
      <c r="H412" s="251" t="s">
        <v>681</v>
      </c>
      <c r="I412" s="251" t="s">
        <v>682</v>
      </c>
      <c r="J412" s="251" t="s">
        <v>2133</v>
      </c>
      <c r="K412" s="251" t="s">
        <v>2200</v>
      </c>
    </row>
    <row r="413" spans="2:11">
      <c r="B413" s="250">
        <v>411</v>
      </c>
      <c r="C413" s="251" t="s">
        <v>2201</v>
      </c>
      <c r="D413" s="251" t="s">
        <v>2202</v>
      </c>
      <c r="E413" s="251" t="s">
        <v>2203</v>
      </c>
      <c r="F413" s="251" t="s">
        <v>679</v>
      </c>
      <c r="G413" s="251" t="s">
        <v>680</v>
      </c>
      <c r="H413" s="251" t="s">
        <v>681</v>
      </c>
      <c r="I413" s="251" t="s">
        <v>682</v>
      </c>
      <c r="J413" s="251" t="s">
        <v>2133</v>
      </c>
      <c r="K413" s="251" t="s">
        <v>2204</v>
      </c>
    </row>
    <row r="414" spans="2:11">
      <c r="B414" s="250">
        <v>412</v>
      </c>
      <c r="C414" s="251" t="s">
        <v>2205</v>
      </c>
      <c r="D414" s="251" t="s">
        <v>2206</v>
      </c>
      <c r="E414" s="251" t="s">
        <v>2207</v>
      </c>
      <c r="F414" s="251" t="s">
        <v>679</v>
      </c>
      <c r="G414" s="251" t="s">
        <v>680</v>
      </c>
      <c r="H414" s="251" t="s">
        <v>681</v>
      </c>
      <c r="I414" s="251" t="s">
        <v>682</v>
      </c>
      <c r="J414" s="251" t="s">
        <v>2133</v>
      </c>
      <c r="K414" s="251" t="s">
        <v>2208</v>
      </c>
    </row>
    <row r="415" spans="2:11">
      <c r="B415" s="250">
        <v>413</v>
      </c>
      <c r="C415" s="251" t="s">
        <v>2209</v>
      </c>
      <c r="D415" s="251" t="s">
        <v>2210</v>
      </c>
      <c r="E415" s="251" t="s">
        <v>933</v>
      </c>
      <c r="F415" s="251" t="s">
        <v>679</v>
      </c>
      <c r="G415" s="251" t="s">
        <v>680</v>
      </c>
      <c r="H415" s="251" t="s">
        <v>681</v>
      </c>
      <c r="I415" s="251" t="s">
        <v>682</v>
      </c>
      <c r="J415" s="251" t="s">
        <v>2211</v>
      </c>
      <c r="K415" s="251" t="s">
        <v>2212</v>
      </c>
    </row>
    <row r="416" spans="2:11">
      <c r="B416" s="250">
        <v>414</v>
      </c>
      <c r="C416" s="251" t="s">
        <v>2213</v>
      </c>
      <c r="D416" s="251" t="s">
        <v>2214</v>
      </c>
      <c r="E416" s="251" t="s">
        <v>678</v>
      </c>
      <c r="F416" s="251" t="s">
        <v>679</v>
      </c>
      <c r="G416" s="251" t="s">
        <v>680</v>
      </c>
      <c r="H416" s="251" t="s">
        <v>681</v>
      </c>
      <c r="I416" s="251" t="s">
        <v>682</v>
      </c>
      <c r="J416" s="251" t="s">
        <v>2211</v>
      </c>
      <c r="K416" s="251" t="s">
        <v>2215</v>
      </c>
    </row>
    <row r="417" spans="2:11">
      <c r="B417" s="250">
        <v>415</v>
      </c>
      <c r="C417" s="251" t="s">
        <v>2216</v>
      </c>
      <c r="D417" s="251" t="s">
        <v>2217</v>
      </c>
      <c r="E417" s="251" t="s">
        <v>2218</v>
      </c>
      <c r="F417" s="251" t="s">
        <v>679</v>
      </c>
      <c r="G417" s="251" t="s">
        <v>680</v>
      </c>
      <c r="H417" s="251" t="s">
        <v>681</v>
      </c>
      <c r="I417" s="251" t="s">
        <v>682</v>
      </c>
      <c r="J417" s="251" t="s">
        <v>2211</v>
      </c>
      <c r="K417" s="251" t="s">
        <v>2219</v>
      </c>
    </row>
    <row r="418" spans="2:11">
      <c r="B418" s="250">
        <v>416</v>
      </c>
      <c r="C418" s="251" t="s">
        <v>2220</v>
      </c>
      <c r="D418" s="251" t="s">
        <v>2221</v>
      </c>
      <c r="E418" s="251" t="s">
        <v>1884</v>
      </c>
      <c r="F418" s="251" t="s">
        <v>679</v>
      </c>
      <c r="G418" s="251" t="s">
        <v>680</v>
      </c>
      <c r="H418" s="251" t="s">
        <v>681</v>
      </c>
      <c r="I418" s="251" t="s">
        <v>682</v>
      </c>
      <c r="J418" s="251" t="s">
        <v>2211</v>
      </c>
      <c r="K418" s="251" t="s">
        <v>2222</v>
      </c>
    </row>
    <row r="419" spans="2:11">
      <c r="B419" s="250">
        <v>417</v>
      </c>
      <c r="C419" s="251" t="s">
        <v>2223</v>
      </c>
      <c r="D419" s="251" t="s">
        <v>2224</v>
      </c>
      <c r="E419" s="251" t="s">
        <v>2225</v>
      </c>
      <c r="F419" s="251" t="s">
        <v>679</v>
      </c>
      <c r="G419" s="251" t="s">
        <v>680</v>
      </c>
      <c r="H419" s="251" t="s">
        <v>681</v>
      </c>
      <c r="I419" s="251" t="s">
        <v>682</v>
      </c>
      <c r="J419" s="251" t="s">
        <v>2211</v>
      </c>
      <c r="K419" s="251" t="s">
        <v>2226</v>
      </c>
    </row>
    <row r="420" spans="2:11">
      <c r="B420" s="250">
        <v>418</v>
      </c>
      <c r="C420" s="251" t="s">
        <v>2227</v>
      </c>
      <c r="D420" s="251" t="s">
        <v>2228</v>
      </c>
      <c r="E420" s="251" t="s">
        <v>2229</v>
      </c>
      <c r="F420" s="251" t="s">
        <v>679</v>
      </c>
      <c r="G420" s="251" t="s">
        <v>680</v>
      </c>
      <c r="H420" s="251" t="s">
        <v>681</v>
      </c>
      <c r="I420" s="251" t="s">
        <v>682</v>
      </c>
      <c r="J420" s="251" t="s">
        <v>2211</v>
      </c>
      <c r="K420" s="251" t="s">
        <v>2230</v>
      </c>
    </row>
    <row r="421" spans="2:11">
      <c r="B421" s="250">
        <v>419</v>
      </c>
      <c r="C421" s="251" t="s">
        <v>2231</v>
      </c>
      <c r="D421" s="251" t="s">
        <v>2232</v>
      </c>
      <c r="E421" s="251" t="s">
        <v>1046</v>
      </c>
      <c r="F421" s="251" t="s">
        <v>679</v>
      </c>
      <c r="G421" s="251" t="s">
        <v>680</v>
      </c>
      <c r="H421" s="251" t="s">
        <v>681</v>
      </c>
      <c r="I421" s="251" t="s">
        <v>682</v>
      </c>
      <c r="J421" s="251" t="s">
        <v>2211</v>
      </c>
      <c r="K421" s="251" t="s">
        <v>2233</v>
      </c>
    </row>
  </sheetData>
  <autoFilter ref="C2:K421">
    <sortState ref="C2:K420">
      <sortCondition ref="J1:J420"/>
    </sortState>
  </autoFilter>
  <mergeCells count="1">
    <mergeCell ref="B1:K1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7"/>
  <sheetViews>
    <sheetView workbookViewId="0">
      <selection activeCell="D6" sqref="D6"/>
    </sheetView>
  </sheetViews>
  <sheetFormatPr defaultColWidth="8.7265625" defaultRowHeight="14.5"/>
  <cols>
    <col min="1" max="1" width="5.81640625" style="249" customWidth="1"/>
    <col min="2" max="2" width="15.26953125" style="249" bestFit="1" customWidth="1"/>
    <col min="3" max="3" width="10.54296875" style="249" bestFit="1" customWidth="1"/>
    <col min="4" max="4" width="42.453125" style="249" bestFit="1" customWidth="1"/>
    <col min="5" max="5" width="23.453125" style="249" hidden="1" customWidth="1"/>
    <col min="6" max="6" width="8.1796875" style="249" hidden="1" customWidth="1"/>
    <col min="7" max="7" width="12.81640625" style="249" hidden="1" customWidth="1"/>
    <col min="8" max="8" width="14" style="249" hidden="1" customWidth="1"/>
    <col min="9" max="9" width="15.26953125" style="249" bestFit="1" customWidth="1"/>
    <col min="10" max="10" width="101.453125" style="249" bestFit="1" customWidth="1"/>
    <col min="11" max="16384" width="8.7265625" style="249"/>
  </cols>
  <sheetData>
    <row r="1" spans="1:10" ht="21">
      <c r="A1" s="498" t="str">
        <f>"DATA LEMBAGA MADRASAH RAODLATUL ATHFAL SEBANYAK "&amp;A417</f>
        <v>DATA LEMBAGA MADRASAH RAODLATUL ATHFAL SEBANYAK 415</v>
      </c>
      <c r="B1" s="498"/>
      <c r="C1" s="498"/>
      <c r="D1" s="498"/>
      <c r="E1" s="498"/>
      <c r="F1" s="498"/>
      <c r="G1" s="498"/>
      <c r="H1" s="498"/>
      <c r="I1" s="498"/>
      <c r="J1" s="498"/>
    </row>
    <row r="2" spans="1:10">
      <c r="A2" s="254" t="s">
        <v>131</v>
      </c>
      <c r="B2" s="248" t="s">
        <v>667</v>
      </c>
      <c r="C2" s="248" t="s">
        <v>668</v>
      </c>
      <c r="D2" s="248" t="s">
        <v>669</v>
      </c>
      <c r="E2" s="248" t="s">
        <v>670</v>
      </c>
      <c r="F2" s="248" t="s">
        <v>671</v>
      </c>
      <c r="G2" s="248" t="s">
        <v>672</v>
      </c>
      <c r="H2" s="248" t="s">
        <v>673</v>
      </c>
      <c r="I2" s="248" t="s">
        <v>674</v>
      </c>
      <c r="J2" s="248" t="s">
        <v>675</v>
      </c>
    </row>
    <row r="3" spans="1:10">
      <c r="A3" s="385">
        <v>1</v>
      </c>
      <c r="B3" s="251" t="s">
        <v>2236</v>
      </c>
      <c r="C3" s="251" t="s">
        <v>2237</v>
      </c>
      <c r="D3" s="251" t="s">
        <v>2238</v>
      </c>
      <c r="E3" s="251" t="s">
        <v>2239</v>
      </c>
      <c r="F3" s="251" t="s">
        <v>680</v>
      </c>
      <c r="G3" s="251" t="s">
        <v>681</v>
      </c>
      <c r="H3" s="251" t="s">
        <v>682</v>
      </c>
      <c r="I3" s="251" t="s">
        <v>683</v>
      </c>
      <c r="J3" s="251" t="s">
        <v>2240</v>
      </c>
    </row>
    <row r="4" spans="1:10">
      <c r="A4" s="385">
        <v>2</v>
      </c>
      <c r="B4" s="251" t="s">
        <v>2241</v>
      </c>
      <c r="C4" s="251" t="s">
        <v>2242</v>
      </c>
      <c r="D4" s="251" t="s">
        <v>2243</v>
      </c>
      <c r="E4" s="251" t="s">
        <v>2239</v>
      </c>
      <c r="F4" s="251" t="s">
        <v>680</v>
      </c>
      <c r="G4" s="251" t="s">
        <v>681</v>
      </c>
      <c r="H4" s="251" t="s">
        <v>682</v>
      </c>
      <c r="I4" s="251" t="s">
        <v>683</v>
      </c>
      <c r="J4" s="251" t="s">
        <v>2244</v>
      </c>
    </row>
    <row r="5" spans="1:10">
      <c r="A5" s="385">
        <v>3</v>
      </c>
      <c r="B5" s="251" t="s">
        <v>2245</v>
      </c>
      <c r="C5" s="251" t="s">
        <v>2246</v>
      </c>
      <c r="D5" s="251" t="s">
        <v>2247</v>
      </c>
      <c r="E5" s="251" t="s">
        <v>2239</v>
      </c>
      <c r="F5" s="251" t="s">
        <v>680</v>
      </c>
      <c r="G5" s="251" t="s">
        <v>681</v>
      </c>
      <c r="H5" s="251" t="s">
        <v>682</v>
      </c>
      <c r="I5" s="251" t="s">
        <v>683</v>
      </c>
      <c r="J5" s="251" t="s">
        <v>2248</v>
      </c>
    </row>
    <row r="6" spans="1:10">
      <c r="A6" s="385">
        <v>4</v>
      </c>
      <c r="B6" s="251" t="s">
        <v>2249</v>
      </c>
      <c r="C6" s="251" t="s">
        <v>2250</v>
      </c>
      <c r="D6" s="251" t="s">
        <v>2251</v>
      </c>
      <c r="E6" s="251" t="s">
        <v>2239</v>
      </c>
      <c r="F6" s="251" t="s">
        <v>680</v>
      </c>
      <c r="G6" s="251" t="s">
        <v>681</v>
      </c>
      <c r="H6" s="251" t="s">
        <v>682</v>
      </c>
      <c r="I6" s="251" t="s">
        <v>683</v>
      </c>
      <c r="J6" s="251" t="s">
        <v>2252</v>
      </c>
    </row>
    <row r="7" spans="1:10">
      <c r="A7" s="385">
        <v>5</v>
      </c>
      <c r="B7" s="251" t="s">
        <v>2253</v>
      </c>
      <c r="C7" s="251" t="s">
        <v>2254</v>
      </c>
      <c r="D7" s="251" t="s">
        <v>2255</v>
      </c>
      <c r="E7" s="251" t="s">
        <v>2239</v>
      </c>
      <c r="F7" s="251" t="s">
        <v>680</v>
      </c>
      <c r="G7" s="251" t="s">
        <v>681</v>
      </c>
      <c r="H7" s="251" t="s">
        <v>682</v>
      </c>
      <c r="I7" s="251" t="s">
        <v>683</v>
      </c>
      <c r="J7" s="251" t="s">
        <v>2256</v>
      </c>
    </row>
    <row r="8" spans="1:10">
      <c r="A8" s="385">
        <v>6</v>
      </c>
      <c r="B8" s="251" t="s">
        <v>2257</v>
      </c>
      <c r="C8" s="251" t="s">
        <v>2258</v>
      </c>
      <c r="D8" s="251" t="s">
        <v>2259</v>
      </c>
      <c r="E8" s="251" t="s">
        <v>2239</v>
      </c>
      <c r="F8" s="251" t="s">
        <v>680</v>
      </c>
      <c r="G8" s="251" t="s">
        <v>681</v>
      </c>
      <c r="H8" s="251" t="s">
        <v>682</v>
      </c>
      <c r="I8" s="251" t="s">
        <v>683</v>
      </c>
      <c r="J8" s="251" t="s">
        <v>692</v>
      </c>
    </row>
    <row r="9" spans="1:10">
      <c r="A9" s="385">
        <v>7</v>
      </c>
      <c r="B9" s="251" t="s">
        <v>2260</v>
      </c>
      <c r="C9" s="251" t="s">
        <v>2261</v>
      </c>
      <c r="D9" s="251" t="s">
        <v>2262</v>
      </c>
      <c r="E9" s="251" t="s">
        <v>2239</v>
      </c>
      <c r="F9" s="251" t="s">
        <v>680</v>
      </c>
      <c r="G9" s="251" t="s">
        <v>681</v>
      </c>
      <c r="H9" s="251" t="s">
        <v>682</v>
      </c>
      <c r="I9" s="251" t="s">
        <v>683</v>
      </c>
      <c r="J9" s="251" t="s">
        <v>2263</v>
      </c>
    </row>
    <row r="10" spans="1:10">
      <c r="A10" s="385">
        <v>8</v>
      </c>
      <c r="B10" s="251" t="s">
        <v>2264</v>
      </c>
      <c r="C10" s="251" t="s">
        <v>2265</v>
      </c>
      <c r="D10" s="251" t="s">
        <v>2266</v>
      </c>
      <c r="E10" s="251" t="s">
        <v>2239</v>
      </c>
      <c r="F10" s="251" t="s">
        <v>680</v>
      </c>
      <c r="G10" s="251" t="s">
        <v>681</v>
      </c>
      <c r="H10" s="251" t="s">
        <v>682</v>
      </c>
      <c r="I10" s="251" t="s">
        <v>683</v>
      </c>
      <c r="J10" s="251" t="s">
        <v>2267</v>
      </c>
    </row>
    <row r="11" spans="1:10">
      <c r="A11" s="385">
        <v>9</v>
      </c>
      <c r="B11" s="251" t="s">
        <v>2268</v>
      </c>
      <c r="C11" s="251" t="s">
        <v>2269</v>
      </c>
      <c r="D11" s="251" t="s">
        <v>2266</v>
      </c>
      <c r="E11" s="251" t="s">
        <v>2239</v>
      </c>
      <c r="F11" s="251" t="s">
        <v>680</v>
      </c>
      <c r="G11" s="251" t="s">
        <v>681</v>
      </c>
      <c r="H11" s="251" t="s">
        <v>682</v>
      </c>
      <c r="I11" s="251" t="s">
        <v>683</v>
      </c>
      <c r="J11" s="251" t="s">
        <v>2270</v>
      </c>
    </row>
    <row r="12" spans="1:10">
      <c r="A12" s="385">
        <v>10</v>
      </c>
      <c r="B12" s="251" t="s">
        <v>2271</v>
      </c>
      <c r="C12" s="251" t="s">
        <v>2272</v>
      </c>
      <c r="D12" s="251" t="s">
        <v>2273</v>
      </c>
      <c r="E12" s="251" t="s">
        <v>2239</v>
      </c>
      <c r="F12" s="251" t="s">
        <v>680</v>
      </c>
      <c r="G12" s="251" t="s">
        <v>681</v>
      </c>
      <c r="H12" s="251" t="s">
        <v>682</v>
      </c>
      <c r="I12" s="251" t="s">
        <v>683</v>
      </c>
      <c r="J12" s="251" t="s">
        <v>2274</v>
      </c>
    </row>
    <row r="13" spans="1:10">
      <c r="A13" s="385">
        <v>11</v>
      </c>
      <c r="B13" s="251" t="s">
        <v>2275</v>
      </c>
      <c r="C13" s="251" t="s">
        <v>2276</v>
      </c>
      <c r="D13" s="251" t="s">
        <v>2277</v>
      </c>
      <c r="E13" s="251" t="s">
        <v>2239</v>
      </c>
      <c r="F13" s="251" t="s">
        <v>680</v>
      </c>
      <c r="G13" s="251" t="s">
        <v>681</v>
      </c>
      <c r="H13" s="251" t="s">
        <v>682</v>
      </c>
      <c r="I13" s="251" t="s">
        <v>683</v>
      </c>
      <c r="J13" s="251" t="s">
        <v>2278</v>
      </c>
    </row>
    <row r="14" spans="1:10">
      <c r="A14" s="385">
        <v>12</v>
      </c>
      <c r="B14" s="251" t="s">
        <v>2279</v>
      </c>
      <c r="C14" s="251" t="s">
        <v>2280</v>
      </c>
      <c r="D14" s="251" t="s">
        <v>2281</v>
      </c>
      <c r="E14" s="251" t="s">
        <v>2239</v>
      </c>
      <c r="F14" s="251" t="s">
        <v>680</v>
      </c>
      <c r="G14" s="251" t="s">
        <v>681</v>
      </c>
      <c r="H14" s="251" t="s">
        <v>682</v>
      </c>
      <c r="I14" s="251" t="s">
        <v>683</v>
      </c>
      <c r="J14" s="251" t="s">
        <v>704</v>
      </c>
    </row>
    <row r="15" spans="1:10">
      <c r="A15" s="385">
        <v>13</v>
      </c>
      <c r="B15" s="251" t="s">
        <v>2282</v>
      </c>
      <c r="C15" s="251" t="s">
        <v>2283</v>
      </c>
      <c r="D15" s="251" t="s">
        <v>2284</v>
      </c>
      <c r="E15" s="251" t="s">
        <v>2239</v>
      </c>
      <c r="F15" s="251" t="s">
        <v>680</v>
      </c>
      <c r="G15" s="251" t="s">
        <v>681</v>
      </c>
      <c r="H15" s="251" t="s">
        <v>682</v>
      </c>
      <c r="I15" s="251" t="s">
        <v>683</v>
      </c>
      <c r="J15" s="251" t="s">
        <v>2285</v>
      </c>
    </row>
    <row r="16" spans="1:10">
      <c r="A16" s="385">
        <v>14</v>
      </c>
      <c r="B16" s="251" t="s">
        <v>2286</v>
      </c>
      <c r="C16" s="251" t="s">
        <v>2287</v>
      </c>
      <c r="D16" s="251" t="s">
        <v>2288</v>
      </c>
      <c r="E16" s="251" t="s">
        <v>2239</v>
      </c>
      <c r="F16" s="251" t="s">
        <v>680</v>
      </c>
      <c r="G16" s="251" t="s">
        <v>681</v>
      </c>
      <c r="H16" s="251" t="s">
        <v>682</v>
      </c>
      <c r="I16" s="251" t="s">
        <v>683</v>
      </c>
      <c r="J16" s="251" t="s">
        <v>2289</v>
      </c>
    </row>
    <row r="17" spans="1:10">
      <c r="A17" s="385">
        <v>15</v>
      </c>
      <c r="B17" s="251" t="s">
        <v>2290</v>
      </c>
      <c r="C17" s="251" t="s">
        <v>2291</v>
      </c>
      <c r="D17" s="251" t="s">
        <v>2292</v>
      </c>
      <c r="E17" s="251" t="s">
        <v>2239</v>
      </c>
      <c r="F17" s="251" t="s">
        <v>680</v>
      </c>
      <c r="G17" s="251" t="s">
        <v>681</v>
      </c>
      <c r="H17" s="251" t="s">
        <v>682</v>
      </c>
      <c r="I17" s="251" t="s">
        <v>683</v>
      </c>
      <c r="J17" s="251" t="s">
        <v>2293</v>
      </c>
    </row>
    <row r="18" spans="1:10">
      <c r="A18" s="385">
        <v>16</v>
      </c>
      <c r="B18" s="251" t="s">
        <v>2294</v>
      </c>
      <c r="C18" s="251" t="s">
        <v>2295</v>
      </c>
      <c r="D18" s="251" t="s">
        <v>2296</v>
      </c>
      <c r="E18" s="251" t="s">
        <v>2239</v>
      </c>
      <c r="F18" s="251" t="s">
        <v>680</v>
      </c>
      <c r="G18" s="251" t="s">
        <v>681</v>
      </c>
      <c r="H18" s="251" t="s">
        <v>682</v>
      </c>
      <c r="I18" s="251" t="s">
        <v>683</v>
      </c>
      <c r="J18" s="251" t="s">
        <v>2297</v>
      </c>
    </row>
    <row r="19" spans="1:10">
      <c r="A19" s="385">
        <v>17</v>
      </c>
      <c r="B19" s="251" t="s">
        <v>2298</v>
      </c>
      <c r="C19" s="251" t="s">
        <v>2299</v>
      </c>
      <c r="D19" s="251" t="s">
        <v>2300</v>
      </c>
      <c r="E19" s="251" t="s">
        <v>2239</v>
      </c>
      <c r="F19" s="251" t="s">
        <v>680</v>
      </c>
      <c r="G19" s="251" t="s">
        <v>681</v>
      </c>
      <c r="H19" s="251" t="s">
        <v>682</v>
      </c>
      <c r="I19" s="251" t="s">
        <v>683</v>
      </c>
      <c r="J19" s="251" t="s">
        <v>2301</v>
      </c>
    </row>
    <row r="20" spans="1:10">
      <c r="A20" s="385">
        <v>18</v>
      </c>
      <c r="B20" s="251" t="s">
        <v>2302</v>
      </c>
      <c r="C20" s="251" t="s">
        <v>2303</v>
      </c>
      <c r="D20" s="251" t="s">
        <v>2304</v>
      </c>
      <c r="E20" s="251" t="s">
        <v>2239</v>
      </c>
      <c r="F20" s="251" t="s">
        <v>680</v>
      </c>
      <c r="G20" s="251" t="s">
        <v>681</v>
      </c>
      <c r="H20" s="251" t="s">
        <v>682</v>
      </c>
      <c r="I20" s="251" t="s">
        <v>683</v>
      </c>
      <c r="J20" s="251" t="s">
        <v>720</v>
      </c>
    </row>
    <row r="21" spans="1:10">
      <c r="A21" s="385">
        <v>19</v>
      </c>
      <c r="B21" s="251" t="s">
        <v>2305</v>
      </c>
      <c r="C21" s="251" t="s">
        <v>2306</v>
      </c>
      <c r="D21" s="251" t="s">
        <v>2307</v>
      </c>
      <c r="E21" s="251" t="s">
        <v>2239</v>
      </c>
      <c r="F21" s="251" t="s">
        <v>680</v>
      </c>
      <c r="G21" s="251" t="s">
        <v>681</v>
      </c>
      <c r="H21" s="251" t="s">
        <v>682</v>
      </c>
      <c r="I21" s="251" t="s">
        <v>736</v>
      </c>
      <c r="J21" s="251" t="s">
        <v>2308</v>
      </c>
    </row>
    <row r="22" spans="1:10">
      <c r="A22" s="385">
        <v>20</v>
      </c>
      <c r="B22" s="251" t="s">
        <v>2309</v>
      </c>
      <c r="C22" s="251" t="s">
        <v>2310</v>
      </c>
      <c r="D22" s="251" t="s">
        <v>2311</v>
      </c>
      <c r="E22" s="251" t="s">
        <v>2239</v>
      </c>
      <c r="F22" s="251" t="s">
        <v>680</v>
      </c>
      <c r="G22" s="251" t="s">
        <v>681</v>
      </c>
      <c r="H22" s="251" t="s">
        <v>682</v>
      </c>
      <c r="I22" s="251" t="s">
        <v>736</v>
      </c>
      <c r="J22" s="251" t="s">
        <v>741</v>
      </c>
    </row>
    <row r="23" spans="1:10">
      <c r="A23" s="385">
        <v>21</v>
      </c>
      <c r="B23" s="251" t="s">
        <v>2312</v>
      </c>
      <c r="C23" s="251" t="s">
        <v>2313</v>
      </c>
      <c r="D23" s="251" t="s">
        <v>2314</v>
      </c>
      <c r="E23" s="251" t="s">
        <v>2239</v>
      </c>
      <c r="F23" s="251" t="s">
        <v>680</v>
      </c>
      <c r="G23" s="251" t="s">
        <v>681</v>
      </c>
      <c r="H23" s="251" t="s">
        <v>682</v>
      </c>
      <c r="I23" s="251" t="s">
        <v>736</v>
      </c>
      <c r="J23" s="251" t="s">
        <v>2315</v>
      </c>
    </row>
    <row r="24" spans="1:10">
      <c r="A24" s="385">
        <v>22</v>
      </c>
      <c r="B24" s="251" t="s">
        <v>2316</v>
      </c>
      <c r="C24" s="251" t="s">
        <v>2317</v>
      </c>
      <c r="D24" s="251" t="s">
        <v>2318</v>
      </c>
      <c r="E24" s="251" t="s">
        <v>2239</v>
      </c>
      <c r="F24" s="251" t="s">
        <v>680</v>
      </c>
      <c r="G24" s="251" t="s">
        <v>681</v>
      </c>
      <c r="H24" s="251" t="s">
        <v>682</v>
      </c>
      <c r="I24" s="251" t="s">
        <v>736</v>
      </c>
      <c r="J24" s="251" t="s">
        <v>2319</v>
      </c>
    </row>
    <row r="25" spans="1:10">
      <c r="A25" s="385">
        <v>23</v>
      </c>
      <c r="B25" s="251" t="s">
        <v>2320</v>
      </c>
      <c r="C25" s="251" t="s">
        <v>2321</v>
      </c>
      <c r="D25" s="251" t="s">
        <v>2238</v>
      </c>
      <c r="E25" s="251" t="s">
        <v>2239</v>
      </c>
      <c r="F25" s="251" t="s">
        <v>680</v>
      </c>
      <c r="G25" s="251" t="s">
        <v>681</v>
      </c>
      <c r="H25" s="251" t="s">
        <v>682</v>
      </c>
      <c r="I25" s="251" t="s">
        <v>736</v>
      </c>
      <c r="J25" s="251" t="s">
        <v>752</v>
      </c>
    </row>
    <row r="26" spans="1:10">
      <c r="A26" s="385">
        <v>24</v>
      </c>
      <c r="B26" s="251" t="s">
        <v>2322</v>
      </c>
      <c r="C26" s="251" t="s">
        <v>2323</v>
      </c>
      <c r="D26" s="251" t="s">
        <v>2324</v>
      </c>
      <c r="E26" s="251" t="s">
        <v>2239</v>
      </c>
      <c r="F26" s="251" t="s">
        <v>680</v>
      </c>
      <c r="G26" s="251" t="s">
        <v>681</v>
      </c>
      <c r="H26" s="251" t="s">
        <v>682</v>
      </c>
      <c r="I26" s="251" t="s">
        <v>736</v>
      </c>
      <c r="J26" s="251" t="s">
        <v>696</v>
      </c>
    </row>
    <row r="27" spans="1:10">
      <c r="A27" s="385">
        <v>25</v>
      </c>
      <c r="B27" s="251" t="s">
        <v>2325</v>
      </c>
      <c r="C27" s="251" t="s">
        <v>2326</v>
      </c>
      <c r="D27" s="251" t="s">
        <v>2327</v>
      </c>
      <c r="E27" s="251" t="s">
        <v>2239</v>
      </c>
      <c r="F27" s="251" t="s">
        <v>680</v>
      </c>
      <c r="G27" s="251" t="s">
        <v>681</v>
      </c>
      <c r="H27" s="251" t="s">
        <v>682</v>
      </c>
      <c r="I27" s="251" t="s">
        <v>736</v>
      </c>
      <c r="J27" s="251" t="s">
        <v>2328</v>
      </c>
    </row>
    <row r="28" spans="1:10">
      <c r="A28" s="385">
        <v>26</v>
      </c>
      <c r="B28" s="251" t="s">
        <v>2329</v>
      </c>
      <c r="C28" s="251" t="s">
        <v>2330</v>
      </c>
      <c r="D28" s="251" t="s">
        <v>2331</v>
      </c>
      <c r="E28" s="251" t="s">
        <v>2239</v>
      </c>
      <c r="F28" s="251" t="s">
        <v>680</v>
      </c>
      <c r="G28" s="251" t="s">
        <v>681</v>
      </c>
      <c r="H28" s="251" t="s">
        <v>682</v>
      </c>
      <c r="I28" s="251" t="s">
        <v>736</v>
      </c>
      <c r="J28" s="251" t="s">
        <v>2332</v>
      </c>
    </row>
    <row r="29" spans="1:10">
      <c r="A29" s="385">
        <v>27</v>
      </c>
      <c r="B29" s="251" t="s">
        <v>2333</v>
      </c>
      <c r="C29" s="251" t="s">
        <v>2334</v>
      </c>
      <c r="D29" s="251" t="s">
        <v>2335</v>
      </c>
      <c r="E29" s="251" t="s">
        <v>2239</v>
      </c>
      <c r="F29" s="251" t="s">
        <v>680</v>
      </c>
      <c r="G29" s="251" t="s">
        <v>681</v>
      </c>
      <c r="H29" s="251" t="s">
        <v>682</v>
      </c>
      <c r="I29" s="251" t="s">
        <v>736</v>
      </c>
      <c r="J29" s="251" t="s">
        <v>2336</v>
      </c>
    </row>
    <row r="30" spans="1:10">
      <c r="A30" s="385">
        <v>28</v>
      </c>
      <c r="B30" s="251" t="s">
        <v>2337</v>
      </c>
      <c r="C30" s="251" t="s">
        <v>2338</v>
      </c>
      <c r="D30" s="251" t="s">
        <v>2311</v>
      </c>
      <c r="E30" s="251" t="s">
        <v>2239</v>
      </c>
      <c r="F30" s="251" t="s">
        <v>680</v>
      </c>
      <c r="G30" s="251" t="s">
        <v>681</v>
      </c>
      <c r="H30" s="251" t="s">
        <v>682</v>
      </c>
      <c r="I30" s="251" t="s">
        <v>736</v>
      </c>
      <c r="J30" s="251" t="s">
        <v>2339</v>
      </c>
    </row>
    <row r="31" spans="1:10">
      <c r="A31" s="385">
        <v>29</v>
      </c>
      <c r="B31" s="251" t="s">
        <v>2340</v>
      </c>
      <c r="C31" s="251" t="s">
        <v>2341</v>
      </c>
      <c r="D31" s="251" t="s">
        <v>2342</v>
      </c>
      <c r="E31" s="251" t="s">
        <v>2239</v>
      </c>
      <c r="F31" s="251" t="s">
        <v>680</v>
      </c>
      <c r="G31" s="251" t="s">
        <v>681</v>
      </c>
      <c r="H31" s="251" t="s">
        <v>682</v>
      </c>
      <c r="I31" s="251" t="s">
        <v>736</v>
      </c>
      <c r="J31" s="251" t="s">
        <v>2343</v>
      </c>
    </row>
    <row r="32" spans="1:10">
      <c r="A32" s="385">
        <v>30</v>
      </c>
      <c r="B32" s="251" t="s">
        <v>2344</v>
      </c>
      <c r="C32" s="251" t="s">
        <v>2345</v>
      </c>
      <c r="D32" s="251" t="s">
        <v>2346</v>
      </c>
      <c r="E32" s="251" t="s">
        <v>2239</v>
      </c>
      <c r="F32" s="251" t="s">
        <v>680</v>
      </c>
      <c r="G32" s="251" t="s">
        <v>681</v>
      </c>
      <c r="H32" s="251" t="s">
        <v>682</v>
      </c>
      <c r="I32" s="251" t="s">
        <v>736</v>
      </c>
      <c r="J32" s="251" t="s">
        <v>2347</v>
      </c>
    </row>
    <row r="33" spans="1:10">
      <c r="A33" s="385">
        <v>31</v>
      </c>
      <c r="B33" s="251" t="s">
        <v>2348</v>
      </c>
      <c r="C33" s="251" t="s">
        <v>2349</v>
      </c>
      <c r="D33" s="251" t="s">
        <v>2350</v>
      </c>
      <c r="E33" s="251" t="s">
        <v>2239</v>
      </c>
      <c r="F33" s="251" t="s">
        <v>680</v>
      </c>
      <c r="G33" s="251" t="s">
        <v>681</v>
      </c>
      <c r="H33" s="251" t="s">
        <v>682</v>
      </c>
      <c r="I33" s="251" t="s">
        <v>736</v>
      </c>
      <c r="J33" s="251" t="s">
        <v>2351</v>
      </c>
    </row>
    <row r="34" spans="1:10">
      <c r="A34" s="385">
        <v>32</v>
      </c>
      <c r="B34" s="251" t="s">
        <v>2352</v>
      </c>
      <c r="C34" s="251" t="s">
        <v>2353</v>
      </c>
      <c r="D34" s="251" t="s">
        <v>2354</v>
      </c>
      <c r="E34" s="251" t="s">
        <v>2239</v>
      </c>
      <c r="F34" s="251" t="s">
        <v>680</v>
      </c>
      <c r="G34" s="251" t="s">
        <v>681</v>
      </c>
      <c r="H34" s="251" t="s">
        <v>682</v>
      </c>
      <c r="I34" s="251" t="s">
        <v>736</v>
      </c>
      <c r="J34" s="251" t="s">
        <v>2355</v>
      </c>
    </row>
    <row r="35" spans="1:10">
      <c r="A35" s="385">
        <v>33</v>
      </c>
      <c r="B35" s="251" t="s">
        <v>2356</v>
      </c>
      <c r="C35" s="251" t="s">
        <v>2357</v>
      </c>
      <c r="D35" s="251" t="s">
        <v>2358</v>
      </c>
      <c r="E35" s="251" t="s">
        <v>2239</v>
      </c>
      <c r="F35" s="251" t="s">
        <v>680</v>
      </c>
      <c r="G35" s="251" t="s">
        <v>681</v>
      </c>
      <c r="H35" s="251" t="s">
        <v>682</v>
      </c>
      <c r="I35" s="251" t="s">
        <v>736</v>
      </c>
      <c r="J35" s="251" t="s">
        <v>2359</v>
      </c>
    </row>
    <row r="36" spans="1:10">
      <c r="A36" s="385">
        <v>34</v>
      </c>
      <c r="B36" s="251" t="s">
        <v>2360</v>
      </c>
      <c r="C36" s="251" t="s">
        <v>2361</v>
      </c>
      <c r="D36" s="251" t="s">
        <v>2277</v>
      </c>
      <c r="E36" s="251" t="s">
        <v>2239</v>
      </c>
      <c r="F36" s="251" t="s">
        <v>680</v>
      </c>
      <c r="G36" s="251" t="s">
        <v>681</v>
      </c>
      <c r="H36" s="251" t="s">
        <v>682</v>
      </c>
      <c r="I36" s="251" t="s">
        <v>736</v>
      </c>
      <c r="J36" s="251" t="s">
        <v>794</v>
      </c>
    </row>
    <row r="37" spans="1:10">
      <c r="A37" s="385">
        <v>35</v>
      </c>
      <c r="B37" s="251" t="s">
        <v>2362</v>
      </c>
      <c r="C37" s="251" t="s">
        <v>2363</v>
      </c>
      <c r="D37" s="251" t="s">
        <v>2364</v>
      </c>
      <c r="E37" s="251" t="s">
        <v>2239</v>
      </c>
      <c r="F37" s="251" t="s">
        <v>680</v>
      </c>
      <c r="G37" s="251" t="s">
        <v>681</v>
      </c>
      <c r="H37" s="251" t="s">
        <v>682</v>
      </c>
      <c r="I37" s="251" t="s">
        <v>736</v>
      </c>
      <c r="J37" s="251" t="s">
        <v>2365</v>
      </c>
    </row>
    <row r="38" spans="1:10">
      <c r="A38" s="385">
        <v>36</v>
      </c>
      <c r="B38" s="251" t="s">
        <v>2366</v>
      </c>
      <c r="C38" s="251" t="s">
        <v>2367</v>
      </c>
      <c r="D38" s="251" t="s">
        <v>2368</v>
      </c>
      <c r="E38" s="251" t="s">
        <v>2239</v>
      </c>
      <c r="F38" s="251" t="s">
        <v>680</v>
      </c>
      <c r="G38" s="251" t="s">
        <v>681</v>
      </c>
      <c r="H38" s="251" t="s">
        <v>682</v>
      </c>
      <c r="I38" s="251" t="s">
        <v>736</v>
      </c>
      <c r="J38" s="251" t="s">
        <v>2369</v>
      </c>
    </row>
    <row r="39" spans="1:10">
      <c r="A39" s="385">
        <v>37</v>
      </c>
      <c r="B39" s="251" t="s">
        <v>2370</v>
      </c>
      <c r="C39" s="251" t="s">
        <v>2371</v>
      </c>
      <c r="D39" s="251" t="s">
        <v>2372</v>
      </c>
      <c r="E39" s="251" t="s">
        <v>2239</v>
      </c>
      <c r="F39" s="251" t="s">
        <v>680</v>
      </c>
      <c r="G39" s="251" t="s">
        <v>681</v>
      </c>
      <c r="H39" s="251" t="s">
        <v>682</v>
      </c>
      <c r="I39" s="251" t="s">
        <v>736</v>
      </c>
      <c r="J39" s="251" t="s">
        <v>2373</v>
      </c>
    </row>
    <row r="40" spans="1:10">
      <c r="A40" s="385">
        <v>38</v>
      </c>
      <c r="B40" s="251" t="s">
        <v>2374</v>
      </c>
      <c r="C40" s="251" t="s">
        <v>2375</v>
      </c>
      <c r="D40" s="251" t="s">
        <v>2376</v>
      </c>
      <c r="E40" s="251" t="s">
        <v>2239</v>
      </c>
      <c r="F40" s="251" t="s">
        <v>680</v>
      </c>
      <c r="G40" s="251" t="s">
        <v>681</v>
      </c>
      <c r="H40" s="251" t="s">
        <v>682</v>
      </c>
      <c r="I40" s="251" t="s">
        <v>736</v>
      </c>
      <c r="J40" s="251" t="s">
        <v>2377</v>
      </c>
    </row>
    <row r="41" spans="1:10">
      <c r="A41" s="385">
        <v>39</v>
      </c>
      <c r="B41" s="251" t="s">
        <v>2378</v>
      </c>
      <c r="C41" s="251" t="s">
        <v>2379</v>
      </c>
      <c r="D41" s="251" t="s">
        <v>2266</v>
      </c>
      <c r="E41" s="251" t="s">
        <v>2239</v>
      </c>
      <c r="F41" s="251" t="s">
        <v>680</v>
      </c>
      <c r="G41" s="251" t="s">
        <v>681</v>
      </c>
      <c r="H41" s="251" t="s">
        <v>682</v>
      </c>
      <c r="I41" s="251" t="s">
        <v>736</v>
      </c>
      <c r="J41" s="251" t="s">
        <v>812</v>
      </c>
    </row>
    <row r="42" spans="1:10">
      <c r="A42" s="385">
        <v>40</v>
      </c>
      <c r="B42" s="251" t="s">
        <v>2380</v>
      </c>
      <c r="C42" s="251" t="s">
        <v>2381</v>
      </c>
      <c r="D42" s="251" t="s">
        <v>2382</v>
      </c>
      <c r="E42" s="251" t="s">
        <v>2239</v>
      </c>
      <c r="F42" s="251" t="s">
        <v>680</v>
      </c>
      <c r="G42" s="251" t="s">
        <v>681</v>
      </c>
      <c r="H42" s="251" t="s">
        <v>682</v>
      </c>
      <c r="I42" s="251" t="s">
        <v>736</v>
      </c>
      <c r="J42" s="251" t="s">
        <v>2383</v>
      </c>
    </row>
    <row r="43" spans="1:10">
      <c r="A43" s="385">
        <v>41</v>
      </c>
      <c r="B43" s="251" t="s">
        <v>2384</v>
      </c>
      <c r="C43" s="251" t="s">
        <v>2385</v>
      </c>
      <c r="D43" s="251" t="s">
        <v>2386</v>
      </c>
      <c r="E43" s="251" t="s">
        <v>2239</v>
      </c>
      <c r="F43" s="251" t="s">
        <v>680</v>
      </c>
      <c r="G43" s="251" t="s">
        <v>681</v>
      </c>
      <c r="H43" s="251" t="s">
        <v>682</v>
      </c>
      <c r="I43" s="251" t="s">
        <v>736</v>
      </c>
      <c r="J43" s="251" t="s">
        <v>2387</v>
      </c>
    </row>
    <row r="44" spans="1:10">
      <c r="A44" s="385">
        <v>42</v>
      </c>
      <c r="B44" s="251" t="s">
        <v>2388</v>
      </c>
      <c r="C44" s="251" t="s">
        <v>2389</v>
      </c>
      <c r="D44" s="251" t="s">
        <v>2390</v>
      </c>
      <c r="E44" s="251" t="s">
        <v>2239</v>
      </c>
      <c r="F44" s="251" t="s">
        <v>680</v>
      </c>
      <c r="G44" s="251" t="s">
        <v>681</v>
      </c>
      <c r="H44" s="251" t="s">
        <v>682</v>
      </c>
      <c r="I44" s="251" t="s">
        <v>736</v>
      </c>
      <c r="J44" s="251" t="s">
        <v>2391</v>
      </c>
    </row>
    <row r="45" spans="1:10">
      <c r="A45" s="385">
        <v>43</v>
      </c>
      <c r="B45" s="251" t="s">
        <v>2392</v>
      </c>
      <c r="C45" s="251" t="s">
        <v>2393</v>
      </c>
      <c r="D45" s="251" t="s">
        <v>2394</v>
      </c>
      <c r="E45" s="251" t="s">
        <v>2239</v>
      </c>
      <c r="F45" s="251" t="s">
        <v>680</v>
      </c>
      <c r="G45" s="251" t="s">
        <v>681</v>
      </c>
      <c r="H45" s="251" t="s">
        <v>682</v>
      </c>
      <c r="I45" s="251" t="s">
        <v>736</v>
      </c>
      <c r="J45" s="251" t="s">
        <v>2395</v>
      </c>
    </row>
    <row r="46" spans="1:10">
      <c r="A46" s="385">
        <v>44</v>
      </c>
      <c r="B46" s="251" t="s">
        <v>2396</v>
      </c>
      <c r="C46" s="251" t="s">
        <v>2397</v>
      </c>
      <c r="D46" s="251" t="s">
        <v>2398</v>
      </c>
      <c r="E46" s="251" t="s">
        <v>2239</v>
      </c>
      <c r="F46" s="251" t="s">
        <v>680</v>
      </c>
      <c r="G46" s="251" t="s">
        <v>681</v>
      </c>
      <c r="H46" s="251" t="s">
        <v>682</v>
      </c>
      <c r="I46" s="251" t="s">
        <v>736</v>
      </c>
      <c r="J46" s="251" t="s">
        <v>2399</v>
      </c>
    </row>
    <row r="47" spans="1:10">
      <c r="A47" s="385">
        <v>45</v>
      </c>
      <c r="B47" s="251" t="s">
        <v>2400</v>
      </c>
      <c r="C47" s="251" t="s">
        <v>2401</v>
      </c>
      <c r="D47" s="251" t="s">
        <v>2277</v>
      </c>
      <c r="E47" s="251" t="s">
        <v>2239</v>
      </c>
      <c r="F47" s="251" t="s">
        <v>680</v>
      </c>
      <c r="G47" s="251" t="s">
        <v>681</v>
      </c>
      <c r="H47" s="251" t="s">
        <v>682</v>
      </c>
      <c r="I47" s="251" t="s">
        <v>736</v>
      </c>
      <c r="J47" s="251" t="s">
        <v>2402</v>
      </c>
    </row>
    <row r="48" spans="1:10">
      <c r="A48" s="385">
        <v>46</v>
      </c>
      <c r="B48" s="251" t="s">
        <v>2403</v>
      </c>
      <c r="C48" s="251" t="s">
        <v>2404</v>
      </c>
      <c r="D48" s="251" t="s">
        <v>2405</v>
      </c>
      <c r="E48" s="251" t="s">
        <v>2239</v>
      </c>
      <c r="F48" s="251" t="s">
        <v>680</v>
      </c>
      <c r="G48" s="251" t="s">
        <v>681</v>
      </c>
      <c r="H48" s="251" t="s">
        <v>682</v>
      </c>
      <c r="I48" s="251" t="s">
        <v>736</v>
      </c>
      <c r="J48" s="251" t="s">
        <v>824</v>
      </c>
    </row>
    <row r="49" spans="1:10">
      <c r="A49" s="385">
        <v>47</v>
      </c>
      <c r="B49" s="251" t="s">
        <v>2406</v>
      </c>
      <c r="C49" s="251" t="s">
        <v>2407</v>
      </c>
      <c r="D49" s="251" t="s">
        <v>2408</v>
      </c>
      <c r="E49" s="251" t="s">
        <v>2239</v>
      </c>
      <c r="F49" s="251" t="s">
        <v>680</v>
      </c>
      <c r="G49" s="251" t="s">
        <v>681</v>
      </c>
      <c r="H49" s="251" t="s">
        <v>682</v>
      </c>
      <c r="I49" s="251" t="s">
        <v>736</v>
      </c>
      <c r="J49" s="251" t="s">
        <v>835</v>
      </c>
    </row>
    <row r="50" spans="1:10">
      <c r="A50" s="385">
        <v>48</v>
      </c>
      <c r="B50" s="251" t="s">
        <v>2409</v>
      </c>
      <c r="C50" s="251" t="s">
        <v>2410</v>
      </c>
      <c r="D50" s="251" t="s">
        <v>2411</v>
      </c>
      <c r="E50" s="251" t="s">
        <v>2239</v>
      </c>
      <c r="F50" s="251" t="s">
        <v>680</v>
      </c>
      <c r="G50" s="251" t="s">
        <v>681</v>
      </c>
      <c r="H50" s="251" t="s">
        <v>682</v>
      </c>
      <c r="I50" s="251" t="s">
        <v>853</v>
      </c>
      <c r="J50" s="251" t="s">
        <v>2412</v>
      </c>
    </row>
    <row r="51" spans="1:10">
      <c r="A51" s="385">
        <v>49</v>
      </c>
      <c r="B51" s="251" t="s">
        <v>2413</v>
      </c>
      <c r="C51" s="251" t="s">
        <v>2414</v>
      </c>
      <c r="D51" s="251" t="s">
        <v>2415</v>
      </c>
      <c r="E51" s="251" t="s">
        <v>2239</v>
      </c>
      <c r="F51" s="251" t="s">
        <v>680</v>
      </c>
      <c r="G51" s="251" t="s">
        <v>681</v>
      </c>
      <c r="H51" s="251" t="s">
        <v>682</v>
      </c>
      <c r="I51" s="251" t="s">
        <v>853</v>
      </c>
      <c r="J51" s="251" t="s">
        <v>2416</v>
      </c>
    </row>
    <row r="52" spans="1:10">
      <c r="A52" s="385">
        <v>50</v>
      </c>
      <c r="B52" s="251" t="s">
        <v>2417</v>
      </c>
      <c r="C52" s="251" t="s">
        <v>2418</v>
      </c>
      <c r="D52" s="251" t="s">
        <v>2408</v>
      </c>
      <c r="E52" s="251" t="s">
        <v>2239</v>
      </c>
      <c r="F52" s="251" t="s">
        <v>680</v>
      </c>
      <c r="G52" s="251" t="s">
        <v>681</v>
      </c>
      <c r="H52" s="251" t="s">
        <v>682</v>
      </c>
      <c r="I52" s="251" t="s">
        <v>853</v>
      </c>
      <c r="J52" s="251" t="s">
        <v>2419</v>
      </c>
    </row>
    <row r="53" spans="1:10">
      <c r="A53" s="385">
        <v>51</v>
      </c>
      <c r="B53" s="251" t="s">
        <v>2420</v>
      </c>
      <c r="C53" s="251" t="s">
        <v>2421</v>
      </c>
      <c r="D53" s="251" t="s">
        <v>2422</v>
      </c>
      <c r="E53" s="251" t="s">
        <v>2239</v>
      </c>
      <c r="F53" s="251" t="s">
        <v>680</v>
      </c>
      <c r="G53" s="251" t="s">
        <v>681</v>
      </c>
      <c r="H53" s="251" t="s">
        <v>682</v>
      </c>
      <c r="I53" s="251" t="s">
        <v>853</v>
      </c>
      <c r="J53" s="251" t="s">
        <v>2423</v>
      </c>
    </row>
    <row r="54" spans="1:10">
      <c r="A54" s="385">
        <v>52</v>
      </c>
      <c r="B54" s="251" t="s">
        <v>2424</v>
      </c>
      <c r="C54" s="251" t="s">
        <v>2425</v>
      </c>
      <c r="D54" s="251" t="s">
        <v>2426</v>
      </c>
      <c r="E54" s="251" t="s">
        <v>2239</v>
      </c>
      <c r="F54" s="251" t="s">
        <v>680</v>
      </c>
      <c r="G54" s="251" t="s">
        <v>681</v>
      </c>
      <c r="H54" s="251" t="s">
        <v>682</v>
      </c>
      <c r="I54" s="251" t="s">
        <v>853</v>
      </c>
      <c r="J54" s="251" t="s">
        <v>2427</v>
      </c>
    </row>
    <row r="55" spans="1:10">
      <c r="A55" s="385">
        <v>53</v>
      </c>
      <c r="B55" s="251" t="s">
        <v>2428</v>
      </c>
      <c r="C55" s="251" t="s">
        <v>2429</v>
      </c>
      <c r="D55" s="251" t="s">
        <v>2430</v>
      </c>
      <c r="E55" s="251" t="s">
        <v>2239</v>
      </c>
      <c r="F55" s="251" t="s">
        <v>680</v>
      </c>
      <c r="G55" s="251" t="s">
        <v>681</v>
      </c>
      <c r="H55" s="251" t="s">
        <v>682</v>
      </c>
      <c r="I55" s="251" t="s">
        <v>853</v>
      </c>
      <c r="J55" s="251" t="s">
        <v>2431</v>
      </c>
    </row>
    <row r="56" spans="1:10">
      <c r="A56" s="385">
        <v>54</v>
      </c>
      <c r="B56" s="251" t="s">
        <v>2432</v>
      </c>
      <c r="C56" s="251" t="s">
        <v>2433</v>
      </c>
      <c r="D56" s="251" t="s">
        <v>2434</v>
      </c>
      <c r="E56" s="251" t="s">
        <v>2239</v>
      </c>
      <c r="F56" s="251" t="s">
        <v>680</v>
      </c>
      <c r="G56" s="251" t="s">
        <v>681</v>
      </c>
      <c r="H56" s="251" t="s">
        <v>682</v>
      </c>
      <c r="I56" s="251" t="s">
        <v>853</v>
      </c>
      <c r="J56" s="251" t="s">
        <v>2435</v>
      </c>
    </row>
    <row r="57" spans="1:10">
      <c r="A57" s="385">
        <v>55</v>
      </c>
      <c r="B57" s="251" t="s">
        <v>2436</v>
      </c>
      <c r="C57" s="251" t="s">
        <v>2437</v>
      </c>
      <c r="D57" s="251" t="s">
        <v>2438</v>
      </c>
      <c r="E57" s="251" t="s">
        <v>2239</v>
      </c>
      <c r="F57" s="251" t="s">
        <v>680</v>
      </c>
      <c r="G57" s="251" t="s">
        <v>681</v>
      </c>
      <c r="H57" s="251" t="s">
        <v>682</v>
      </c>
      <c r="I57" s="251" t="s">
        <v>853</v>
      </c>
      <c r="J57" s="251" t="s">
        <v>2439</v>
      </c>
    </row>
    <row r="58" spans="1:10">
      <c r="A58" s="385">
        <v>56</v>
      </c>
      <c r="B58" s="251" t="s">
        <v>2440</v>
      </c>
      <c r="C58" s="251" t="s">
        <v>2441</v>
      </c>
      <c r="D58" s="251" t="s">
        <v>2442</v>
      </c>
      <c r="E58" s="251" t="s">
        <v>2239</v>
      </c>
      <c r="F58" s="251" t="s">
        <v>680</v>
      </c>
      <c r="G58" s="251" t="s">
        <v>681</v>
      </c>
      <c r="H58" s="251" t="s">
        <v>682</v>
      </c>
      <c r="I58" s="251" t="s">
        <v>853</v>
      </c>
      <c r="J58" s="251" t="s">
        <v>2443</v>
      </c>
    </row>
    <row r="59" spans="1:10">
      <c r="A59" s="385">
        <v>57</v>
      </c>
      <c r="B59" s="251" t="s">
        <v>2444</v>
      </c>
      <c r="C59" s="251" t="s">
        <v>2445</v>
      </c>
      <c r="D59" s="251" t="s">
        <v>2446</v>
      </c>
      <c r="E59" s="251" t="s">
        <v>2239</v>
      </c>
      <c r="F59" s="251" t="s">
        <v>680</v>
      </c>
      <c r="G59" s="251" t="s">
        <v>681</v>
      </c>
      <c r="H59" s="251" t="s">
        <v>682</v>
      </c>
      <c r="I59" s="251" t="s">
        <v>853</v>
      </c>
      <c r="J59" s="251" t="s">
        <v>2447</v>
      </c>
    </row>
    <row r="60" spans="1:10">
      <c r="A60" s="385">
        <v>58</v>
      </c>
      <c r="B60" s="251" t="s">
        <v>2448</v>
      </c>
      <c r="C60" s="251" t="s">
        <v>2449</v>
      </c>
      <c r="D60" s="251" t="s">
        <v>2450</v>
      </c>
      <c r="E60" s="251" t="s">
        <v>2239</v>
      </c>
      <c r="F60" s="251" t="s">
        <v>680</v>
      </c>
      <c r="G60" s="251" t="s">
        <v>681</v>
      </c>
      <c r="H60" s="251" t="s">
        <v>682</v>
      </c>
      <c r="I60" s="251" t="s">
        <v>853</v>
      </c>
      <c r="J60" s="251" t="s">
        <v>2451</v>
      </c>
    </row>
    <row r="61" spans="1:10">
      <c r="A61" s="385">
        <v>59</v>
      </c>
      <c r="B61" s="251" t="s">
        <v>2452</v>
      </c>
      <c r="C61" s="251" t="s">
        <v>2453</v>
      </c>
      <c r="D61" s="251" t="s">
        <v>2454</v>
      </c>
      <c r="E61" s="251" t="s">
        <v>2239</v>
      </c>
      <c r="F61" s="251" t="s">
        <v>680</v>
      </c>
      <c r="G61" s="251" t="s">
        <v>681</v>
      </c>
      <c r="H61" s="251" t="s">
        <v>682</v>
      </c>
      <c r="I61" s="251" t="s">
        <v>853</v>
      </c>
      <c r="J61" s="251" t="s">
        <v>2455</v>
      </c>
    </row>
    <row r="62" spans="1:10">
      <c r="A62" s="385">
        <v>60</v>
      </c>
      <c r="B62" s="251" t="s">
        <v>2456</v>
      </c>
      <c r="C62" s="251" t="s">
        <v>2457</v>
      </c>
      <c r="D62" s="251" t="s">
        <v>2405</v>
      </c>
      <c r="E62" s="251" t="s">
        <v>2239</v>
      </c>
      <c r="F62" s="251" t="s">
        <v>680</v>
      </c>
      <c r="G62" s="251" t="s">
        <v>681</v>
      </c>
      <c r="H62" s="251" t="s">
        <v>682</v>
      </c>
      <c r="I62" s="251" t="s">
        <v>853</v>
      </c>
      <c r="J62" s="251" t="s">
        <v>2458</v>
      </c>
    </row>
    <row r="63" spans="1:10">
      <c r="A63" s="385">
        <v>61</v>
      </c>
      <c r="B63" s="251" t="s">
        <v>2459</v>
      </c>
      <c r="C63" s="251" t="s">
        <v>2460</v>
      </c>
      <c r="D63" s="251" t="s">
        <v>2461</v>
      </c>
      <c r="E63" s="251" t="s">
        <v>2239</v>
      </c>
      <c r="F63" s="251" t="s">
        <v>680</v>
      </c>
      <c r="G63" s="251" t="s">
        <v>681</v>
      </c>
      <c r="H63" s="251" t="s">
        <v>682</v>
      </c>
      <c r="I63" s="251" t="s">
        <v>853</v>
      </c>
      <c r="J63" s="251" t="s">
        <v>2462</v>
      </c>
    </row>
    <row r="64" spans="1:10">
      <c r="A64" s="385">
        <v>62</v>
      </c>
      <c r="B64" s="251" t="s">
        <v>2463</v>
      </c>
      <c r="C64" s="251" t="s">
        <v>2464</v>
      </c>
      <c r="D64" s="251" t="s">
        <v>2465</v>
      </c>
      <c r="E64" s="251" t="s">
        <v>2239</v>
      </c>
      <c r="F64" s="251" t="s">
        <v>680</v>
      </c>
      <c r="G64" s="251" t="s">
        <v>681</v>
      </c>
      <c r="H64" s="251" t="s">
        <v>682</v>
      </c>
      <c r="I64" s="251" t="s">
        <v>853</v>
      </c>
      <c r="J64" s="251" t="s">
        <v>854</v>
      </c>
    </row>
    <row r="65" spans="1:10">
      <c r="A65" s="385">
        <v>63</v>
      </c>
      <c r="B65" s="251" t="s">
        <v>2466</v>
      </c>
      <c r="C65" s="251" t="s">
        <v>2467</v>
      </c>
      <c r="D65" s="251" t="s">
        <v>2468</v>
      </c>
      <c r="E65" s="251" t="s">
        <v>2239</v>
      </c>
      <c r="F65" s="251" t="s">
        <v>680</v>
      </c>
      <c r="G65" s="251" t="s">
        <v>681</v>
      </c>
      <c r="H65" s="251" t="s">
        <v>682</v>
      </c>
      <c r="I65" s="251" t="s">
        <v>853</v>
      </c>
      <c r="J65" s="251" t="s">
        <v>2469</v>
      </c>
    </row>
    <row r="66" spans="1:10">
      <c r="A66" s="385">
        <v>64</v>
      </c>
      <c r="B66" s="251" t="s">
        <v>2470</v>
      </c>
      <c r="C66" s="251" t="s">
        <v>2471</v>
      </c>
      <c r="D66" s="251" t="s">
        <v>2472</v>
      </c>
      <c r="E66" s="251" t="s">
        <v>2239</v>
      </c>
      <c r="F66" s="251" t="s">
        <v>680</v>
      </c>
      <c r="G66" s="251" t="s">
        <v>681</v>
      </c>
      <c r="H66" s="251" t="s">
        <v>682</v>
      </c>
      <c r="I66" s="251" t="s">
        <v>917</v>
      </c>
      <c r="J66" s="251" t="s">
        <v>2473</v>
      </c>
    </row>
    <row r="67" spans="1:10">
      <c r="A67" s="385">
        <v>65</v>
      </c>
      <c r="B67" s="251" t="s">
        <v>2474</v>
      </c>
      <c r="C67" s="251" t="s">
        <v>2475</v>
      </c>
      <c r="D67" s="251" t="s">
        <v>2476</v>
      </c>
      <c r="E67" s="251" t="s">
        <v>2239</v>
      </c>
      <c r="F67" s="251" t="s">
        <v>680</v>
      </c>
      <c r="G67" s="251" t="s">
        <v>681</v>
      </c>
      <c r="H67" s="251" t="s">
        <v>682</v>
      </c>
      <c r="I67" s="251" t="s">
        <v>917</v>
      </c>
      <c r="J67" s="251" t="s">
        <v>2477</v>
      </c>
    </row>
    <row r="68" spans="1:10">
      <c r="A68" s="385">
        <v>66</v>
      </c>
      <c r="B68" s="251" t="s">
        <v>2478</v>
      </c>
      <c r="C68" s="251" t="s">
        <v>2479</v>
      </c>
      <c r="D68" s="251" t="s">
        <v>2480</v>
      </c>
      <c r="E68" s="251" t="s">
        <v>2239</v>
      </c>
      <c r="F68" s="251" t="s">
        <v>680</v>
      </c>
      <c r="G68" s="251" t="s">
        <v>681</v>
      </c>
      <c r="H68" s="251" t="s">
        <v>682</v>
      </c>
      <c r="I68" s="251" t="s">
        <v>917</v>
      </c>
      <c r="J68" s="251" t="s">
        <v>2481</v>
      </c>
    </row>
    <row r="69" spans="1:10">
      <c r="A69" s="385">
        <v>67</v>
      </c>
      <c r="B69" s="251" t="s">
        <v>2482</v>
      </c>
      <c r="C69" s="251" t="s">
        <v>2483</v>
      </c>
      <c r="D69" s="251" t="s">
        <v>2484</v>
      </c>
      <c r="E69" s="251" t="s">
        <v>2239</v>
      </c>
      <c r="F69" s="251" t="s">
        <v>680</v>
      </c>
      <c r="G69" s="251" t="s">
        <v>681</v>
      </c>
      <c r="H69" s="251" t="s">
        <v>682</v>
      </c>
      <c r="I69" s="251" t="s">
        <v>917</v>
      </c>
      <c r="J69" s="251" t="s">
        <v>2485</v>
      </c>
    </row>
    <row r="70" spans="1:10">
      <c r="A70" s="385">
        <v>68</v>
      </c>
      <c r="B70" s="251" t="s">
        <v>2486</v>
      </c>
      <c r="C70" s="251" t="s">
        <v>2487</v>
      </c>
      <c r="D70" s="251" t="s">
        <v>2488</v>
      </c>
      <c r="E70" s="251" t="s">
        <v>2239</v>
      </c>
      <c r="F70" s="251" t="s">
        <v>680</v>
      </c>
      <c r="G70" s="251" t="s">
        <v>681</v>
      </c>
      <c r="H70" s="251" t="s">
        <v>682</v>
      </c>
      <c r="I70" s="251" t="s">
        <v>926</v>
      </c>
      <c r="J70" s="251" t="s">
        <v>2489</v>
      </c>
    </row>
    <row r="71" spans="1:10">
      <c r="A71" s="385">
        <v>69</v>
      </c>
      <c r="B71" s="251" t="s">
        <v>2490</v>
      </c>
      <c r="C71" s="251" t="s">
        <v>2491</v>
      </c>
      <c r="D71" s="251" t="s">
        <v>2492</v>
      </c>
      <c r="E71" s="251" t="s">
        <v>2239</v>
      </c>
      <c r="F71" s="251" t="s">
        <v>680</v>
      </c>
      <c r="G71" s="251" t="s">
        <v>681</v>
      </c>
      <c r="H71" s="251" t="s">
        <v>682</v>
      </c>
      <c r="I71" s="251" t="s">
        <v>926</v>
      </c>
      <c r="J71" s="251" t="s">
        <v>2493</v>
      </c>
    </row>
    <row r="72" spans="1:10">
      <c r="A72" s="385">
        <v>70</v>
      </c>
      <c r="B72" s="251" t="s">
        <v>2494</v>
      </c>
      <c r="C72" s="251" t="s">
        <v>2495</v>
      </c>
      <c r="D72" s="251" t="s">
        <v>2496</v>
      </c>
      <c r="E72" s="251" t="s">
        <v>2239</v>
      </c>
      <c r="F72" s="251" t="s">
        <v>680</v>
      </c>
      <c r="G72" s="251" t="s">
        <v>681</v>
      </c>
      <c r="H72" s="251" t="s">
        <v>682</v>
      </c>
      <c r="I72" s="251" t="s">
        <v>926</v>
      </c>
      <c r="J72" s="251" t="s">
        <v>2497</v>
      </c>
    </row>
    <row r="73" spans="1:10">
      <c r="A73" s="385">
        <v>71</v>
      </c>
      <c r="B73" s="251" t="s">
        <v>2498</v>
      </c>
      <c r="C73" s="251" t="s">
        <v>2499</v>
      </c>
      <c r="D73" s="251" t="s">
        <v>2500</v>
      </c>
      <c r="E73" s="251" t="s">
        <v>2239</v>
      </c>
      <c r="F73" s="251" t="s">
        <v>680</v>
      </c>
      <c r="G73" s="251" t="s">
        <v>681</v>
      </c>
      <c r="H73" s="251" t="s">
        <v>682</v>
      </c>
      <c r="I73" s="251" t="s">
        <v>926</v>
      </c>
      <c r="J73" s="251" t="s">
        <v>2501</v>
      </c>
    </row>
    <row r="74" spans="1:10">
      <c r="A74" s="385">
        <v>72</v>
      </c>
      <c r="B74" s="251" t="s">
        <v>2502</v>
      </c>
      <c r="C74" s="251" t="s">
        <v>2503</v>
      </c>
      <c r="D74" s="251" t="s">
        <v>2358</v>
      </c>
      <c r="E74" s="251" t="s">
        <v>2239</v>
      </c>
      <c r="F74" s="251" t="s">
        <v>680</v>
      </c>
      <c r="G74" s="251" t="s">
        <v>681</v>
      </c>
      <c r="H74" s="251" t="s">
        <v>682</v>
      </c>
      <c r="I74" s="251" t="s">
        <v>926</v>
      </c>
      <c r="J74" s="251" t="s">
        <v>2504</v>
      </c>
    </row>
    <row r="75" spans="1:10">
      <c r="A75" s="385">
        <v>73</v>
      </c>
      <c r="B75" s="251" t="s">
        <v>2505</v>
      </c>
      <c r="C75" s="251" t="s">
        <v>2506</v>
      </c>
      <c r="D75" s="251" t="s">
        <v>2507</v>
      </c>
      <c r="E75" s="251" t="s">
        <v>2239</v>
      </c>
      <c r="F75" s="251" t="s">
        <v>680</v>
      </c>
      <c r="G75" s="251" t="s">
        <v>681</v>
      </c>
      <c r="H75" s="251" t="s">
        <v>682</v>
      </c>
      <c r="I75" s="251" t="s">
        <v>926</v>
      </c>
      <c r="J75" s="251" t="s">
        <v>961</v>
      </c>
    </row>
    <row r="76" spans="1:10">
      <c r="A76" s="385">
        <v>74</v>
      </c>
      <c r="B76" s="251" t="s">
        <v>2508</v>
      </c>
      <c r="C76" s="251" t="s">
        <v>2509</v>
      </c>
      <c r="D76" s="251" t="s">
        <v>2510</v>
      </c>
      <c r="E76" s="251" t="s">
        <v>2239</v>
      </c>
      <c r="F76" s="251" t="s">
        <v>680</v>
      </c>
      <c r="G76" s="251" t="s">
        <v>681</v>
      </c>
      <c r="H76" s="251" t="s">
        <v>682</v>
      </c>
      <c r="I76" s="251" t="s">
        <v>926</v>
      </c>
      <c r="J76" s="251" t="s">
        <v>2511</v>
      </c>
    </row>
    <row r="77" spans="1:10">
      <c r="A77" s="385">
        <v>75</v>
      </c>
      <c r="B77" s="251" t="s">
        <v>2512</v>
      </c>
      <c r="C77" s="251" t="s">
        <v>2513</v>
      </c>
      <c r="D77" s="251" t="s">
        <v>2514</v>
      </c>
      <c r="E77" s="251" t="s">
        <v>2239</v>
      </c>
      <c r="F77" s="251" t="s">
        <v>680</v>
      </c>
      <c r="G77" s="251" t="s">
        <v>681</v>
      </c>
      <c r="H77" s="251" t="s">
        <v>682</v>
      </c>
      <c r="I77" s="251" t="s">
        <v>926</v>
      </c>
      <c r="J77" s="251" t="s">
        <v>1028</v>
      </c>
    </row>
    <row r="78" spans="1:10">
      <c r="A78" s="385">
        <v>76</v>
      </c>
      <c r="B78" s="251" t="s">
        <v>2515</v>
      </c>
      <c r="C78" s="251" t="s">
        <v>2516</v>
      </c>
      <c r="D78" s="251" t="s">
        <v>2430</v>
      </c>
      <c r="E78" s="251" t="s">
        <v>2239</v>
      </c>
      <c r="F78" s="251" t="s">
        <v>680</v>
      </c>
      <c r="G78" s="251" t="s">
        <v>681</v>
      </c>
      <c r="H78" s="251" t="s">
        <v>682</v>
      </c>
      <c r="I78" s="251" t="s">
        <v>926</v>
      </c>
      <c r="J78" s="251" t="s">
        <v>2517</v>
      </c>
    </row>
    <row r="79" spans="1:10">
      <c r="A79" s="385">
        <v>77</v>
      </c>
      <c r="B79" s="251" t="s">
        <v>2518</v>
      </c>
      <c r="C79" s="251" t="s">
        <v>2519</v>
      </c>
      <c r="D79" s="251" t="s">
        <v>2520</v>
      </c>
      <c r="E79" s="251" t="s">
        <v>2239</v>
      </c>
      <c r="F79" s="251" t="s">
        <v>680</v>
      </c>
      <c r="G79" s="251" t="s">
        <v>681</v>
      </c>
      <c r="H79" s="251" t="s">
        <v>682</v>
      </c>
      <c r="I79" s="251" t="s">
        <v>926</v>
      </c>
      <c r="J79" s="251" t="s">
        <v>2521</v>
      </c>
    </row>
    <row r="80" spans="1:10">
      <c r="A80" s="385">
        <v>78</v>
      </c>
      <c r="B80" s="251" t="s">
        <v>2522</v>
      </c>
      <c r="C80" s="251" t="s">
        <v>2523</v>
      </c>
      <c r="D80" s="251" t="s">
        <v>2358</v>
      </c>
      <c r="E80" s="251" t="s">
        <v>2239</v>
      </c>
      <c r="F80" s="251" t="s">
        <v>680</v>
      </c>
      <c r="G80" s="251" t="s">
        <v>681</v>
      </c>
      <c r="H80" s="251" t="s">
        <v>682</v>
      </c>
      <c r="I80" s="251" t="s">
        <v>926</v>
      </c>
      <c r="J80" s="251" t="s">
        <v>2524</v>
      </c>
    </row>
    <row r="81" spans="1:10">
      <c r="A81" s="385">
        <v>79</v>
      </c>
      <c r="B81" s="251" t="s">
        <v>2525</v>
      </c>
      <c r="C81" s="251" t="s">
        <v>2526</v>
      </c>
      <c r="D81" s="251" t="s">
        <v>2292</v>
      </c>
      <c r="E81" s="251" t="s">
        <v>2239</v>
      </c>
      <c r="F81" s="251" t="s">
        <v>680</v>
      </c>
      <c r="G81" s="251" t="s">
        <v>681</v>
      </c>
      <c r="H81" s="251" t="s">
        <v>682</v>
      </c>
      <c r="I81" s="251" t="s">
        <v>926</v>
      </c>
      <c r="J81" s="251" t="s">
        <v>2527</v>
      </c>
    </row>
    <row r="82" spans="1:10">
      <c r="A82" s="385">
        <v>80</v>
      </c>
      <c r="B82" s="251" t="s">
        <v>2528</v>
      </c>
      <c r="C82" s="251" t="s">
        <v>2529</v>
      </c>
      <c r="D82" s="251" t="s">
        <v>2492</v>
      </c>
      <c r="E82" s="251" t="s">
        <v>2239</v>
      </c>
      <c r="F82" s="251" t="s">
        <v>680</v>
      </c>
      <c r="G82" s="251" t="s">
        <v>681</v>
      </c>
      <c r="H82" s="251" t="s">
        <v>682</v>
      </c>
      <c r="I82" s="251" t="s">
        <v>926</v>
      </c>
      <c r="J82" s="251" t="s">
        <v>2530</v>
      </c>
    </row>
    <row r="83" spans="1:10">
      <c r="A83" s="385">
        <v>81</v>
      </c>
      <c r="B83" s="251" t="s">
        <v>2531</v>
      </c>
      <c r="C83" s="251" t="s">
        <v>2532</v>
      </c>
      <c r="D83" s="251" t="s">
        <v>2533</v>
      </c>
      <c r="E83" s="251" t="s">
        <v>2239</v>
      </c>
      <c r="F83" s="251" t="s">
        <v>680</v>
      </c>
      <c r="G83" s="251" t="s">
        <v>681</v>
      </c>
      <c r="H83" s="251" t="s">
        <v>682</v>
      </c>
      <c r="I83" s="251" t="s">
        <v>926</v>
      </c>
      <c r="J83" s="251" t="s">
        <v>2534</v>
      </c>
    </row>
    <row r="84" spans="1:10">
      <c r="A84" s="385">
        <v>82</v>
      </c>
      <c r="B84" s="251" t="s">
        <v>2535</v>
      </c>
      <c r="C84" s="251" t="s">
        <v>2536</v>
      </c>
      <c r="D84" s="251" t="s">
        <v>2537</v>
      </c>
      <c r="E84" s="251" t="s">
        <v>2239</v>
      </c>
      <c r="F84" s="251" t="s">
        <v>680</v>
      </c>
      <c r="G84" s="251" t="s">
        <v>681</v>
      </c>
      <c r="H84" s="251" t="s">
        <v>682</v>
      </c>
      <c r="I84" s="251" t="s">
        <v>926</v>
      </c>
      <c r="J84" s="251" t="s">
        <v>2538</v>
      </c>
    </row>
    <row r="85" spans="1:10">
      <c r="A85" s="385">
        <v>83</v>
      </c>
      <c r="B85" s="251" t="s">
        <v>2539</v>
      </c>
      <c r="C85" s="251" t="s">
        <v>2540</v>
      </c>
      <c r="D85" s="251" t="s">
        <v>2541</v>
      </c>
      <c r="E85" s="251" t="s">
        <v>2239</v>
      </c>
      <c r="F85" s="251" t="s">
        <v>680</v>
      </c>
      <c r="G85" s="251" t="s">
        <v>681</v>
      </c>
      <c r="H85" s="251" t="s">
        <v>682</v>
      </c>
      <c r="I85" s="251" t="s">
        <v>926</v>
      </c>
      <c r="J85" s="251" t="s">
        <v>2542</v>
      </c>
    </row>
    <row r="86" spans="1:10">
      <c r="A86" s="385">
        <v>84</v>
      </c>
      <c r="B86" s="251" t="s">
        <v>2543</v>
      </c>
      <c r="C86" s="251" t="s">
        <v>2544</v>
      </c>
      <c r="D86" s="251" t="s">
        <v>2472</v>
      </c>
      <c r="E86" s="251" t="s">
        <v>2239</v>
      </c>
      <c r="F86" s="251" t="s">
        <v>680</v>
      </c>
      <c r="G86" s="251" t="s">
        <v>681</v>
      </c>
      <c r="H86" s="251" t="s">
        <v>682</v>
      </c>
      <c r="I86" s="251" t="s">
        <v>926</v>
      </c>
      <c r="J86" s="251" t="s">
        <v>2545</v>
      </c>
    </row>
    <row r="87" spans="1:10">
      <c r="A87" s="385">
        <v>85</v>
      </c>
      <c r="B87" s="251" t="s">
        <v>2546</v>
      </c>
      <c r="C87" s="251" t="s">
        <v>2547</v>
      </c>
      <c r="D87" s="251" t="s">
        <v>2548</v>
      </c>
      <c r="E87" s="251" t="s">
        <v>2239</v>
      </c>
      <c r="F87" s="251" t="s">
        <v>680</v>
      </c>
      <c r="G87" s="251" t="s">
        <v>681</v>
      </c>
      <c r="H87" s="251" t="s">
        <v>682</v>
      </c>
      <c r="I87" s="251" t="s">
        <v>926</v>
      </c>
      <c r="J87" s="251" t="s">
        <v>2549</v>
      </c>
    </row>
    <row r="88" spans="1:10">
      <c r="A88" s="385">
        <v>86</v>
      </c>
      <c r="B88" s="251" t="s">
        <v>2550</v>
      </c>
      <c r="C88" s="251" t="s">
        <v>2551</v>
      </c>
      <c r="D88" s="251" t="s">
        <v>2552</v>
      </c>
      <c r="E88" s="251" t="s">
        <v>2239</v>
      </c>
      <c r="F88" s="251" t="s">
        <v>680</v>
      </c>
      <c r="G88" s="251" t="s">
        <v>681</v>
      </c>
      <c r="H88" s="251" t="s">
        <v>682</v>
      </c>
      <c r="I88" s="251" t="s">
        <v>926</v>
      </c>
      <c r="J88" s="251" t="s">
        <v>2553</v>
      </c>
    </row>
    <row r="89" spans="1:10">
      <c r="A89" s="385">
        <v>87</v>
      </c>
      <c r="B89" s="251" t="s">
        <v>2554</v>
      </c>
      <c r="C89" s="251" t="s">
        <v>2555</v>
      </c>
      <c r="D89" s="251" t="s">
        <v>2556</v>
      </c>
      <c r="E89" s="251" t="s">
        <v>2239</v>
      </c>
      <c r="F89" s="251" t="s">
        <v>680</v>
      </c>
      <c r="G89" s="251" t="s">
        <v>681</v>
      </c>
      <c r="H89" s="251" t="s">
        <v>682</v>
      </c>
      <c r="I89" s="251" t="s">
        <v>926</v>
      </c>
      <c r="J89" s="251" t="s">
        <v>2557</v>
      </c>
    </row>
    <row r="90" spans="1:10">
      <c r="A90" s="385">
        <v>88</v>
      </c>
      <c r="B90" s="251" t="s">
        <v>2558</v>
      </c>
      <c r="C90" s="251" t="s">
        <v>2559</v>
      </c>
      <c r="D90" s="251" t="s">
        <v>2560</v>
      </c>
      <c r="E90" s="251" t="s">
        <v>2239</v>
      </c>
      <c r="F90" s="251" t="s">
        <v>680</v>
      </c>
      <c r="G90" s="251" t="s">
        <v>681</v>
      </c>
      <c r="H90" s="251" t="s">
        <v>682</v>
      </c>
      <c r="I90" s="251" t="s">
        <v>926</v>
      </c>
      <c r="J90" s="251" t="s">
        <v>2561</v>
      </c>
    </row>
    <row r="91" spans="1:10">
      <c r="A91" s="385">
        <v>89</v>
      </c>
      <c r="B91" s="251" t="s">
        <v>2562</v>
      </c>
      <c r="C91" s="251" t="s">
        <v>2563</v>
      </c>
      <c r="D91" s="251" t="s">
        <v>2450</v>
      </c>
      <c r="E91" s="251" t="s">
        <v>2239</v>
      </c>
      <c r="F91" s="251" t="s">
        <v>680</v>
      </c>
      <c r="G91" s="251" t="s">
        <v>681</v>
      </c>
      <c r="H91" s="251" t="s">
        <v>682</v>
      </c>
      <c r="I91" s="251" t="s">
        <v>926</v>
      </c>
      <c r="J91" s="251" t="s">
        <v>2564</v>
      </c>
    </row>
    <row r="92" spans="1:10">
      <c r="A92" s="385">
        <v>90</v>
      </c>
      <c r="B92" s="251" t="s">
        <v>2565</v>
      </c>
      <c r="C92" s="251" t="s">
        <v>2566</v>
      </c>
      <c r="D92" s="251" t="s">
        <v>2514</v>
      </c>
      <c r="E92" s="251" t="s">
        <v>2239</v>
      </c>
      <c r="F92" s="251" t="s">
        <v>680</v>
      </c>
      <c r="G92" s="251" t="s">
        <v>681</v>
      </c>
      <c r="H92" s="251" t="s">
        <v>682</v>
      </c>
      <c r="I92" s="251" t="s">
        <v>926</v>
      </c>
      <c r="J92" s="251" t="s">
        <v>2567</v>
      </c>
    </row>
    <row r="93" spans="1:10">
      <c r="A93" s="385">
        <v>91</v>
      </c>
      <c r="B93" s="251" t="s">
        <v>2568</v>
      </c>
      <c r="C93" s="251" t="s">
        <v>2569</v>
      </c>
      <c r="D93" s="251" t="s">
        <v>2570</v>
      </c>
      <c r="E93" s="251" t="s">
        <v>2239</v>
      </c>
      <c r="F93" s="251" t="s">
        <v>680</v>
      </c>
      <c r="G93" s="251" t="s">
        <v>681</v>
      </c>
      <c r="H93" s="251" t="s">
        <v>682</v>
      </c>
      <c r="I93" s="251" t="s">
        <v>926</v>
      </c>
      <c r="J93" s="251" t="s">
        <v>2571</v>
      </c>
    </row>
    <row r="94" spans="1:10">
      <c r="A94" s="385">
        <v>92</v>
      </c>
      <c r="B94" s="251" t="s">
        <v>2572</v>
      </c>
      <c r="C94" s="251" t="s">
        <v>2573</v>
      </c>
      <c r="D94" s="251" t="s">
        <v>2438</v>
      </c>
      <c r="E94" s="251" t="s">
        <v>2239</v>
      </c>
      <c r="F94" s="251" t="s">
        <v>680</v>
      </c>
      <c r="G94" s="251" t="s">
        <v>681</v>
      </c>
      <c r="H94" s="251" t="s">
        <v>682</v>
      </c>
      <c r="I94" s="251" t="s">
        <v>926</v>
      </c>
      <c r="J94" s="251" t="s">
        <v>2574</v>
      </c>
    </row>
    <row r="95" spans="1:10">
      <c r="A95" s="385">
        <v>93</v>
      </c>
      <c r="B95" s="251" t="s">
        <v>2575</v>
      </c>
      <c r="C95" s="251" t="s">
        <v>2576</v>
      </c>
      <c r="D95" s="251" t="s">
        <v>2577</v>
      </c>
      <c r="E95" s="251" t="s">
        <v>2239</v>
      </c>
      <c r="F95" s="251" t="s">
        <v>680</v>
      </c>
      <c r="G95" s="251" t="s">
        <v>681</v>
      </c>
      <c r="H95" s="251" t="s">
        <v>682</v>
      </c>
      <c r="I95" s="251" t="s">
        <v>926</v>
      </c>
      <c r="J95" s="251" t="s">
        <v>2578</v>
      </c>
    </row>
    <row r="96" spans="1:10">
      <c r="A96" s="385">
        <v>94</v>
      </c>
      <c r="B96" s="251" t="s">
        <v>2579</v>
      </c>
      <c r="C96" s="251" t="s">
        <v>2580</v>
      </c>
      <c r="D96" s="251" t="s">
        <v>2581</v>
      </c>
      <c r="E96" s="251" t="s">
        <v>2239</v>
      </c>
      <c r="F96" s="251" t="s">
        <v>680</v>
      </c>
      <c r="G96" s="251" t="s">
        <v>681</v>
      </c>
      <c r="H96" s="251" t="s">
        <v>682</v>
      </c>
      <c r="I96" s="251" t="s">
        <v>926</v>
      </c>
      <c r="J96" s="251" t="s">
        <v>696</v>
      </c>
    </row>
    <row r="97" spans="1:10">
      <c r="A97" s="385">
        <v>95</v>
      </c>
      <c r="B97" s="251" t="s">
        <v>2582</v>
      </c>
      <c r="C97" s="251" t="s">
        <v>2583</v>
      </c>
      <c r="D97" s="251" t="s">
        <v>2277</v>
      </c>
      <c r="E97" s="251" t="s">
        <v>2239</v>
      </c>
      <c r="F97" s="251" t="s">
        <v>680</v>
      </c>
      <c r="G97" s="251" t="s">
        <v>681</v>
      </c>
      <c r="H97" s="251" t="s">
        <v>682</v>
      </c>
      <c r="I97" s="251" t="s">
        <v>926</v>
      </c>
      <c r="J97" s="251" t="s">
        <v>2584</v>
      </c>
    </row>
    <row r="98" spans="1:10">
      <c r="A98" s="385">
        <v>96</v>
      </c>
      <c r="B98" s="251" t="s">
        <v>2585</v>
      </c>
      <c r="C98" s="251" t="s">
        <v>2586</v>
      </c>
      <c r="D98" s="251" t="s">
        <v>2587</v>
      </c>
      <c r="E98" s="251" t="s">
        <v>2239</v>
      </c>
      <c r="F98" s="251" t="s">
        <v>680</v>
      </c>
      <c r="G98" s="251" t="s">
        <v>681</v>
      </c>
      <c r="H98" s="251" t="s">
        <v>682</v>
      </c>
      <c r="I98" s="251" t="s">
        <v>926</v>
      </c>
      <c r="J98" s="251" t="s">
        <v>2588</v>
      </c>
    </row>
    <row r="99" spans="1:10">
      <c r="A99" s="385">
        <v>97</v>
      </c>
      <c r="B99" s="251" t="s">
        <v>2589</v>
      </c>
      <c r="C99" s="251" t="s">
        <v>2590</v>
      </c>
      <c r="D99" s="251" t="s">
        <v>2591</v>
      </c>
      <c r="E99" s="251" t="s">
        <v>2239</v>
      </c>
      <c r="F99" s="251" t="s">
        <v>680</v>
      </c>
      <c r="G99" s="251" t="s">
        <v>681</v>
      </c>
      <c r="H99" s="251" t="s">
        <v>682</v>
      </c>
      <c r="I99" s="251" t="s">
        <v>926</v>
      </c>
      <c r="J99" s="251" t="s">
        <v>2592</v>
      </c>
    </row>
    <row r="100" spans="1:10">
      <c r="A100" s="385">
        <v>98</v>
      </c>
      <c r="B100" s="251" t="s">
        <v>2593</v>
      </c>
      <c r="C100" s="251" t="s">
        <v>2594</v>
      </c>
      <c r="D100" s="251" t="s">
        <v>2595</v>
      </c>
      <c r="E100" s="251" t="s">
        <v>2239</v>
      </c>
      <c r="F100" s="251" t="s">
        <v>680</v>
      </c>
      <c r="G100" s="251" t="s">
        <v>681</v>
      </c>
      <c r="H100" s="251" t="s">
        <v>682</v>
      </c>
      <c r="I100" s="251" t="s">
        <v>926</v>
      </c>
      <c r="J100" s="251" t="s">
        <v>2596</v>
      </c>
    </row>
    <row r="101" spans="1:10">
      <c r="A101" s="385">
        <v>99</v>
      </c>
      <c r="B101" s="251" t="s">
        <v>2597</v>
      </c>
      <c r="C101" s="251" t="s">
        <v>2598</v>
      </c>
      <c r="D101" s="251" t="s">
        <v>2599</v>
      </c>
      <c r="E101" s="251" t="s">
        <v>2239</v>
      </c>
      <c r="F101" s="251" t="s">
        <v>680</v>
      </c>
      <c r="G101" s="251" t="s">
        <v>681</v>
      </c>
      <c r="H101" s="251" t="s">
        <v>682</v>
      </c>
      <c r="I101" s="251" t="s">
        <v>926</v>
      </c>
      <c r="J101" s="251" t="s">
        <v>2600</v>
      </c>
    </row>
    <row r="102" spans="1:10">
      <c r="A102" s="385">
        <v>100</v>
      </c>
      <c r="B102" s="251" t="s">
        <v>2601</v>
      </c>
      <c r="C102" s="251" t="s">
        <v>2602</v>
      </c>
      <c r="D102" s="251" t="s">
        <v>2603</v>
      </c>
      <c r="E102" s="251" t="s">
        <v>2239</v>
      </c>
      <c r="F102" s="251" t="s">
        <v>680</v>
      </c>
      <c r="G102" s="251" t="s">
        <v>681</v>
      </c>
      <c r="H102" s="251" t="s">
        <v>682</v>
      </c>
      <c r="I102" s="251" t="s">
        <v>926</v>
      </c>
      <c r="J102" s="251" t="s">
        <v>2604</v>
      </c>
    </row>
    <row r="103" spans="1:10">
      <c r="A103" s="385">
        <v>101</v>
      </c>
      <c r="B103" s="251" t="s">
        <v>2605</v>
      </c>
      <c r="C103" s="251" t="s">
        <v>2606</v>
      </c>
      <c r="D103" s="251" t="s">
        <v>2537</v>
      </c>
      <c r="E103" s="251" t="s">
        <v>2239</v>
      </c>
      <c r="F103" s="251" t="s">
        <v>680</v>
      </c>
      <c r="G103" s="251" t="s">
        <v>681</v>
      </c>
      <c r="H103" s="251" t="s">
        <v>682</v>
      </c>
      <c r="I103" s="251" t="s">
        <v>926</v>
      </c>
      <c r="J103" s="251" t="s">
        <v>2607</v>
      </c>
    </row>
    <row r="104" spans="1:10">
      <c r="A104" s="385">
        <v>102</v>
      </c>
      <c r="B104" s="251" t="s">
        <v>2608</v>
      </c>
      <c r="C104" s="251" t="s">
        <v>2609</v>
      </c>
      <c r="D104" s="251" t="s">
        <v>2610</v>
      </c>
      <c r="E104" s="251" t="s">
        <v>2239</v>
      </c>
      <c r="F104" s="251" t="s">
        <v>680</v>
      </c>
      <c r="G104" s="251" t="s">
        <v>681</v>
      </c>
      <c r="H104" s="251" t="s">
        <v>682</v>
      </c>
      <c r="I104" s="251" t="s">
        <v>1055</v>
      </c>
      <c r="J104" s="251" t="s">
        <v>2611</v>
      </c>
    </row>
    <row r="105" spans="1:10">
      <c r="A105" s="385">
        <v>103</v>
      </c>
      <c r="B105" s="251" t="s">
        <v>2612</v>
      </c>
      <c r="C105" s="251" t="s">
        <v>2613</v>
      </c>
      <c r="D105" s="251" t="s">
        <v>2614</v>
      </c>
      <c r="E105" s="251" t="s">
        <v>2239</v>
      </c>
      <c r="F105" s="251" t="s">
        <v>680</v>
      </c>
      <c r="G105" s="251" t="s">
        <v>681</v>
      </c>
      <c r="H105" s="251" t="s">
        <v>682</v>
      </c>
      <c r="I105" s="251" t="s">
        <v>1055</v>
      </c>
      <c r="J105" s="251" t="s">
        <v>2615</v>
      </c>
    </row>
    <row r="106" spans="1:10">
      <c r="A106" s="385">
        <v>104</v>
      </c>
      <c r="B106" s="251" t="s">
        <v>2616</v>
      </c>
      <c r="C106" s="251" t="s">
        <v>2617</v>
      </c>
      <c r="D106" s="251" t="s">
        <v>2277</v>
      </c>
      <c r="E106" s="251" t="s">
        <v>2239</v>
      </c>
      <c r="F106" s="251" t="s">
        <v>680</v>
      </c>
      <c r="G106" s="251" t="s">
        <v>681</v>
      </c>
      <c r="H106" s="251" t="s">
        <v>682</v>
      </c>
      <c r="I106" s="251" t="s">
        <v>1055</v>
      </c>
      <c r="J106" s="251" t="s">
        <v>2618</v>
      </c>
    </row>
    <row r="107" spans="1:10">
      <c r="A107" s="385">
        <v>105</v>
      </c>
      <c r="B107" s="251" t="s">
        <v>2619</v>
      </c>
      <c r="C107" s="251" t="s">
        <v>2620</v>
      </c>
      <c r="D107" s="251" t="s">
        <v>2621</v>
      </c>
      <c r="E107" s="251" t="s">
        <v>2239</v>
      </c>
      <c r="F107" s="251" t="s">
        <v>680</v>
      </c>
      <c r="G107" s="251" t="s">
        <v>681</v>
      </c>
      <c r="H107" s="251" t="s">
        <v>682</v>
      </c>
      <c r="I107" s="251" t="s">
        <v>1055</v>
      </c>
      <c r="J107" s="251" t="s">
        <v>2622</v>
      </c>
    </row>
    <row r="108" spans="1:10">
      <c r="A108" s="385">
        <v>106</v>
      </c>
      <c r="B108" s="251" t="s">
        <v>2623</v>
      </c>
      <c r="C108" s="251" t="s">
        <v>2624</v>
      </c>
      <c r="D108" s="251" t="s">
        <v>2599</v>
      </c>
      <c r="E108" s="251" t="s">
        <v>2239</v>
      </c>
      <c r="F108" s="251" t="s">
        <v>680</v>
      </c>
      <c r="G108" s="251" t="s">
        <v>681</v>
      </c>
      <c r="H108" s="251" t="s">
        <v>682</v>
      </c>
      <c r="I108" s="251" t="s">
        <v>1055</v>
      </c>
      <c r="J108" s="251" t="s">
        <v>2625</v>
      </c>
    </row>
    <row r="109" spans="1:10">
      <c r="A109" s="385">
        <v>107</v>
      </c>
      <c r="B109" s="251" t="s">
        <v>2626</v>
      </c>
      <c r="C109" s="251" t="s">
        <v>2627</v>
      </c>
      <c r="D109" s="251" t="s">
        <v>2628</v>
      </c>
      <c r="E109" s="251" t="s">
        <v>2239</v>
      </c>
      <c r="F109" s="251" t="s">
        <v>680</v>
      </c>
      <c r="G109" s="251" t="s">
        <v>681</v>
      </c>
      <c r="H109" s="251" t="s">
        <v>682</v>
      </c>
      <c r="I109" s="251" t="s">
        <v>1055</v>
      </c>
      <c r="J109" s="251" t="s">
        <v>2629</v>
      </c>
    </row>
    <row r="110" spans="1:10">
      <c r="A110" s="385">
        <v>108</v>
      </c>
      <c r="B110" s="251" t="s">
        <v>2630</v>
      </c>
      <c r="C110" s="251" t="s">
        <v>2631</v>
      </c>
      <c r="D110" s="251" t="s">
        <v>2632</v>
      </c>
      <c r="E110" s="251" t="s">
        <v>2239</v>
      </c>
      <c r="F110" s="251" t="s">
        <v>680</v>
      </c>
      <c r="G110" s="251" t="s">
        <v>681</v>
      </c>
      <c r="H110" s="251" t="s">
        <v>682</v>
      </c>
      <c r="I110" s="251" t="s">
        <v>1055</v>
      </c>
      <c r="J110" s="251" t="s">
        <v>2633</v>
      </c>
    </row>
    <row r="111" spans="1:10">
      <c r="A111" s="385">
        <v>109</v>
      </c>
      <c r="B111" s="251" t="s">
        <v>2634</v>
      </c>
      <c r="C111" s="251" t="s">
        <v>2635</v>
      </c>
      <c r="D111" s="251" t="s">
        <v>2636</v>
      </c>
      <c r="E111" s="251" t="s">
        <v>2239</v>
      </c>
      <c r="F111" s="251" t="s">
        <v>680</v>
      </c>
      <c r="G111" s="251" t="s">
        <v>681</v>
      </c>
      <c r="H111" s="251" t="s">
        <v>682</v>
      </c>
      <c r="I111" s="251" t="s">
        <v>1055</v>
      </c>
      <c r="J111" s="251" t="s">
        <v>2637</v>
      </c>
    </row>
    <row r="112" spans="1:10">
      <c r="A112" s="385">
        <v>110</v>
      </c>
      <c r="B112" s="251" t="s">
        <v>2638</v>
      </c>
      <c r="C112" s="251" t="s">
        <v>2639</v>
      </c>
      <c r="D112" s="251" t="s">
        <v>2640</v>
      </c>
      <c r="E112" s="251" t="s">
        <v>2239</v>
      </c>
      <c r="F112" s="251" t="s">
        <v>680</v>
      </c>
      <c r="G112" s="251" t="s">
        <v>681</v>
      </c>
      <c r="H112" s="251" t="s">
        <v>682</v>
      </c>
      <c r="I112" s="251" t="s">
        <v>1055</v>
      </c>
      <c r="J112" s="251" t="s">
        <v>2641</v>
      </c>
    </row>
    <row r="113" spans="1:10">
      <c r="A113" s="385">
        <v>111</v>
      </c>
      <c r="B113" s="251" t="s">
        <v>2642</v>
      </c>
      <c r="C113" s="251" t="s">
        <v>2643</v>
      </c>
      <c r="D113" s="251" t="s">
        <v>2644</v>
      </c>
      <c r="E113" s="251" t="s">
        <v>2239</v>
      </c>
      <c r="F113" s="251" t="s">
        <v>680</v>
      </c>
      <c r="G113" s="251" t="s">
        <v>681</v>
      </c>
      <c r="H113" s="251" t="s">
        <v>682</v>
      </c>
      <c r="I113" s="251" t="s">
        <v>1055</v>
      </c>
      <c r="J113" s="251" t="s">
        <v>2645</v>
      </c>
    </row>
    <row r="114" spans="1:10">
      <c r="A114" s="385">
        <v>112</v>
      </c>
      <c r="B114" s="251" t="s">
        <v>2646</v>
      </c>
      <c r="C114" s="251" t="s">
        <v>2647</v>
      </c>
      <c r="D114" s="251" t="s">
        <v>2648</v>
      </c>
      <c r="E114" s="251" t="s">
        <v>2239</v>
      </c>
      <c r="F114" s="251" t="s">
        <v>680</v>
      </c>
      <c r="G114" s="251" t="s">
        <v>681</v>
      </c>
      <c r="H114" s="251" t="s">
        <v>682</v>
      </c>
      <c r="I114" s="251" t="s">
        <v>1055</v>
      </c>
      <c r="J114" s="251" t="s">
        <v>2649</v>
      </c>
    </row>
    <row r="115" spans="1:10">
      <c r="A115" s="385">
        <v>113</v>
      </c>
      <c r="B115" s="251" t="s">
        <v>2650</v>
      </c>
      <c r="C115" s="251" t="s">
        <v>2651</v>
      </c>
      <c r="D115" s="251" t="s">
        <v>2652</v>
      </c>
      <c r="E115" s="251" t="s">
        <v>2239</v>
      </c>
      <c r="F115" s="251" t="s">
        <v>680</v>
      </c>
      <c r="G115" s="251" t="s">
        <v>681</v>
      </c>
      <c r="H115" s="251" t="s">
        <v>682</v>
      </c>
      <c r="I115" s="251" t="s">
        <v>1055</v>
      </c>
      <c r="J115" s="251" t="s">
        <v>2653</v>
      </c>
    </row>
    <row r="116" spans="1:10">
      <c r="A116" s="385">
        <v>114</v>
      </c>
      <c r="B116" s="251" t="s">
        <v>2654</v>
      </c>
      <c r="C116" s="251" t="s">
        <v>2655</v>
      </c>
      <c r="D116" s="251" t="s">
        <v>2656</v>
      </c>
      <c r="E116" s="251" t="s">
        <v>2239</v>
      </c>
      <c r="F116" s="251" t="s">
        <v>680</v>
      </c>
      <c r="G116" s="251" t="s">
        <v>681</v>
      </c>
      <c r="H116" s="251" t="s">
        <v>682</v>
      </c>
      <c r="I116" s="251" t="s">
        <v>1109</v>
      </c>
      <c r="J116" s="251" t="s">
        <v>2657</v>
      </c>
    </row>
    <row r="117" spans="1:10">
      <c r="A117" s="385">
        <v>115</v>
      </c>
      <c r="B117" s="251" t="s">
        <v>2658</v>
      </c>
      <c r="C117" s="251" t="s">
        <v>2659</v>
      </c>
      <c r="D117" s="251" t="s">
        <v>2660</v>
      </c>
      <c r="E117" s="251" t="s">
        <v>2239</v>
      </c>
      <c r="F117" s="251" t="s">
        <v>680</v>
      </c>
      <c r="G117" s="251" t="s">
        <v>681</v>
      </c>
      <c r="H117" s="251" t="s">
        <v>682</v>
      </c>
      <c r="I117" s="251" t="s">
        <v>1109</v>
      </c>
      <c r="J117" s="251" t="s">
        <v>1118</v>
      </c>
    </row>
    <row r="118" spans="1:10">
      <c r="A118" s="385">
        <v>116</v>
      </c>
      <c r="B118" s="251" t="s">
        <v>2661</v>
      </c>
      <c r="C118" s="251" t="s">
        <v>2662</v>
      </c>
      <c r="D118" s="251" t="s">
        <v>2663</v>
      </c>
      <c r="E118" s="251" t="s">
        <v>2239</v>
      </c>
      <c r="F118" s="251" t="s">
        <v>680</v>
      </c>
      <c r="G118" s="251" t="s">
        <v>681</v>
      </c>
      <c r="H118" s="251" t="s">
        <v>682</v>
      </c>
      <c r="I118" s="251" t="s">
        <v>1109</v>
      </c>
      <c r="J118" s="251" t="s">
        <v>2664</v>
      </c>
    </row>
    <row r="119" spans="1:10">
      <c r="A119" s="385">
        <v>117</v>
      </c>
      <c r="B119" s="251" t="s">
        <v>2665</v>
      </c>
      <c r="C119" s="251" t="s">
        <v>2666</v>
      </c>
      <c r="D119" s="251" t="s">
        <v>2405</v>
      </c>
      <c r="E119" s="251" t="s">
        <v>2239</v>
      </c>
      <c r="F119" s="251" t="s">
        <v>680</v>
      </c>
      <c r="G119" s="251" t="s">
        <v>681</v>
      </c>
      <c r="H119" s="251" t="s">
        <v>682</v>
      </c>
      <c r="I119" s="251" t="s">
        <v>1109</v>
      </c>
      <c r="J119" s="251" t="s">
        <v>2667</v>
      </c>
    </row>
    <row r="120" spans="1:10">
      <c r="A120" s="385">
        <v>118</v>
      </c>
      <c r="B120" s="251" t="s">
        <v>2668</v>
      </c>
      <c r="C120" s="251" t="s">
        <v>2669</v>
      </c>
      <c r="D120" s="251" t="s">
        <v>2514</v>
      </c>
      <c r="E120" s="251" t="s">
        <v>2239</v>
      </c>
      <c r="F120" s="251" t="s">
        <v>680</v>
      </c>
      <c r="G120" s="251" t="s">
        <v>681</v>
      </c>
      <c r="H120" s="251" t="s">
        <v>682</v>
      </c>
      <c r="I120" s="251" t="s">
        <v>1109</v>
      </c>
      <c r="J120" s="251" t="s">
        <v>2670</v>
      </c>
    </row>
    <row r="121" spans="1:10">
      <c r="A121" s="385">
        <v>119</v>
      </c>
      <c r="B121" s="251" t="s">
        <v>2671</v>
      </c>
      <c r="C121" s="251" t="s">
        <v>2672</v>
      </c>
      <c r="D121" s="251" t="s">
        <v>2673</v>
      </c>
      <c r="E121" s="251" t="s">
        <v>2239</v>
      </c>
      <c r="F121" s="251" t="s">
        <v>680</v>
      </c>
      <c r="G121" s="251" t="s">
        <v>681</v>
      </c>
      <c r="H121" s="251" t="s">
        <v>682</v>
      </c>
      <c r="I121" s="251" t="s">
        <v>1109</v>
      </c>
      <c r="J121" s="251" t="s">
        <v>2674</v>
      </c>
    </row>
    <row r="122" spans="1:10">
      <c r="A122" s="385">
        <v>120</v>
      </c>
      <c r="B122" s="251" t="s">
        <v>2675</v>
      </c>
      <c r="C122" s="251" t="s">
        <v>2676</v>
      </c>
      <c r="D122" s="251" t="s">
        <v>2677</v>
      </c>
      <c r="E122" s="251" t="s">
        <v>2239</v>
      </c>
      <c r="F122" s="251" t="s">
        <v>680</v>
      </c>
      <c r="G122" s="251" t="s">
        <v>681</v>
      </c>
      <c r="H122" s="251" t="s">
        <v>682</v>
      </c>
      <c r="I122" s="251" t="s">
        <v>1109</v>
      </c>
      <c r="J122" s="251" t="s">
        <v>2678</v>
      </c>
    </row>
    <row r="123" spans="1:10">
      <c r="A123" s="385">
        <v>121</v>
      </c>
      <c r="B123" s="251" t="s">
        <v>2679</v>
      </c>
      <c r="C123" s="251" t="s">
        <v>2680</v>
      </c>
      <c r="D123" s="251" t="s">
        <v>2681</v>
      </c>
      <c r="E123" s="251" t="s">
        <v>2239</v>
      </c>
      <c r="F123" s="251" t="s">
        <v>680</v>
      </c>
      <c r="G123" s="251" t="s">
        <v>681</v>
      </c>
      <c r="H123" s="251" t="s">
        <v>682</v>
      </c>
      <c r="I123" s="251" t="s">
        <v>1109</v>
      </c>
      <c r="J123" s="251" t="s">
        <v>696</v>
      </c>
    </row>
    <row r="124" spans="1:10">
      <c r="A124" s="385">
        <v>122</v>
      </c>
      <c r="B124" s="251" t="s">
        <v>2682</v>
      </c>
      <c r="C124" s="251" t="s">
        <v>2683</v>
      </c>
      <c r="D124" s="251" t="s">
        <v>2684</v>
      </c>
      <c r="E124" s="251" t="s">
        <v>2239</v>
      </c>
      <c r="F124" s="251" t="s">
        <v>680</v>
      </c>
      <c r="G124" s="251" t="s">
        <v>681</v>
      </c>
      <c r="H124" s="251" t="s">
        <v>682</v>
      </c>
      <c r="I124" s="251" t="s">
        <v>1109</v>
      </c>
      <c r="J124" s="251" t="s">
        <v>2685</v>
      </c>
    </row>
    <row r="125" spans="1:10">
      <c r="A125" s="385">
        <v>123</v>
      </c>
      <c r="B125" s="251" t="s">
        <v>2686</v>
      </c>
      <c r="C125" s="251" t="s">
        <v>2687</v>
      </c>
      <c r="D125" s="251" t="s">
        <v>2492</v>
      </c>
      <c r="E125" s="251" t="s">
        <v>2239</v>
      </c>
      <c r="F125" s="251" t="s">
        <v>680</v>
      </c>
      <c r="G125" s="251" t="s">
        <v>681</v>
      </c>
      <c r="H125" s="251" t="s">
        <v>682</v>
      </c>
      <c r="I125" s="251" t="s">
        <v>1109</v>
      </c>
      <c r="J125" s="251" t="s">
        <v>2688</v>
      </c>
    </row>
    <row r="126" spans="1:10">
      <c r="A126" s="385">
        <v>124</v>
      </c>
      <c r="B126" s="251" t="s">
        <v>2689</v>
      </c>
      <c r="C126" s="251" t="s">
        <v>2690</v>
      </c>
      <c r="D126" s="251" t="s">
        <v>2691</v>
      </c>
      <c r="E126" s="251" t="s">
        <v>2239</v>
      </c>
      <c r="F126" s="251" t="s">
        <v>680</v>
      </c>
      <c r="G126" s="251" t="s">
        <v>681</v>
      </c>
      <c r="H126" s="251" t="s">
        <v>682</v>
      </c>
      <c r="I126" s="251" t="s">
        <v>1109</v>
      </c>
      <c r="J126" s="251" t="s">
        <v>2692</v>
      </c>
    </row>
    <row r="127" spans="1:10">
      <c r="A127" s="385">
        <v>125</v>
      </c>
      <c r="B127" s="251" t="s">
        <v>2693</v>
      </c>
      <c r="C127" s="251" t="s">
        <v>2694</v>
      </c>
      <c r="D127" s="251" t="s">
        <v>2695</v>
      </c>
      <c r="E127" s="251" t="s">
        <v>2239</v>
      </c>
      <c r="F127" s="251" t="s">
        <v>680</v>
      </c>
      <c r="G127" s="251" t="s">
        <v>681</v>
      </c>
      <c r="H127" s="251" t="s">
        <v>682</v>
      </c>
      <c r="I127" s="251" t="s">
        <v>1109</v>
      </c>
      <c r="J127" s="251" t="s">
        <v>2696</v>
      </c>
    </row>
    <row r="128" spans="1:10">
      <c r="A128" s="385">
        <v>126</v>
      </c>
      <c r="B128" s="251" t="s">
        <v>2697</v>
      </c>
      <c r="C128" s="251" t="s">
        <v>2698</v>
      </c>
      <c r="D128" s="251" t="s">
        <v>2699</v>
      </c>
      <c r="E128" s="251" t="s">
        <v>2239</v>
      </c>
      <c r="F128" s="251" t="s">
        <v>680</v>
      </c>
      <c r="G128" s="251" t="s">
        <v>681</v>
      </c>
      <c r="H128" s="251" t="s">
        <v>682</v>
      </c>
      <c r="I128" s="251" t="s">
        <v>1109</v>
      </c>
      <c r="J128" s="251" t="s">
        <v>2700</v>
      </c>
    </row>
    <row r="129" spans="1:10">
      <c r="A129" s="385">
        <v>127</v>
      </c>
      <c r="B129" s="251" t="s">
        <v>2701</v>
      </c>
      <c r="C129" s="251" t="s">
        <v>2702</v>
      </c>
      <c r="D129" s="251" t="s">
        <v>2703</v>
      </c>
      <c r="E129" s="251" t="s">
        <v>2239</v>
      </c>
      <c r="F129" s="251" t="s">
        <v>680</v>
      </c>
      <c r="G129" s="251" t="s">
        <v>681</v>
      </c>
      <c r="H129" s="251" t="s">
        <v>682</v>
      </c>
      <c r="I129" s="251" t="s">
        <v>1109</v>
      </c>
      <c r="J129" s="251" t="s">
        <v>2704</v>
      </c>
    </row>
    <row r="130" spans="1:10">
      <c r="A130" s="385">
        <v>128</v>
      </c>
      <c r="B130" s="251" t="s">
        <v>2705</v>
      </c>
      <c r="C130" s="251" t="s">
        <v>2706</v>
      </c>
      <c r="D130" s="251" t="s">
        <v>2707</v>
      </c>
      <c r="E130" s="251" t="s">
        <v>2239</v>
      </c>
      <c r="F130" s="251" t="s">
        <v>680</v>
      </c>
      <c r="G130" s="251" t="s">
        <v>681</v>
      </c>
      <c r="H130" s="251" t="s">
        <v>682</v>
      </c>
      <c r="I130" s="251" t="s">
        <v>1168</v>
      </c>
      <c r="J130" s="251" t="s">
        <v>2708</v>
      </c>
    </row>
    <row r="131" spans="1:10">
      <c r="A131" s="385">
        <v>129</v>
      </c>
      <c r="B131" s="251" t="s">
        <v>2709</v>
      </c>
      <c r="C131" s="251" t="s">
        <v>2710</v>
      </c>
      <c r="D131" s="251" t="s">
        <v>2711</v>
      </c>
      <c r="E131" s="251" t="s">
        <v>2239</v>
      </c>
      <c r="F131" s="251" t="s">
        <v>680</v>
      </c>
      <c r="G131" s="251" t="s">
        <v>681</v>
      </c>
      <c r="H131" s="251" t="s">
        <v>682</v>
      </c>
      <c r="I131" s="251" t="s">
        <v>1168</v>
      </c>
      <c r="J131" s="251" t="s">
        <v>2712</v>
      </c>
    </row>
    <row r="132" spans="1:10">
      <c r="A132" s="385">
        <v>130</v>
      </c>
      <c r="B132" s="251" t="s">
        <v>2713</v>
      </c>
      <c r="C132" s="251" t="s">
        <v>2714</v>
      </c>
      <c r="D132" s="251" t="s">
        <v>2311</v>
      </c>
      <c r="E132" s="251" t="s">
        <v>2239</v>
      </c>
      <c r="F132" s="251" t="s">
        <v>680</v>
      </c>
      <c r="G132" s="251" t="s">
        <v>681</v>
      </c>
      <c r="H132" s="251" t="s">
        <v>682</v>
      </c>
      <c r="I132" s="251" t="s">
        <v>1168</v>
      </c>
      <c r="J132" s="251" t="s">
        <v>2715</v>
      </c>
    </row>
    <row r="133" spans="1:10">
      <c r="A133" s="385">
        <v>131</v>
      </c>
      <c r="B133" s="251" t="s">
        <v>2716</v>
      </c>
      <c r="C133" s="251" t="s">
        <v>2717</v>
      </c>
      <c r="D133" s="251" t="s">
        <v>2718</v>
      </c>
      <c r="E133" s="251" t="s">
        <v>2239</v>
      </c>
      <c r="F133" s="251" t="s">
        <v>680</v>
      </c>
      <c r="G133" s="251" t="s">
        <v>681</v>
      </c>
      <c r="H133" s="251" t="s">
        <v>682</v>
      </c>
      <c r="I133" s="251" t="s">
        <v>1168</v>
      </c>
      <c r="J133" s="251" t="s">
        <v>2719</v>
      </c>
    </row>
    <row r="134" spans="1:10">
      <c r="A134" s="385">
        <v>132</v>
      </c>
      <c r="B134" s="251" t="s">
        <v>2720</v>
      </c>
      <c r="C134" s="251" t="s">
        <v>2721</v>
      </c>
      <c r="D134" s="251" t="s">
        <v>2722</v>
      </c>
      <c r="E134" s="251" t="s">
        <v>2239</v>
      </c>
      <c r="F134" s="251" t="s">
        <v>680</v>
      </c>
      <c r="G134" s="251" t="s">
        <v>681</v>
      </c>
      <c r="H134" s="251" t="s">
        <v>682</v>
      </c>
      <c r="I134" s="251" t="s">
        <v>1168</v>
      </c>
      <c r="J134" s="251" t="s">
        <v>2723</v>
      </c>
    </row>
    <row r="135" spans="1:10">
      <c r="A135" s="385">
        <v>133</v>
      </c>
      <c r="B135" s="251" t="s">
        <v>2724</v>
      </c>
      <c r="C135" s="251" t="s">
        <v>2725</v>
      </c>
      <c r="D135" s="251" t="s">
        <v>2726</v>
      </c>
      <c r="E135" s="251" t="s">
        <v>2239</v>
      </c>
      <c r="F135" s="251" t="s">
        <v>680</v>
      </c>
      <c r="G135" s="251" t="s">
        <v>681</v>
      </c>
      <c r="H135" s="251" t="s">
        <v>682</v>
      </c>
      <c r="I135" s="251" t="s">
        <v>1168</v>
      </c>
      <c r="J135" s="251" t="s">
        <v>2727</v>
      </c>
    </row>
    <row r="136" spans="1:10">
      <c r="A136" s="385">
        <v>134</v>
      </c>
      <c r="B136" s="251" t="s">
        <v>2728</v>
      </c>
      <c r="C136" s="251" t="s">
        <v>2729</v>
      </c>
      <c r="D136" s="251" t="s">
        <v>2465</v>
      </c>
      <c r="E136" s="251" t="s">
        <v>2239</v>
      </c>
      <c r="F136" s="251" t="s">
        <v>680</v>
      </c>
      <c r="G136" s="251" t="s">
        <v>681</v>
      </c>
      <c r="H136" s="251" t="s">
        <v>682</v>
      </c>
      <c r="I136" s="251" t="s">
        <v>1168</v>
      </c>
      <c r="J136" s="251" t="s">
        <v>1173</v>
      </c>
    </row>
    <row r="137" spans="1:10">
      <c r="A137" s="385">
        <v>135</v>
      </c>
      <c r="B137" s="251" t="s">
        <v>2730</v>
      </c>
      <c r="C137" s="251" t="s">
        <v>2731</v>
      </c>
      <c r="D137" s="251" t="s">
        <v>2472</v>
      </c>
      <c r="E137" s="251" t="s">
        <v>2239</v>
      </c>
      <c r="F137" s="251" t="s">
        <v>680</v>
      </c>
      <c r="G137" s="251" t="s">
        <v>681</v>
      </c>
      <c r="H137" s="251" t="s">
        <v>682</v>
      </c>
      <c r="I137" s="251" t="s">
        <v>1168</v>
      </c>
      <c r="J137" s="251" t="s">
        <v>2732</v>
      </c>
    </row>
    <row r="138" spans="1:10">
      <c r="A138" s="385">
        <v>136</v>
      </c>
      <c r="B138" s="251" t="s">
        <v>2733</v>
      </c>
      <c r="C138" s="251" t="s">
        <v>2734</v>
      </c>
      <c r="D138" s="251" t="s">
        <v>2735</v>
      </c>
      <c r="E138" s="251" t="s">
        <v>2239</v>
      </c>
      <c r="F138" s="251" t="s">
        <v>680</v>
      </c>
      <c r="G138" s="251" t="s">
        <v>681</v>
      </c>
      <c r="H138" s="251" t="s">
        <v>682</v>
      </c>
      <c r="I138" s="251" t="s">
        <v>1168</v>
      </c>
      <c r="J138" s="251" t="s">
        <v>2736</v>
      </c>
    </row>
    <row r="139" spans="1:10">
      <c r="A139" s="385">
        <v>137</v>
      </c>
      <c r="B139" s="251" t="s">
        <v>2737</v>
      </c>
      <c r="C139" s="251" t="s">
        <v>2738</v>
      </c>
      <c r="D139" s="251" t="s">
        <v>2358</v>
      </c>
      <c r="E139" s="251" t="s">
        <v>2239</v>
      </c>
      <c r="F139" s="251" t="s">
        <v>680</v>
      </c>
      <c r="G139" s="251" t="s">
        <v>681</v>
      </c>
      <c r="H139" s="251" t="s">
        <v>682</v>
      </c>
      <c r="I139" s="251" t="s">
        <v>1168</v>
      </c>
      <c r="J139" s="251" t="s">
        <v>1202</v>
      </c>
    </row>
    <row r="140" spans="1:10">
      <c r="A140" s="385">
        <v>138</v>
      </c>
      <c r="B140" s="251" t="s">
        <v>2739</v>
      </c>
      <c r="C140" s="251" t="s">
        <v>2740</v>
      </c>
      <c r="D140" s="251" t="s">
        <v>2741</v>
      </c>
      <c r="E140" s="251" t="s">
        <v>2239</v>
      </c>
      <c r="F140" s="251" t="s">
        <v>680</v>
      </c>
      <c r="G140" s="251" t="s">
        <v>681</v>
      </c>
      <c r="H140" s="251" t="s">
        <v>682</v>
      </c>
      <c r="I140" s="251" t="s">
        <v>1168</v>
      </c>
      <c r="J140" s="251" t="s">
        <v>2742</v>
      </c>
    </row>
    <row r="141" spans="1:10">
      <c r="A141" s="385">
        <v>139</v>
      </c>
      <c r="B141" s="251" t="s">
        <v>2743</v>
      </c>
      <c r="C141" s="251" t="s">
        <v>2744</v>
      </c>
      <c r="D141" s="251" t="s">
        <v>2438</v>
      </c>
      <c r="E141" s="251" t="s">
        <v>2239</v>
      </c>
      <c r="F141" s="251" t="s">
        <v>680</v>
      </c>
      <c r="G141" s="251" t="s">
        <v>681</v>
      </c>
      <c r="H141" s="251" t="s">
        <v>682</v>
      </c>
      <c r="I141" s="251" t="s">
        <v>1168</v>
      </c>
      <c r="J141" s="251" t="s">
        <v>2745</v>
      </c>
    </row>
    <row r="142" spans="1:10">
      <c r="A142" s="385">
        <v>140</v>
      </c>
      <c r="B142" s="251" t="s">
        <v>2746</v>
      </c>
      <c r="C142" s="251" t="s">
        <v>2747</v>
      </c>
      <c r="D142" s="251" t="s">
        <v>2500</v>
      </c>
      <c r="E142" s="251" t="s">
        <v>2239</v>
      </c>
      <c r="F142" s="251" t="s">
        <v>680</v>
      </c>
      <c r="G142" s="251" t="s">
        <v>681</v>
      </c>
      <c r="H142" s="251" t="s">
        <v>682</v>
      </c>
      <c r="I142" s="251" t="s">
        <v>1168</v>
      </c>
      <c r="J142" s="251" t="s">
        <v>2748</v>
      </c>
    </row>
    <row r="143" spans="1:10">
      <c r="A143" s="385">
        <v>141</v>
      </c>
      <c r="B143" s="251" t="s">
        <v>2749</v>
      </c>
      <c r="C143" s="251" t="s">
        <v>2750</v>
      </c>
      <c r="D143" s="251" t="s">
        <v>2599</v>
      </c>
      <c r="E143" s="251" t="s">
        <v>2239</v>
      </c>
      <c r="F143" s="251" t="s">
        <v>680</v>
      </c>
      <c r="G143" s="251" t="s">
        <v>681</v>
      </c>
      <c r="H143" s="251" t="s">
        <v>682</v>
      </c>
      <c r="I143" s="251" t="s">
        <v>1168</v>
      </c>
      <c r="J143" s="251" t="s">
        <v>2751</v>
      </c>
    </row>
    <row r="144" spans="1:10">
      <c r="A144" s="385">
        <v>142</v>
      </c>
      <c r="B144" s="251" t="s">
        <v>2752</v>
      </c>
      <c r="C144" s="251" t="s">
        <v>2753</v>
      </c>
      <c r="D144" s="251" t="s">
        <v>2754</v>
      </c>
      <c r="E144" s="251" t="s">
        <v>2239</v>
      </c>
      <c r="F144" s="251" t="s">
        <v>680</v>
      </c>
      <c r="G144" s="251" t="s">
        <v>681</v>
      </c>
      <c r="H144" s="251" t="s">
        <v>682</v>
      </c>
      <c r="I144" s="251" t="s">
        <v>1168</v>
      </c>
      <c r="J144" s="251" t="s">
        <v>2755</v>
      </c>
    </row>
    <row r="145" spans="1:10">
      <c r="A145" s="385">
        <v>143</v>
      </c>
      <c r="B145" s="251" t="s">
        <v>2756</v>
      </c>
      <c r="C145" s="251" t="s">
        <v>2757</v>
      </c>
      <c r="D145" s="251" t="s">
        <v>2758</v>
      </c>
      <c r="E145" s="251" t="s">
        <v>2239</v>
      </c>
      <c r="F145" s="251" t="s">
        <v>680</v>
      </c>
      <c r="G145" s="251" t="s">
        <v>681</v>
      </c>
      <c r="H145" s="251" t="s">
        <v>682</v>
      </c>
      <c r="I145" s="251" t="s">
        <v>1168</v>
      </c>
      <c r="J145" s="251" t="s">
        <v>2759</v>
      </c>
    </row>
    <row r="146" spans="1:10">
      <c r="A146" s="385">
        <v>144</v>
      </c>
      <c r="B146" s="251" t="s">
        <v>2760</v>
      </c>
      <c r="C146" s="251" t="s">
        <v>2761</v>
      </c>
      <c r="D146" s="251" t="s">
        <v>2762</v>
      </c>
      <c r="E146" s="251" t="s">
        <v>2239</v>
      </c>
      <c r="F146" s="251" t="s">
        <v>680</v>
      </c>
      <c r="G146" s="251" t="s">
        <v>681</v>
      </c>
      <c r="H146" s="251" t="s">
        <v>682</v>
      </c>
      <c r="I146" s="251" t="s">
        <v>1168</v>
      </c>
      <c r="J146" s="251" t="s">
        <v>2763</v>
      </c>
    </row>
    <row r="147" spans="1:10">
      <c r="A147" s="385">
        <v>145</v>
      </c>
      <c r="B147" s="251" t="s">
        <v>2764</v>
      </c>
      <c r="C147" s="251" t="s">
        <v>2765</v>
      </c>
      <c r="D147" s="251" t="s">
        <v>2766</v>
      </c>
      <c r="E147" s="251" t="s">
        <v>2239</v>
      </c>
      <c r="F147" s="251" t="s">
        <v>680</v>
      </c>
      <c r="G147" s="251" t="s">
        <v>681</v>
      </c>
      <c r="H147" s="251" t="s">
        <v>682</v>
      </c>
      <c r="I147" s="251" t="s">
        <v>1245</v>
      </c>
      <c r="J147" s="251" t="s">
        <v>2767</v>
      </c>
    </row>
    <row r="148" spans="1:10">
      <c r="A148" s="385">
        <v>146</v>
      </c>
      <c r="B148" s="251" t="s">
        <v>2768</v>
      </c>
      <c r="C148" s="251" t="s">
        <v>2769</v>
      </c>
      <c r="D148" s="251" t="s">
        <v>2648</v>
      </c>
      <c r="E148" s="251" t="s">
        <v>2239</v>
      </c>
      <c r="F148" s="251" t="s">
        <v>680</v>
      </c>
      <c r="G148" s="251" t="s">
        <v>681</v>
      </c>
      <c r="H148" s="251" t="s">
        <v>682</v>
      </c>
      <c r="I148" s="251" t="s">
        <v>1245</v>
      </c>
      <c r="J148" s="251" t="s">
        <v>2770</v>
      </c>
    </row>
    <row r="149" spans="1:10">
      <c r="A149" s="385">
        <v>147</v>
      </c>
      <c r="B149" s="251" t="s">
        <v>2771</v>
      </c>
      <c r="C149" s="251" t="s">
        <v>2772</v>
      </c>
      <c r="D149" s="251" t="s">
        <v>2773</v>
      </c>
      <c r="E149" s="251" t="s">
        <v>2239</v>
      </c>
      <c r="F149" s="251" t="s">
        <v>680</v>
      </c>
      <c r="G149" s="251" t="s">
        <v>681</v>
      </c>
      <c r="H149" s="251" t="s">
        <v>682</v>
      </c>
      <c r="I149" s="251" t="s">
        <v>1245</v>
      </c>
      <c r="J149" s="251" t="s">
        <v>2774</v>
      </c>
    </row>
    <row r="150" spans="1:10">
      <c r="A150" s="385">
        <v>148</v>
      </c>
      <c r="B150" s="251" t="s">
        <v>2775</v>
      </c>
      <c r="C150" s="251" t="s">
        <v>2776</v>
      </c>
      <c r="D150" s="251" t="s">
        <v>2777</v>
      </c>
      <c r="E150" s="251" t="s">
        <v>2239</v>
      </c>
      <c r="F150" s="251" t="s">
        <v>680</v>
      </c>
      <c r="G150" s="251" t="s">
        <v>681</v>
      </c>
      <c r="H150" s="251" t="s">
        <v>682</v>
      </c>
      <c r="I150" s="251" t="s">
        <v>1245</v>
      </c>
      <c r="J150" s="251" t="s">
        <v>2778</v>
      </c>
    </row>
    <row r="151" spans="1:10">
      <c r="A151" s="385">
        <v>149</v>
      </c>
      <c r="B151" s="251" t="s">
        <v>2779</v>
      </c>
      <c r="C151" s="251" t="s">
        <v>2780</v>
      </c>
      <c r="D151" s="251" t="s">
        <v>2781</v>
      </c>
      <c r="E151" s="251" t="s">
        <v>2239</v>
      </c>
      <c r="F151" s="251" t="s">
        <v>680</v>
      </c>
      <c r="G151" s="251" t="s">
        <v>681</v>
      </c>
      <c r="H151" s="251" t="s">
        <v>682</v>
      </c>
      <c r="I151" s="251" t="s">
        <v>1245</v>
      </c>
      <c r="J151" s="251" t="s">
        <v>1314</v>
      </c>
    </row>
    <row r="152" spans="1:10">
      <c r="A152" s="385">
        <v>150</v>
      </c>
      <c r="B152" s="251" t="s">
        <v>2782</v>
      </c>
      <c r="C152" s="251" t="s">
        <v>2783</v>
      </c>
      <c r="D152" s="251" t="s">
        <v>2784</v>
      </c>
      <c r="E152" s="251" t="s">
        <v>2239</v>
      </c>
      <c r="F152" s="251" t="s">
        <v>680</v>
      </c>
      <c r="G152" s="251" t="s">
        <v>681</v>
      </c>
      <c r="H152" s="251" t="s">
        <v>682</v>
      </c>
      <c r="I152" s="251" t="s">
        <v>1245</v>
      </c>
      <c r="J152" s="251" t="s">
        <v>2785</v>
      </c>
    </row>
    <row r="153" spans="1:10">
      <c r="A153" s="385">
        <v>151</v>
      </c>
      <c r="B153" s="251" t="s">
        <v>2786</v>
      </c>
      <c r="C153" s="251" t="s">
        <v>2787</v>
      </c>
      <c r="D153" s="251" t="s">
        <v>2788</v>
      </c>
      <c r="E153" s="251" t="s">
        <v>2239</v>
      </c>
      <c r="F153" s="251" t="s">
        <v>680</v>
      </c>
      <c r="G153" s="251" t="s">
        <v>681</v>
      </c>
      <c r="H153" s="251" t="s">
        <v>682</v>
      </c>
      <c r="I153" s="251" t="s">
        <v>1245</v>
      </c>
      <c r="J153" s="251" t="s">
        <v>2789</v>
      </c>
    </row>
    <row r="154" spans="1:10">
      <c r="A154" s="385">
        <v>152</v>
      </c>
      <c r="B154" s="251" t="s">
        <v>2790</v>
      </c>
      <c r="C154" s="251" t="s">
        <v>2791</v>
      </c>
      <c r="D154" s="251" t="s">
        <v>2288</v>
      </c>
      <c r="E154" s="251" t="s">
        <v>2239</v>
      </c>
      <c r="F154" s="251" t="s">
        <v>680</v>
      </c>
      <c r="G154" s="251" t="s">
        <v>681</v>
      </c>
      <c r="H154" s="251" t="s">
        <v>682</v>
      </c>
      <c r="I154" s="251" t="s">
        <v>1245</v>
      </c>
      <c r="J154" s="251" t="s">
        <v>2792</v>
      </c>
    </row>
    <row r="155" spans="1:10">
      <c r="A155" s="385">
        <v>153</v>
      </c>
      <c r="B155" s="251" t="s">
        <v>2793</v>
      </c>
      <c r="C155" s="251" t="s">
        <v>2794</v>
      </c>
      <c r="D155" s="251" t="s">
        <v>2446</v>
      </c>
      <c r="E155" s="251" t="s">
        <v>2239</v>
      </c>
      <c r="F155" s="251" t="s">
        <v>680</v>
      </c>
      <c r="G155" s="251" t="s">
        <v>681</v>
      </c>
      <c r="H155" s="251" t="s">
        <v>682</v>
      </c>
      <c r="I155" s="251" t="s">
        <v>1245</v>
      </c>
      <c r="J155" s="251" t="s">
        <v>696</v>
      </c>
    </row>
    <row r="156" spans="1:10">
      <c r="A156" s="385">
        <v>154</v>
      </c>
      <c r="B156" s="251" t="s">
        <v>2795</v>
      </c>
      <c r="C156" s="251" t="s">
        <v>2796</v>
      </c>
      <c r="D156" s="251" t="s">
        <v>2797</v>
      </c>
      <c r="E156" s="251" t="s">
        <v>2239</v>
      </c>
      <c r="F156" s="251" t="s">
        <v>680</v>
      </c>
      <c r="G156" s="251" t="s">
        <v>681</v>
      </c>
      <c r="H156" s="251" t="s">
        <v>682</v>
      </c>
      <c r="I156" s="251" t="s">
        <v>1245</v>
      </c>
      <c r="J156" s="251" t="s">
        <v>2798</v>
      </c>
    </row>
    <row r="157" spans="1:10">
      <c r="A157" s="385">
        <v>155</v>
      </c>
      <c r="B157" s="251" t="s">
        <v>2799</v>
      </c>
      <c r="C157" s="251" t="s">
        <v>2800</v>
      </c>
      <c r="D157" s="251" t="s">
        <v>2801</v>
      </c>
      <c r="E157" s="251" t="s">
        <v>2239</v>
      </c>
      <c r="F157" s="251" t="s">
        <v>680</v>
      </c>
      <c r="G157" s="251" t="s">
        <v>681</v>
      </c>
      <c r="H157" s="251" t="s">
        <v>682</v>
      </c>
      <c r="I157" s="251" t="s">
        <v>1245</v>
      </c>
      <c r="J157" s="251" t="s">
        <v>2802</v>
      </c>
    </row>
    <row r="158" spans="1:10">
      <c r="A158" s="385">
        <v>156</v>
      </c>
      <c r="B158" s="251" t="s">
        <v>2803</v>
      </c>
      <c r="C158" s="251" t="s">
        <v>2804</v>
      </c>
      <c r="D158" s="251" t="s">
        <v>2805</v>
      </c>
      <c r="E158" s="251" t="s">
        <v>2239</v>
      </c>
      <c r="F158" s="251" t="s">
        <v>680</v>
      </c>
      <c r="G158" s="251" t="s">
        <v>681</v>
      </c>
      <c r="H158" s="251" t="s">
        <v>682</v>
      </c>
      <c r="I158" s="251" t="s">
        <v>1245</v>
      </c>
      <c r="J158" s="251" t="s">
        <v>2806</v>
      </c>
    </row>
    <row r="159" spans="1:10">
      <c r="A159" s="385">
        <v>157</v>
      </c>
      <c r="B159" s="251" t="s">
        <v>2807</v>
      </c>
      <c r="C159" s="251" t="s">
        <v>2808</v>
      </c>
      <c r="D159" s="251" t="s">
        <v>2809</v>
      </c>
      <c r="E159" s="251" t="s">
        <v>2239</v>
      </c>
      <c r="F159" s="251" t="s">
        <v>680</v>
      </c>
      <c r="G159" s="251" t="s">
        <v>681</v>
      </c>
      <c r="H159" s="251" t="s">
        <v>682</v>
      </c>
      <c r="I159" s="251" t="s">
        <v>1245</v>
      </c>
      <c r="J159" s="251" t="s">
        <v>2810</v>
      </c>
    </row>
    <row r="160" spans="1:10">
      <c r="A160" s="385">
        <v>158</v>
      </c>
      <c r="B160" s="251" t="s">
        <v>2811</v>
      </c>
      <c r="C160" s="251" t="s">
        <v>2812</v>
      </c>
      <c r="D160" s="251" t="s">
        <v>2288</v>
      </c>
      <c r="E160" s="251" t="s">
        <v>2239</v>
      </c>
      <c r="F160" s="251" t="s">
        <v>680</v>
      </c>
      <c r="G160" s="251" t="s">
        <v>681</v>
      </c>
      <c r="H160" s="251" t="s">
        <v>682</v>
      </c>
      <c r="I160" s="251" t="s">
        <v>1245</v>
      </c>
      <c r="J160" s="251" t="s">
        <v>2813</v>
      </c>
    </row>
    <row r="161" spans="1:10">
      <c r="A161" s="385">
        <v>159</v>
      </c>
      <c r="B161" s="251" t="s">
        <v>2814</v>
      </c>
      <c r="C161" s="251" t="s">
        <v>2815</v>
      </c>
      <c r="D161" s="251" t="s">
        <v>2816</v>
      </c>
      <c r="E161" s="251" t="s">
        <v>2239</v>
      </c>
      <c r="F161" s="251" t="s">
        <v>680</v>
      </c>
      <c r="G161" s="251" t="s">
        <v>681</v>
      </c>
      <c r="H161" s="251" t="s">
        <v>682</v>
      </c>
      <c r="I161" s="251" t="s">
        <v>1245</v>
      </c>
      <c r="J161" s="251" t="s">
        <v>2817</v>
      </c>
    </row>
    <row r="162" spans="1:10">
      <c r="A162" s="385">
        <v>160</v>
      </c>
      <c r="B162" s="251" t="s">
        <v>2818</v>
      </c>
      <c r="C162" s="251" t="s">
        <v>2819</v>
      </c>
      <c r="D162" s="251" t="s">
        <v>2820</v>
      </c>
      <c r="E162" s="251" t="s">
        <v>2239</v>
      </c>
      <c r="F162" s="251" t="s">
        <v>680</v>
      </c>
      <c r="G162" s="251" t="s">
        <v>681</v>
      </c>
      <c r="H162" s="251" t="s">
        <v>682</v>
      </c>
      <c r="I162" s="251" t="s">
        <v>1245</v>
      </c>
      <c r="J162" s="251" t="s">
        <v>2821</v>
      </c>
    </row>
    <row r="163" spans="1:10">
      <c r="A163" s="385">
        <v>161</v>
      </c>
      <c r="B163" s="251" t="s">
        <v>2822</v>
      </c>
      <c r="C163" s="251" t="s">
        <v>2823</v>
      </c>
      <c r="D163" s="251" t="s">
        <v>2434</v>
      </c>
      <c r="E163" s="251" t="s">
        <v>2239</v>
      </c>
      <c r="F163" s="251" t="s">
        <v>680</v>
      </c>
      <c r="G163" s="251" t="s">
        <v>681</v>
      </c>
      <c r="H163" s="251" t="s">
        <v>682</v>
      </c>
      <c r="I163" s="251" t="s">
        <v>1245</v>
      </c>
      <c r="J163" s="251" t="s">
        <v>2824</v>
      </c>
    </row>
    <row r="164" spans="1:10">
      <c r="A164" s="385">
        <v>162</v>
      </c>
      <c r="B164" s="251" t="s">
        <v>2825</v>
      </c>
      <c r="C164" s="251" t="s">
        <v>2826</v>
      </c>
      <c r="D164" s="251" t="s">
        <v>2809</v>
      </c>
      <c r="E164" s="251" t="s">
        <v>2239</v>
      </c>
      <c r="F164" s="251" t="s">
        <v>680</v>
      </c>
      <c r="G164" s="251" t="s">
        <v>681</v>
      </c>
      <c r="H164" s="251" t="s">
        <v>682</v>
      </c>
      <c r="I164" s="251" t="s">
        <v>1245</v>
      </c>
      <c r="J164" s="251" t="s">
        <v>2827</v>
      </c>
    </row>
    <row r="165" spans="1:10">
      <c r="A165" s="385">
        <v>163</v>
      </c>
      <c r="B165" s="251" t="s">
        <v>2828</v>
      </c>
      <c r="C165" s="251" t="s">
        <v>2829</v>
      </c>
      <c r="D165" s="251" t="s">
        <v>2405</v>
      </c>
      <c r="E165" s="251" t="s">
        <v>2239</v>
      </c>
      <c r="F165" s="251" t="s">
        <v>680</v>
      </c>
      <c r="G165" s="251" t="s">
        <v>681</v>
      </c>
      <c r="H165" s="251" t="s">
        <v>682</v>
      </c>
      <c r="I165" s="251" t="s">
        <v>1245</v>
      </c>
      <c r="J165" s="251" t="s">
        <v>2830</v>
      </c>
    </row>
    <row r="166" spans="1:10">
      <c r="A166" s="385">
        <v>164</v>
      </c>
      <c r="B166" s="251" t="s">
        <v>2831</v>
      </c>
      <c r="C166" s="251" t="s">
        <v>2832</v>
      </c>
      <c r="D166" s="251" t="s">
        <v>2833</v>
      </c>
      <c r="E166" s="251" t="s">
        <v>2239</v>
      </c>
      <c r="F166" s="251" t="s">
        <v>680</v>
      </c>
      <c r="G166" s="251" t="s">
        <v>681</v>
      </c>
      <c r="H166" s="251" t="s">
        <v>682</v>
      </c>
      <c r="I166" s="251" t="s">
        <v>1245</v>
      </c>
      <c r="J166" s="251" t="s">
        <v>2834</v>
      </c>
    </row>
    <row r="167" spans="1:10">
      <c r="A167" s="385">
        <v>165</v>
      </c>
      <c r="B167" s="251" t="s">
        <v>2835</v>
      </c>
      <c r="C167" s="251" t="s">
        <v>2836</v>
      </c>
      <c r="D167" s="251" t="s">
        <v>2837</v>
      </c>
      <c r="E167" s="251" t="s">
        <v>2239</v>
      </c>
      <c r="F167" s="251" t="s">
        <v>680</v>
      </c>
      <c r="G167" s="251" t="s">
        <v>681</v>
      </c>
      <c r="H167" s="251" t="s">
        <v>682</v>
      </c>
      <c r="I167" s="251" t="s">
        <v>1245</v>
      </c>
      <c r="J167" s="251" t="s">
        <v>2838</v>
      </c>
    </row>
    <row r="168" spans="1:10">
      <c r="A168" s="385">
        <v>166</v>
      </c>
      <c r="B168" s="251" t="s">
        <v>2839</v>
      </c>
      <c r="C168" s="251" t="s">
        <v>2840</v>
      </c>
      <c r="D168" s="251" t="s">
        <v>2472</v>
      </c>
      <c r="E168" s="251" t="s">
        <v>2239</v>
      </c>
      <c r="F168" s="251" t="s">
        <v>680</v>
      </c>
      <c r="G168" s="251" t="s">
        <v>681</v>
      </c>
      <c r="H168" s="251" t="s">
        <v>682</v>
      </c>
      <c r="I168" s="251" t="s">
        <v>1245</v>
      </c>
      <c r="J168" s="251" t="s">
        <v>2841</v>
      </c>
    </row>
    <row r="169" spans="1:10">
      <c r="A169" s="385">
        <v>167</v>
      </c>
      <c r="B169" s="251" t="s">
        <v>2842</v>
      </c>
      <c r="C169" s="251" t="s">
        <v>2843</v>
      </c>
      <c r="D169" s="251" t="s">
        <v>2277</v>
      </c>
      <c r="E169" s="251" t="s">
        <v>2239</v>
      </c>
      <c r="F169" s="251" t="s">
        <v>680</v>
      </c>
      <c r="G169" s="251" t="s">
        <v>681</v>
      </c>
      <c r="H169" s="251" t="s">
        <v>682</v>
      </c>
      <c r="I169" s="251" t="s">
        <v>1245</v>
      </c>
      <c r="J169" s="251" t="s">
        <v>1281</v>
      </c>
    </row>
    <row r="170" spans="1:10">
      <c r="A170" s="385">
        <v>168</v>
      </c>
      <c r="B170" s="251" t="s">
        <v>2844</v>
      </c>
      <c r="C170" s="251" t="s">
        <v>2845</v>
      </c>
      <c r="D170" s="251" t="s">
        <v>2846</v>
      </c>
      <c r="E170" s="251" t="s">
        <v>2239</v>
      </c>
      <c r="F170" s="251" t="s">
        <v>680</v>
      </c>
      <c r="G170" s="251" t="s">
        <v>681</v>
      </c>
      <c r="H170" s="251" t="s">
        <v>682</v>
      </c>
      <c r="I170" s="251" t="s">
        <v>1245</v>
      </c>
      <c r="J170" s="251" t="s">
        <v>2847</v>
      </c>
    </row>
    <row r="171" spans="1:10">
      <c r="A171" s="385">
        <v>169</v>
      </c>
      <c r="B171" s="251" t="s">
        <v>2848</v>
      </c>
      <c r="C171" s="251" t="s">
        <v>2849</v>
      </c>
      <c r="D171" s="251" t="s">
        <v>2797</v>
      </c>
      <c r="E171" s="251" t="s">
        <v>2239</v>
      </c>
      <c r="F171" s="251" t="s">
        <v>680</v>
      </c>
      <c r="G171" s="251" t="s">
        <v>681</v>
      </c>
      <c r="H171" s="251" t="s">
        <v>682</v>
      </c>
      <c r="I171" s="251" t="s">
        <v>1245</v>
      </c>
      <c r="J171" s="251" t="s">
        <v>2850</v>
      </c>
    </row>
    <row r="172" spans="1:10">
      <c r="A172" s="385">
        <v>170</v>
      </c>
      <c r="B172" s="251" t="s">
        <v>2851</v>
      </c>
      <c r="C172" s="251" t="s">
        <v>2852</v>
      </c>
      <c r="D172" s="251" t="s">
        <v>2853</v>
      </c>
      <c r="E172" s="251" t="s">
        <v>2239</v>
      </c>
      <c r="F172" s="251" t="s">
        <v>680</v>
      </c>
      <c r="G172" s="251" t="s">
        <v>681</v>
      </c>
      <c r="H172" s="251" t="s">
        <v>682</v>
      </c>
      <c r="I172" s="251" t="s">
        <v>1245</v>
      </c>
      <c r="J172" s="251" t="s">
        <v>2854</v>
      </c>
    </row>
    <row r="173" spans="1:10">
      <c r="A173" s="385">
        <v>171</v>
      </c>
      <c r="B173" s="251" t="s">
        <v>2855</v>
      </c>
      <c r="C173" s="251" t="s">
        <v>2856</v>
      </c>
      <c r="D173" s="251" t="s">
        <v>2284</v>
      </c>
      <c r="E173" s="251" t="s">
        <v>2239</v>
      </c>
      <c r="F173" s="251" t="s">
        <v>680</v>
      </c>
      <c r="G173" s="251" t="s">
        <v>681</v>
      </c>
      <c r="H173" s="251" t="s">
        <v>682</v>
      </c>
      <c r="I173" s="251" t="s">
        <v>1346</v>
      </c>
      <c r="J173" s="251" t="s">
        <v>2857</v>
      </c>
    </row>
    <row r="174" spans="1:10">
      <c r="A174" s="385">
        <v>172</v>
      </c>
      <c r="B174" s="251" t="s">
        <v>2858</v>
      </c>
      <c r="C174" s="251" t="s">
        <v>2859</v>
      </c>
      <c r="D174" s="251" t="s">
        <v>2860</v>
      </c>
      <c r="E174" s="251" t="s">
        <v>2239</v>
      </c>
      <c r="F174" s="251" t="s">
        <v>680</v>
      </c>
      <c r="G174" s="251" t="s">
        <v>681</v>
      </c>
      <c r="H174" s="251" t="s">
        <v>682</v>
      </c>
      <c r="I174" s="251" t="s">
        <v>1346</v>
      </c>
      <c r="J174" s="251" t="s">
        <v>2861</v>
      </c>
    </row>
    <row r="175" spans="1:10">
      <c r="A175" s="385">
        <v>173</v>
      </c>
      <c r="B175" s="251" t="s">
        <v>2862</v>
      </c>
      <c r="C175" s="251" t="s">
        <v>2863</v>
      </c>
      <c r="D175" s="251" t="s">
        <v>2438</v>
      </c>
      <c r="E175" s="251" t="s">
        <v>2239</v>
      </c>
      <c r="F175" s="251" t="s">
        <v>680</v>
      </c>
      <c r="G175" s="251" t="s">
        <v>681</v>
      </c>
      <c r="H175" s="251" t="s">
        <v>682</v>
      </c>
      <c r="I175" s="251" t="s">
        <v>1346</v>
      </c>
      <c r="J175" s="251" t="s">
        <v>2864</v>
      </c>
    </row>
    <row r="176" spans="1:10">
      <c r="A176" s="385">
        <v>174</v>
      </c>
      <c r="B176" s="251" t="s">
        <v>2865</v>
      </c>
      <c r="C176" s="251" t="s">
        <v>2866</v>
      </c>
      <c r="D176" s="251" t="s">
        <v>2867</v>
      </c>
      <c r="E176" s="251" t="s">
        <v>2239</v>
      </c>
      <c r="F176" s="251" t="s">
        <v>680</v>
      </c>
      <c r="G176" s="251" t="s">
        <v>681</v>
      </c>
      <c r="H176" s="251" t="s">
        <v>682</v>
      </c>
      <c r="I176" s="251" t="s">
        <v>1346</v>
      </c>
      <c r="J176" s="251" t="s">
        <v>2868</v>
      </c>
    </row>
    <row r="177" spans="1:10">
      <c r="A177" s="385">
        <v>175</v>
      </c>
      <c r="B177" s="251" t="s">
        <v>2869</v>
      </c>
      <c r="C177" s="251" t="s">
        <v>2870</v>
      </c>
      <c r="D177" s="251" t="s">
        <v>2871</v>
      </c>
      <c r="E177" s="251" t="s">
        <v>2239</v>
      </c>
      <c r="F177" s="251" t="s">
        <v>680</v>
      </c>
      <c r="G177" s="251" t="s">
        <v>681</v>
      </c>
      <c r="H177" s="251" t="s">
        <v>682</v>
      </c>
      <c r="I177" s="251" t="s">
        <v>1346</v>
      </c>
      <c r="J177" s="251" t="s">
        <v>2872</v>
      </c>
    </row>
    <row r="178" spans="1:10">
      <c r="A178" s="385">
        <v>176</v>
      </c>
      <c r="B178" s="251" t="s">
        <v>2873</v>
      </c>
      <c r="C178" s="251" t="s">
        <v>2874</v>
      </c>
      <c r="D178" s="251" t="s">
        <v>2875</v>
      </c>
      <c r="E178" s="251" t="s">
        <v>2239</v>
      </c>
      <c r="F178" s="251" t="s">
        <v>680</v>
      </c>
      <c r="G178" s="251" t="s">
        <v>681</v>
      </c>
      <c r="H178" s="251" t="s">
        <v>682</v>
      </c>
      <c r="I178" s="251" t="s">
        <v>1346</v>
      </c>
      <c r="J178" s="251" t="s">
        <v>2876</v>
      </c>
    </row>
    <row r="179" spans="1:10">
      <c r="A179" s="385">
        <v>177</v>
      </c>
      <c r="B179" s="251" t="s">
        <v>2877</v>
      </c>
      <c r="C179" s="251" t="s">
        <v>2878</v>
      </c>
      <c r="D179" s="251" t="s">
        <v>2405</v>
      </c>
      <c r="E179" s="251" t="s">
        <v>2239</v>
      </c>
      <c r="F179" s="251" t="s">
        <v>680</v>
      </c>
      <c r="G179" s="251" t="s">
        <v>681</v>
      </c>
      <c r="H179" s="251" t="s">
        <v>682</v>
      </c>
      <c r="I179" s="251" t="s">
        <v>1346</v>
      </c>
      <c r="J179" s="251" t="s">
        <v>2879</v>
      </c>
    </row>
    <row r="180" spans="1:10">
      <c r="A180" s="385">
        <v>178</v>
      </c>
      <c r="B180" s="251" t="s">
        <v>2880</v>
      </c>
      <c r="C180" s="251" t="s">
        <v>2881</v>
      </c>
      <c r="D180" s="251" t="s">
        <v>2882</v>
      </c>
      <c r="E180" s="251" t="s">
        <v>2239</v>
      </c>
      <c r="F180" s="251" t="s">
        <v>680</v>
      </c>
      <c r="G180" s="251" t="s">
        <v>681</v>
      </c>
      <c r="H180" s="251" t="s">
        <v>682</v>
      </c>
      <c r="I180" s="251" t="s">
        <v>1346</v>
      </c>
      <c r="J180" s="251" t="s">
        <v>2883</v>
      </c>
    </row>
    <row r="181" spans="1:10">
      <c r="A181" s="385">
        <v>179</v>
      </c>
      <c r="B181" s="251" t="s">
        <v>2884</v>
      </c>
      <c r="C181" s="251" t="s">
        <v>2885</v>
      </c>
      <c r="D181" s="251" t="s">
        <v>2886</v>
      </c>
      <c r="E181" s="251" t="s">
        <v>2239</v>
      </c>
      <c r="F181" s="251" t="s">
        <v>680</v>
      </c>
      <c r="G181" s="251" t="s">
        <v>681</v>
      </c>
      <c r="H181" s="251" t="s">
        <v>682</v>
      </c>
      <c r="I181" s="251" t="s">
        <v>1346</v>
      </c>
      <c r="J181" s="251" t="s">
        <v>2887</v>
      </c>
    </row>
    <row r="182" spans="1:10">
      <c r="A182" s="385">
        <v>180</v>
      </c>
      <c r="B182" s="251" t="s">
        <v>2888</v>
      </c>
      <c r="C182" s="251" t="s">
        <v>2889</v>
      </c>
      <c r="D182" s="251" t="s">
        <v>2358</v>
      </c>
      <c r="E182" s="251" t="s">
        <v>2239</v>
      </c>
      <c r="F182" s="251" t="s">
        <v>680</v>
      </c>
      <c r="G182" s="251" t="s">
        <v>681</v>
      </c>
      <c r="H182" s="251" t="s">
        <v>682</v>
      </c>
      <c r="I182" s="251" t="s">
        <v>1346</v>
      </c>
      <c r="J182" s="251" t="s">
        <v>2890</v>
      </c>
    </row>
    <row r="183" spans="1:10">
      <c r="A183" s="385">
        <v>181</v>
      </c>
      <c r="B183" s="251" t="s">
        <v>2891</v>
      </c>
      <c r="C183" s="251" t="s">
        <v>2892</v>
      </c>
      <c r="D183" s="251" t="s">
        <v>2893</v>
      </c>
      <c r="E183" s="251" t="s">
        <v>2239</v>
      </c>
      <c r="F183" s="251" t="s">
        <v>680</v>
      </c>
      <c r="G183" s="251" t="s">
        <v>681</v>
      </c>
      <c r="H183" s="251" t="s">
        <v>682</v>
      </c>
      <c r="I183" s="251" t="s">
        <v>1346</v>
      </c>
      <c r="J183" s="251" t="s">
        <v>696</v>
      </c>
    </row>
    <row r="184" spans="1:10">
      <c r="A184" s="385">
        <v>182</v>
      </c>
      <c r="B184" s="251" t="s">
        <v>2894</v>
      </c>
      <c r="C184" s="251" t="s">
        <v>2895</v>
      </c>
      <c r="D184" s="251" t="s">
        <v>2408</v>
      </c>
      <c r="E184" s="251" t="s">
        <v>2239</v>
      </c>
      <c r="F184" s="251" t="s">
        <v>680</v>
      </c>
      <c r="G184" s="251" t="s">
        <v>681</v>
      </c>
      <c r="H184" s="251" t="s">
        <v>682</v>
      </c>
      <c r="I184" s="251" t="s">
        <v>1346</v>
      </c>
      <c r="J184" s="251" t="s">
        <v>2896</v>
      </c>
    </row>
    <row r="185" spans="1:10">
      <c r="A185" s="385">
        <v>183</v>
      </c>
      <c r="B185" s="251" t="s">
        <v>2897</v>
      </c>
      <c r="C185" s="251" t="s">
        <v>2898</v>
      </c>
      <c r="D185" s="251" t="s">
        <v>2288</v>
      </c>
      <c r="E185" s="251" t="s">
        <v>2239</v>
      </c>
      <c r="F185" s="251" t="s">
        <v>680</v>
      </c>
      <c r="G185" s="251" t="s">
        <v>681</v>
      </c>
      <c r="H185" s="251" t="s">
        <v>682</v>
      </c>
      <c r="I185" s="251" t="s">
        <v>1346</v>
      </c>
      <c r="J185" s="251" t="s">
        <v>2899</v>
      </c>
    </row>
    <row r="186" spans="1:10">
      <c r="A186" s="385">
        <v>184</v>
      </c>
      <c r="B186" s="251" t="s">
        <v>2900</v>
      </c>
      <c r="C186" s="251" t="s">
        <v>2901</v>
      </c>
      <c r="D186" s="251" t="s">
        <v>2520</v>
      </c>
      <c r="E186" s="251" t="s">
        <v>2239</v>
      </c>
      <c r="F186" s="251" t="s">
        <v>680</v>
      </c>
      <c r="G186" s="251" t="s">
        <v>681</v>
      </c>
      <c r="H186" s="251" t="s">
        <v>682</v>
      </c>
      <c r="I186" s="251" t="s">
        <v>1346</v>
      </c>
      <c r="J186" s="251" t="s">
        <v>2902</v>
      </c>
    </row>
    <row r="187" spans="1:10">
      <c r="A187" s="385">
        <v>185</v>
      </c>
      <c r="B187" s="251" t="s">
        <v>2903</v>
      </c>
      <c r="C187" s="251" t="s">
        <v>2904</v>
      </c>
      <c r="D187" s="251" t="s">
        <v>2905</v>
      </c>
      <c r="E187" s="251" t="s">
        <v>2239</v>
      </c>
      <c r="F187" s="251" t="s">
        <v>680</v>
      </c>
      <c r="G187" s="251" t="s">
        <v>681</v>
      </c>
      <c r="H187" s="251" t="s">
        <v>682</v>
      </c>
      <c r="I187" s="251" t="s">
        <v>1346</v>
      </c>
      <c r="J187" s="251" t="s">
        <v>2906</v>
      </c>
    </row>
    <row r="188" spans="1:10">
      <c r="A188" s="385">
        <v>186</v>
      </c>
      <c r="B188" s="251" t="s">
        <v>2907</v>
      </c>
      <c r="C188" s="251" t="s">
        <v>2908</v>
      </c>
      <c r="D188" s="251" t="s">
        <v>2621</v>
      </c>
      <c r="E188" s="251" t="s">
        <v>2239</v>
      </c>
      <c r="F188" s="251" t="s">
        <v>680</v>
      </c>
      <c r="G188" s="251" t="s">
        <v>681</v>
      </c>
      <c r="H188" s="251" t="s">
        <v>682</v>
      </c>
      <c r="I188" s="251" t="s">
        <v>1346</v>
      </c>
      <c r="J188" s="251" t="s">
        <v>2909</v>
      </c>
    </row>
    <row r="189" spans="1:10">
      <c r="A189" s="385">
        <v>187</v>
      </c>
      <c r="B189" s="251" t="s">
        <v>2910</v>
      </c>
      <c r="C189" s="251" t="s">
        <v>2911</v>
      </c>
      <c r="D189" s="251" t="s">
        <v>2912</v>
      </c>
      <c r="E189" s="251" t="s">
        <v>2239</v>
      </c>
      <c r="F189" s="251" t="s">
        <v>680</v>
      </c>
      <c r="G189" s="251" t="s">
        <v>681</v>
      </c>
      <c r="H189" s="251" t="s">
        <v>682</v>
      </c>
      <c r="I189" s="251" t="s">
        <v>1346</v>
      </c>
      <c r="J189" s="251" t="s">
        <v>2913</v>
      </c>
    </row>
    <row r="190" spans="1:10">
      <c r="A190" s="385">
        <v>188</v>
      </c>
      <c r="B190" s="251" t="s">
        <v>2914</v>
      </c>
      <c r="C190" s="251" t="s">
        <v>2915</v>
      </c>
      <c r="D190" s="251" t="s">
        <v>2281</v>
      </c>
      <c r="E190" s="251" t="s">
        <v>2239</v>
      </c>
      <c r="F190" s="251" t="s">
        <v>680</v>
      </c>
      <c r="G190" s="251" t="s">
        <v>681</v>
      </c>
      <c r="H190" s="251" t="s">
        <v>682</v>
      </c>
      <c r="I190" s="251" t="s">
        <v>1346</v>
      </c>
      <c r="J190" s="251" t="s">
        <v>2916</v>
      </c>
    </row>
    <row r="191" spans="1:10">
      <c r="A191" s="385">
        <v>189</v>
      </c>
      <c r="B191" s="251" t="s">
        <v>2917</v>
      </c>
      <c r="C191" s="251" t="s">
        <v>2918</v>
      </c>
      <c r="D191" s="251" t="s">
        <v>2919</v>
      </c>
      <c r="E191" s="251" t="s">
        <v>2239</v>
      </c>
      <c r="F191" s="251" t="s">
        <v>680</v>
      </c>
      <c r="G191" s="251" t="s">
        <v>681</v>
      </c>
      <c r="H191" s="251" t="s">
        <v>682</v>
      </c>
      <c r="I191" s="251" t="s">
        <v>1346</v>
      </c>
      <c r="J191" s="251" t="s">
        <v>2920</v>
      </c>
    </row>
    <row r="192" spans="1:10">
      <c r="A192" s="385">
        <v>190</v>
      </c>
      <c r="B192" s="251" t="s">
        <v>2921</v>
      </c>
      <c r="C192" s="251" t="s">
        <v>2922</v>
      </c>
      <c r="D192" s="251" t="s">
        <v>2923</v>
      </c>
      <c r="E192" s="251" t="s">
        <v>2239</v>
      </c>
      <c r="F192" s="251" t="s">
        <v>680</v>
      </c>
      <c r="G192" s="251" t="s">
        <v>681</v>
      </c>
      <c r="H192" s="251" t="s">
        <v>682</v>
      </c>
      <c r="I192" s="251" t="s">
        <v>1346</v>
      </c>
      <c r="J192" s="251" t="s">
        <v>2924</v>
      </c>
    </row>
    <row r="193" spans="1:10">
      <c r="A193" s="385">
        <v>191</v>
      </c>
      <c r="B193" s="251" t="s">
        <v>2925</v>
      </c>
      <c r="C193" s="251" t="s">
        <v>2926</v>
      </c>
      <c r="D193" s="251" t="s">
        <v>2277</v>
      </c>
      <c r="E193" s="251" t="s">
        <v>2239</v>
      </c>
      <c r="F193" s="251" t="s">
        <v>680</v>
      </c>
      <c r="G193" s="251" t="s">
        <v>681</v>
      </c>
      <c r="H193" s="251" t="s">
        <v>682</v>
      </c>
      <c r="I193" s="251" t="s">
        <v>1346</v>
      </c>
      <c r="J193" s="251" t="s">
        <v>2927</v>
      </c>
    </row>
    <row r="194" spans="1:10">
      <c r="A194" s="385">
        <v>192</v>
      </c>
      <c r="B194" s="251" t="s">
        <v>2928</v>
      </c>
      <c r="C194" s="251" t="s">
        <v>2929</v>
      </c>
      <c r="D194" s="251" t="s">
        <v>2342</v>
      </c>
      <c r="E194" s="251" t="s">
        <v>2239</v>
      </c>
      <c r="F194" s="251" t="s">
        <v>680</v>
      </c>
      <c r="G194" s="251" t="s">
        <v>681</v>
      </c>
      <c r="H194" s="251" t="s">
        <v>682</v>
      </c>
      <c r="I194" s="251" t="s">
        <v>1346</v>
      </c>
      <c r="J194" s="251" t="s">
        <v>2930</v>
      </c>
    </row>
    <row r="195" spans="1:10">
      <c r="A195" s="385">
        <v>193</v>
      </c>
      <c r="B195" s="251" t="s">
        <v>2931</v>
      </c>
      <c r="C195" s="251" t="s">
        <v>2932</v>
      </c>
      <c r="D195" s="251" t="s">
        <v>2933</v>
      </c>
      <c r="E195" s="251" t="s">
        <v>2239</v>
      </c>
      <c r="F195" s="251" t="s">
        <v>680</v>
      </c>
      <c r="G195" s="251" t="s">
        <v>681</v>
      </c>
      <c r="H195" s="251" t="s">
        <v>682</v>
      </c>
      <c r="I195" s="251" t="s">
        <v>1346</v>
      </c>
      <c r="J195" s="251" t="s">
        <v>2934</v>
      </c>
    </row>
    <row r="196" spans="1:10">
      <c r="A196" s="385">
        <v>194</v>
      </c>
      <c r="B196" s="251" t="s">
        <v>2935</v>
      </c>
      <c r="C196" s="251" t="s">
        <v>2936</v>
      </c>
      <c r="D196" s="251" t="s">
        <v>2937</v>
      </c>
      <c r="E196" s="251" t="s">
        <v>2239</v>
      </c>
      <c r="F196" s="251" t="s">
        <v>680</v>
      </c>
      <c r="G196" s="251" t="s">
        <v>681</v>
      </c>
      <c r="H196" s="251" t="s">
        <v>682</v>
      </c>
      <c r="I196" s="251" t="s">
        <v>1346</v>
      </c>
      <c r="J196" s="251" t="s">
        <v>1351</v>
      </c>
    </row>
    <row r="197" spans="1:10">
      <c r="A197" s="385">
        <v>195</v>
      </c>
      <c r="B197" s="251" t="s">
        <v>2938</v>
      </c>
      <c r="C197" s="251" t="s">
        <v>2939</v>
      </c>
      <c r="D197" s="251" t="s">
        <v>2940</v>
      </c>
      <c r="E197" s="251" t="s">
        <v>2239</v>
      </c>
      <c r="F197" s="251" t="s">
        <v>680</v>
      </c>
      <c r="G197" s="251" t="s">
        <v>681</v>
      </c>
      <c r="H197" s="251" t="s">
        <v>682</v>
      </c>
      <c r="I197" s="251" t="s">
        <v>1346</v>
      </c>
      <c r="J197" s="251" t="s">
        <v>2941</v>
      </c>
    </row>
    <row r="198" spans="1:10">
      <c r="A198" s="385">
        <v>196</v>
      </c>
      <c r="B198" s="251" t="s">
        <v>2942</v>
      </c>
      <c r="C198" s="251" t="s">
        <v>2943</v>
      </c>
      <c r="D198" s="251" t="s">
        <v>2944</v>
      </c>
      <c r="E198" s="251" t="s">
        <v>2239</v>
      </c>
      <c r="F198" s="251" t="s">
        <v>680</v>
      </c>
      <c r="G198" s="251" t="s">
        <v>681</v>
      </c>
      <c r="H198" s="251" t="s">
        <v>682</v>
      </c>
      <c r="I198" s="251" t="s">
        <v>1346</v>
      </c>
      <c r="J198" s="251" t="s">
        <v>696</v>
      </c>
    </row>
    <row r="199" spans="1:10">
      <c r="A199" s="385">
        <v>197</v>
      </c>
      <c r="B199" s="251" t="s">
        <v>2945</v>
      </c>
      <c r="C199" s="251" t="s">
        <v>2946</v>
      </c>
      <c r="D199" s="251" t="s">
        <v>2947</v>
      </c>
      <c r="E199" s="251" t="s">
        <v>2239</v>
      </c>
      <c r="F199" s="251" t="s">
        <v>680</v>
      </c>
      <c r="G199" s="251" t="s">
        <v>681</v>
      </c>
      <c r="H199" s="251" t="s">
        <v>682</v>
      </c>
      <c r="I199" s="251" t="s">
        <v>1346</v>
      </c>
      <c r="J199" s="251" t="s">
        <v>2948</v>
      </c>
    </row>
    <row r="200" spans="1:10">
      <c r="A200" s="385">
        <v>198</v>
      </c>
      <c r="B200" s="251" t="s">
        <v>2949</v>
      </c>
      <c r="C200" s="251" t="s">
        <v>2950</v>
      </c>
      <c r="D200" s="251" t="s">
        <v>2632</v>
      </c>
      <c r="E200" s="251" t="s">
        <v>2239</v>
      </c>
      <c r="F200" s="251" t="s">
        <v>680</v>
      </c>
      <c r="G200" s="251" t="s">
        <v>681</v>
      </c>
      <c r="H200" s="251" t="s">
        <v>682</v>
      </c>
      <c r="I200" s="251" t="s">
        <v>1346</v>
      </c>
      <c r="J200" s="251" t="s">
        <v>2951</v>
      </c>
    </row>
    <row r="201" spans="1:10">
      <c r="A201" s="385">
        <v>199</v>
      </c>
      <c r="B201" s="251" t="s">
        <v>2952</v>
      </c>
      <c r="C201" s="251" t="s">
        <v>2953</v>
      </c>
      <c r="D201" s="251" t="s">
        <v>2954</v>
      </c>
      <c r="E201" s="251" t="s">
        <v>2239</v>
      </c>
      <c r="F201" s="251" t="s">
        <v>680</v>
      </c>
      <c r="G201" s="251" t="s">
        <v>681</v>
      </c>
      <c r="H201" s="251" t="s">
        <v>682</v>
      </c>
      <c r="I201" s="251" t="s">
        <v>1346</v>
      </c>
      <c r="J201" s="251" t="s">
        <v>1438</v>
      </c>
    </row>
    <row r="202" spans="1:10">
      <c r="A202" s="385">
        <v>200</v>
      </c>
      <c r="B202" s="251" t="s">
        <v>2955</v>
      </c>
      <c r="C202" s="251" t="s">
        <v>2956</v>
      </c>
      <c r="D202" s="251" t="s">
        <v>2957</v>
      </c>
      <c r="E202" s="251" t="s">
        <v>2239</v>
      </c>
      <c r="F202" s="251" t="s">
        <v>680</v>
      </c>
      <c r="G202" s="251" t="s">
        <v>681</v>
      </c>
      <c r="H202" s="251" t="s">
        <v>682</v>
      </c>
      <c r="I202" s="251" t="s">
        <v>1346</v>
      </c>
      <c r="J202" s="251" t="s">
        <v>2958</v>
      </c>
    </row>
    <row r="203" spans="1:10">
      <c r="A203" s="385">
        <v>201</v>
      </c>
      <c r="B203" s="251" t="s">
        <v>2959</v>
      </c>
      <c r="C203" s="251" t="s">
        <v>2960</v>
      </c>
      <c r="D203" s="251" t="s">
        <v>2961</v>
      </c>
      <c r="E203" s="251" t="s">
        <v>2239</v>
      </c>
      <c r="F203" s="251" t="s">
        <v>680</v>
      </c>
      <c r="G203" s="251" t="s">
        <v>681</v>
      </c>
      <c r="H203" s="251" t="s">
        <v>682</v>
      </c>
      <c r="I203" s="251" t="s">
        <v>1346</v>
      </c>
      <c r="J203" s="251" t="s">
        <v>2962</v>
      </c>
    </row>
    <row r="204" spans="1:10">
      <c r="A204" s="385">
        <v>202</v>
      </c>
      <c r="B204" s="251" t="s">
        <v>2963</v>
      </c>
      <c r="C204" s="251" t="s">
        <v>2964</v>
      </c>
      <c r="D204" s="251" t="s">
        <v>2965</v>
      </c>
      <c r="E204" s="251" t="s">
        <v>2239</v>
      </c>
      <c r="F204" s="251" t="s">
        <v>680</v>
      </c>
      <c r="G204" s="251" t="s">
        <v>681</v>
      </c>
      <c r="H204" s="251" t="s">
        <v>682</v>
      </c>
      <c r="I204" s="251" t="s">
        <v>1346</v>
      </c>
      <c r="J204" s="251" t="s">
        <v>2067</v>
      </c>
    </row>
    <row r="205" spans="1:10">
      <c r="A205" s="385">
        <v>203</v>
      </c>
      <c r="B205" s="251" t="s">
        <v>2966</v>
      </c>
      <c r="C205" s="251" t="s">
        <v>2967</v>
      </c>
      <c r="D205" s="251" t="s">
        <v>2968</v>
      </c>
      <c r="E205" s="251" t="s">
        <v>2239</v>
      </c>
      <c r="F205" s="251" t="s">
        <v>680</v>
      </c>
      <c r="G205" s="251" t="s">
        <v>681</v>
      </c>
      <c r="H205" s="251" t="s">
        <v>682</v>
      </c>
      <c r="I205" s="251" t="s">
        <v>1346</v>
      </c>
      <c r="J205" s="251" t="s">
        <v>2969</v>
      </c>
    </row>
    <row r="206" spans="1:10">
      <c r="A206" s="385">
        <v>204</v>
      </c>
      <c r="B206" s="251" t="s">
        <v>2970</v>
      </c>
      <c r="C206" s="251" t="s">
        <v>2971</v>
      </c>
      <c r="D206" s="251" t="s">
        <v>2972</v>
      </c>
      <c r="E206" s="251" t="s">
        <v>2239</v>
      </c>
      <c r="F206" s="251" t="s">
        <v>680</v>
      </c>
      <c r="G206" s="251" t="s">
        <v>681</v>
      </c>
      <c r="H206" s="251" t="s">
        <v>682</v>
      </c>
      <c r="I206" s="251" t="s">
        <v>1346</v>
      </c>
      <c r="J206" s="251" t="s">
        <v>1460</v>
      </c>
    </row>
    <row r="207" spans="1:10">
      <c r="A207" s="385">
        <v>205</v>
      </c>
      <c r="B207" s="251" t="s">
        <v>2973</v>
      </c>
      <c r="C207" s="251" t="s">
        <v>2974</v>
      </c>
      <c r="D207" s="251" t="s">
        <v>2520</v>
      </c>
      <c r="E207" s="251" t="s">
        <v>2239</v>
      </c>
      <c r="F207" s="251" t="s">
        <v>680</v>
      </c>
      <c r="G207" s="251" t="s">
        <v>681</v>
      </c>
      <c r="H207" s="251" t="s">
        <v>682</v>
      </c>
      <c r="I207" s="251" t="s">
        <v>1346</v>
      </c>
      <c r="J207" s="251" t="s">
        <v>2975</v>
      </c>
    </row>
    <row r="208" spans="1:10">
      <c r="A208" s="385">
        <v>206</v>
      </c>
      <c r="B208" s="251" t="s">
        <v>2976</v>
      </c>
      <c r="C208" s="251" t="s">
        <v>2977</v>
      </c>
      <c r="D208" s="251" t="s">
        <v>2277</v>
      </c>
      <c r="E208" s="251" t="s">
        <v>2239</v>
      </c>
      <c r="F208" s="251" t="s">
        <v>680</v>
      </c>
      <c r="G208" s="251" t="s">
        <v>681</v>
      </c>
      <c r="H208" s="251" t="s">
        <v>682</v>
      </c>
      <c r="I208" s="251" t="s">
        <v>1471</v>
      </c>
      <c r="J208" s="251" t="s">
        <v>2978</v>
      </c>
    </row>
    <row r="209" spans="1:10">
      <c r="A209" s="385">
        <v>207</v>
      </c>
      <c r="B209" s="251" t="s">
        <v>2979</v>
      </c>
      <c r="C209" s="251" t="s">
        <v>2980</v>
      </c>
      <c r="D209" s="251" t="s">
        <v>2446</v>
      </c>
      <c r="E209" s="251" t="s">
        <v>2239</v>
      </c>
      <c r="F209" s="251" t="s">
        <v>680</v>
      </c>
      <c r="G209" s="251" t="s">
        <v>681</v>
      </c>
      <c r="H209" s="251" t="s">
        <v>682</v>
      </c>
      <c r="I209" s="251" t="s">
        <v>1471</v>
      </c>
      <c r="J209" s="251" t="s">
        <v>2981</v>
      </c>
    </row>
    <row r="210" spans="1:10">
      <c r="A210" s="385">
        <v>208</v>
      </c>
      <c r="B210" s="251" t="s">
        <v>2982</v>
      </c>
      <c r="C210" s="251" t="s">
        <v>2983</v>
      </c>
      <c r="D210" s="251" t="s">
        <v>2984</v>
      </c>
      <c r="E210" s="251" t="s">
        <v>2239</v>
      </c>
      <c r="F210" s="251" t="s">
        <v>680</v>
      </c>
      <c r="G210" s="251" t="s">
        <v>681</v>
      </c>
      <c r="H210" s="251" t="s">
        <v>682</v>
      </c>
      <c r="I210" s="251" t="s">
        <v>1471</v>
      </c>
      <c r="J210" s="251" t="s">
        <v>1480</v>
      </c>
    </row>
    <row r="211" spans="1:10">
      <c r="A211" s="385">
        <v>209</v>
      </c>
      <c r="B211" s="251" t="s">
        <v>2985</v>
      </c>
      <c r="C211" s="251" t="s">
        <v>2986</v>
      </c>
      <c r="D211" s="251" t="s">
        <v>2987</v>
      </c>
      <c r="E211" s="251" t="s">
        <v>2239</v>
      </c>
      <c r="F211" s="251" t="s">
        <v>680</v>
      </c>
      <c r="G211" s="251" t="s">
        <v>681</v>
      </c>
      <c r="H211" s="251" t="s">
        <v>682</v>
      </c>
      <c r="I211" s="251" t="s">
        <v>1471</v>
      </c>
      <c r="J211" s="251" t="s">
        <v>2988</v>
      </c>
    </row>
    <row r="212" spans="1:10">
      <c r="A212" s="385">
        <v>210</v>
      </c>
      <c r="B212" s="251" t="s">
        <v>2989</v>
      </c>
      <c r="C212" s="251" t="s">
        <v>2990</v>
      </c>
      <c r="D212" s="251" t="s">
        <v>2991</v>
      </c>
      <c r="E212" s="251" t="s">
        <v>2239</v>
      </c>
      <c r="F212" s="251" t="s">
        <v>680</v>
      </c>
      <c r="G212" s="251" t="s">
        <v>681</v>
      </c>
      <c r="H212" s="251" t="s">
        <v>682</v>
      </c>
      <c r="I212" s="251" t="s">
        <v>1471</v>
      </c>
      <c r="J212" s="251" t="s">
        <v>2992</v>
      </c>
    </row>
    <row r="213" spans="1:10">
      <c r="A213" s="385">
        <v>211</v>
      </c>
      <c r="B213" s="251" t="s">
        <v>2993</v>
      </c>
      <c r="C213" s="251" t="s">
        <v>2994</v>
      </c>
      <c r="D213" s="251" t="s">
        <v>2995</v>
      </c>
      <c r="E213" s="251" t="s">
        <v>2239</v>
      </c>
      <c r="F213" s="251" t="s">
        <v>680</v>
      </c>
      <c r="G213" s="251" t="s">
        <v>681</v>
      </c>
      <c r="H213" s="251" t="s">
        <v>682</v>
      </c>
      <c r="I213" s="251" t="s">
        <v>1471</v>
      </c>
      <c r="J213" s="251" t="s">
        <v>2996</v>
      </c>
    </row>
    <row r="214" spans="1:10">
      <c r="A214" s="385">
        <v>212</v>
      </c>
      <c r="B214" s="251" t="s">
        <v>2997</v>
      </c>
      <c r="C214" s="251" t="s">
        <v>2998</v>
      </c>
      <c r="D214" s="251" t="s">
        <v>2999</v>
      </c>
      <c r="E214" s="251" t="s">
        <v>2239</v>
      </c>
      <c r="F214" s="251" t="s">
        <v>680</v>
      </c>
      <c r="G214" s="251" t="s">
        <v>681</v>
      </c>
      <c r="H214" s="251" t="s">
        <v>682</v>
      </c>
      <c r="I214" s="251" t="s">
        <v>1471</v>
      </c>
      <c r="J214" s="251" t="s">
        <v>3000</v>
      </c>
    </row>
    <row r="215" spans="1:10">
      <c r="A215" s="385">
        <v>213</v>
      </c>
      <c r="B215" s="251" t="s">
        <v>3001</v>
      </c>
      <c r="C215" s="251" t="s">
        <v>3002</v>
      </c>
      <c r="D215" s="251" t="s">
        <v>3003</v>
      </c>
      <c r="E215" s="251" t="s">
        <v>2239</v>
      </c>
      <c r="F215" s="251" t="s">
        <v>680</v>
      </c>
      <c r="G215" s="251" t="s">
        <v>681</v>
      </c>
      <c r="H215" s="251" t="s">
        <v>682</v>
      </c>
      <c r="I215" s="251" t="s">
        <v>1471</v>
      </c>
      <c r="J215" s="251" t="s">
        <v>3004</v>
      </c>
    </row>
    <row r="216" spans="1:10">
      <c r="A216" s="385">
        <v>214</v>
      </c>
      <c r="B216" s="251" t="s">
        <v>3005</v>
      </c>
      <c r="C216" s="251" t="s">
        <v>3006</v>
      </c>
      <c r="D216" s="251" t="s">
        <v>3007</v>
      </c>
      <c r="E216" s="251" t="s">
        <v>2239</v>
      </c>
      <c r="F216" s="251" t="s">
        <v>680</v>
      </c>
      <c r="G216" s="251" t="s">
        <v>681</v>
      </c>
      <c r="H216" s="251" t="s">
        <v>682</v>
      </c>
      <c r="I216" s="251" t="s">
        <v>1471</v>
      </c>
      <c r="J216" s="251" t="s">
        <v>3008</v>
      </c>
    </row>
    <row r="217" spans="1:10">
      <c r="A217" s="385">
        <v>215</v>
      </c>
      <c r="B217" s="251" t="s">
        <v>3009</v>
      </c>
      <c r="C217" s="251" t="s">
        <v>3010</v>
      </c>
      <c r="D217" s="251" t="s">
        <v>3011</v>
      </c>
      <c r="E217" s="251" t="s">
        <v>2239</v>
      </c>
      <c r="F217" s="251" t="s">
        <v>680</v>
      </c>
      <c r="G217" s="251" t="s">
        <v>681</v>
      </c>
      <c r="H217" s="251" t="s">
        <v>682</v>
      </c>
      <c r="I217" s="251" t="s">
        <v>1493</v>
      </c>
      <c r="J217" s="251" t="s">
        <v>3012</v>
      </c>
    </row>
    <row r="218" spans="1:10">
      <c r="A218" s="385">
        <v>216</v>
      </c>
      <c r="B218" s="251" t="s">
        <v>3013</v>
      </c>
      <c r="C218" s="251" t="s">
        <v>3014</v>
      </c>
      <c r="D218" s="251" t="s">
        <v>2472</v>
      </c>
      <c r="E218" s="251" t="s">
        <v>2239</v>
      </c>
      <c r="F218" s="251" t="s">
        <v>680</v>
      </c>
      <c r="G218" s="251" t="s">
        <v>681</v>
      </c>
      <c r="H218" s="251" t="s">
        <v>682</v>
      </c>
      <c r="I218" s="251" t="s">
        <v>1493</v>
      </c>
      <c r="J218" s="251" t="s">
        <v>3015</v>
      </c>
    </row>
    <row r="219" spans="1:10">
      <c r="A219" s="385">
        <v>217</v>
      </c>
      <c r="B219" s="251" t="s">
        <v>3016</v>
      </c>
      <c r="C219" s="251" t="s">
        <v>3017</v>
      </c>
      <c r="D219" s="251" t="s">
        <v>3018</v>
      </c>
      <c r="E219" s="251" t="s">
        <v>2239</v>
      </c>
      <c r="F219" s="251" t="s">
        <v>680</v>
      </c>
      <c r="G219" s="251" t="s">
        <v>681</v>
      </c>
      <c r="H219" s="251" t="s">
        <v>682</v>
      </c>
      <c r="I219" s="251" t="s">
        <v>1493</v>
      </c>
      <c r="J219" s="251" t="s">
        <v>3019</v>
      </c>
    </row>
    <row r="220" spans="1:10">
      <c r="A220" s="385">
        <v>218</v>
      </c>
      <c r="B220" s="251" t="s">
        <v>3020</v>
      </c>
      <c r="C220" s="251" t="s">
        <v>3021</v>
      </c>
      <c r="D220" s="251" t="s">
        <v>2288</v>
      </c>
      <c r="E220" s="251" t="s">
        <v>2239</v>
      </c>
      <c r="F220" s="251" t="s">
        <v>680</v>
      </c>
      <c r="G220" s="251" t="s">
        <v>681</v>
      </c>
      <c r="H220" s="251" t="s">
        <v>682</v>
      </c>
      <c r="I220" s="251" t="s">
        <v>1493</v>
      </c>
      <c r="J220" s="251" t="s">
        <v>3022</v>
      </c>
    </row>
    <row r="221" spans="1:10">
      <c r="A221" s="385">
        <v>219</v>
      </c>
      <c r="B221" s="251" t="s">
        <v>3023</v>
      </c>
      <c r="C221" s="251" t="s">
        <v>3024</v>
      </c>
      <c r="D221" s="251" t="s">
        <v>2614</v>
      </c>
      <c r="E221" s="251" t="s">
        <v>2239</v>
      </c>
      <c r="F221" s="251" t="s">
        <v>680</v>
      </c>
      <c r="G221" s="251" t="s">
        <v>681</v>
      </c>
      <c r="H221" s="251" t="s">
        <v>682</v>
      </c>
      <c r="I221" s="251" t="s">
        <v>1493</v>
      </c>
      <c r="J221" s="251" t="s">
        <v>3025</v>
      </c>
    </row>
    <row r="222" spans="1:10">
      <c r="A222" s="385">
        <v>220</v>
      </c>
      <c r="B222" s="251" t="s">
        <v>3026</v>
      </c>
      <c r="C222" s="251" t="s">
        <v>3027</v>
      </c>
      <c r="D222" s="251" t="s">
        <v>3028</v>
      </c>
      <c r="E222" s="251" t="s">
        <v>2239</v>
      </c>
      <c r="F222" s="251" t="s">
        <v>680</v>
      </c>
      <c r="G222" s="251" t="s">
        <v>681</v>
      </c>
      <c r="H222" s="251" t="s">
        <v>682</v>
      </c>
      <c r="I222" s="251" t="s">
        <v>1493</v>
      </c>
      <c r="J222" s="251" t="s">
        <v>3029</v>
      </c>
    </row>
    <row r="223" spans="1:10">
      <c r="A223" s="385">
        <v>221</v>
      </c>
      <c r="B223" s="251" t="s">
        <v>3030</v>
      </c>
      <c r="C223" s="251" t="s">
        <v>3031</v>
      </c>
      <c r="D223" s="251" t="s">
        <v>2277</v>
      </c>
      <c r="E223" s="251" t="s">
        <v>2239</v>
      </c>
      <c r="F223" s="251" t="s">
        <v>680</v>
      </c>
      <c r="G223" s="251" t="s">
        <v>681</v>
      </c>
      <c r="H223" s="251" t="s">
        <v>682</v>
      </c>
      <c r="I223" s="251" t="s">
        <v>1493</v>
      </c>
      <c r="J223" s="251" t="s">
        <v>3032</v>
      </c>
    </row>
    <row r="224" spans="1:10">
      <c r="A224" s="385">
        <v>222</v>
      </c>
      <c r="B224" s="251" t="s">
        <v>3033</v>
      </c>
      <c r="C224" s="251" t="s">
        <v>3034</v>
      </c>
      <c r="D224" s="251" t="s">
        <v>2599</v>
      </c>
      <c r="E224" s="251" t="s">
        <v>2239</v>
      </c>
      <c r="F224" s="251" t="s">
        <v>680</v>
      </c>
      <c r="G224" s="251" t="s">
        <v>681</v>
      </c>
      <c r="H224" s="251" t="s">
        <v>682</v>
      </c>
      <c r="I224" s="251" t="s">
        <v>1493</v>
      </c>
      <c r="J224" s="251" t="s">
        <v>3035</v>
      </c>
    </row>
    <row r="225" spans="1:10">
      <c r="A225" s="385">
        <v>223</v>
      </c>
      <c r="B225" s="251" t="s">
        <v>3036</v>
      </c>
      <c r="C225" s="251" t="s">
        <v>3037</v>
      </c>
      <c r="D225" s="251" t="s">
        <v>2300</v>
      </c>
      <c r="E225" s="251" t="s">
        <v>2239</v>
      </c>
      <c r="F225" s="251" t="s">
        <v>680</v>
      </c>
      <c r="G225" s="251" t="s">
        <v>681</v>
      </c>
      <c r="H225" s="251" t="s">
        <v>682</v>
      </c>
      <c r="I225" s="251" t="s">
        <v>1493</v>
      </c>
      <c r="J225" s="251" t="s">
        <v>3038</v>
      </c>
    </row>
    <row r="226" spans="1:10">
      <c r="A226" s="385">
        <v>224</v>
      </c>
      <c r="B226" s="251" t="s">
        <v>3039</v>
      </c>
      <c r="C226" s="251" t="s">
        <v>3040</v>
      </c>
      <c r="D226" s="251" t="s">
        <v>2663</v>
      </c>
      <c r="E226" s="251" t="s">
        <v>2239</v>
      </c>
      <c r="F226" s="251" t="s">
        <v>680</v>
      </c>
      <c r="G226" s="251" t="s">
        <v>681</v>
      </c>
      <c r="H226" s="251" t="s">
        <v>682</v>
      </c>
      <c r="I226" s="251" t="s">
        <v>1493</v>
      </c>
      <c r="J226" s="251" t="s">
        <v>3041</v>
      </c>
    </row>
    <row r="227" spans="1:10">
      <c r="A227" s="385">
        <v>225</v>
      </c>
      <c r="B227" s="251" t="s">
        <v>3042</v>
      </c>
      <c r="C227" s="251" t="s">
        <v>3043</v>
      </c>
      <c r="D227" s="251" t="s">
        <v>3044</v>
      </c>
      <c r="E227" s="251" t="s">
        <v>2239</v>
      </c>
      <c r="F227" s="251" t="s">
        <v>680</v>
      </c>
      <c r="G227" s="251" t="s">
        <v>681</v>
      </c>
      <c r="H227" s="251" t="s">
        <v>682</v>
      </c>
      <c r="I227" s="251" t="s">
        <v>1493</v>
      </c>
      <c r="J227" s="251" t="s">
        <v>3045</v>
      </c>
    </row>
    <row r="228" spans="1:10">
      <c r="A228" s="385">
        <v>226</v>
      </c>
      <c r="B228" s="251" t="s">
        <v>3046</v>
      </c>
      <c r="C228" s="251" t="s">
        <v>3047</v>
      </c>
      <c r="D228" s="251" t="s">
        <v>3048</v>
      </c>
      <c r="E228" s="251" t="s">
        <v>2239</v>
      </c>
      <c r="F228" s="251" t="s">
        <v>680</v>
      </c>
      <c r="G228" s="251" t="s">
        <v>681</v>
      </c>
      <c r="H228" s="251" t="s">
        <v>682</v>
      </c>
      <c r="I228" s="251" t="s">
        <v>1493</v>
      </c>
      <c r="J228" s="251" t="s">
        <v>1553</v>
      </c>
    </row>
    <row r="229" spans="1:10">
      <c r="A229" s="385">
        <v>227</v>
      </c>
      <c r="B229" s="251" t="s">
        <v>3049</v>
      </c>
      <c r="C229" s="251" t="s">
        <v>3050</v>
      </c>
      <c r="D229" s="251" t="s">
        <v>3051</v>
      </c>
      <c r="E229" s="251" t="s">
        <v>2239</v>
      </c>
      <c r="F229" s="251" t="s">
        <v>680</v>
      </c>
      <c r="G229" s="251" t="s">
        <v>681</v>
      </c>
      <c r="H229" s="251" t="s">
        <v>682</v>
      </c>
      <c r="I229" s="251" t="s">
        <v>1493</v>
      </c>
      <c r="J229" s="251" t="s">
        <v>3052</v>
      </c>
    </row>
    <row r="230" spans="1:10">
      <c r="A230" s="385">
        <v>228</v>
      </c>
      <c r="B230" s="251" t="s">
        <v>3053</v>
      </c>
      <c r="C230" s="251" t="s">
        <v>3054</v>
      </c>
      <c r="D230" s="251" t="s">
        <v>2405</v>
      </c>
      <c r="E230" s="251" t="s">
        <v>2239</v>
      </c>
      <c r="F230" s="251" t="s">
        <v>680</v>
      </c>
      <c r="G230" s="251" t="s">
        <v>681</v>
      </c>
      <c r="H230" s="251" t="s">
        <v>682</v>
      </c>
      <c r="I230" s="251" t="s">
        <v>1493</v>
      </c>
      <c r="J230" s="251" t="s">
        <v>3055</v>
      </c>
    </row>
    <row r="231" spans="1:10">
      <c r="A231" s="385">
        <v>229</v>
      </c>
      <c r="B231" s="251" t="s">
        <v>3056</v>
      </c>
      <c r="C231" s="251" t="s">
        <v>3057</v>
      </c>
      <c r="D231" s="251" t="s">
        <v>2284</v>
      </c>
      <c r="E231" s="251" t="s">
        <v>2239</v>
      </c>
      <c r="F231" s="251" t="s">
        <v>680</v>
      </c>
      <c r="G231" s="251" t="s">
        <v>681</v>
      </c>
      <c r="H231" s="251" t="s">
        <v>682</v>
      </c>
      <c r="I231" s="251" t="s">
        <v>1493</v>
      </c>
      <c r="J231" s="251" t="s">
        <v>3058</v>
      </c>
    </row>
    <row r="232" spans="1:10">
      <c r="A232" s="385">
        <v>230</v>
      </c>
      <c r="B232" s="251" t="s">
        <v>3059</v>
      </c>
      <c r="C232" s="251" t="s">
        <v>3060</v>
      </c>
      <c r="D232" s="251" t="s">
        <v>3061</v>
      </c>
      <c r="E232" s="251" t="s">
        <v>2239</v>
      </c>
      <c r="F232" s="251" t="s">
        <v>680</v>
      </c>
      <c r="G232" s="251" t="s">
        <v>681</v>
      </c>
      <c r="H232" s="251" t="s">
        <v>682</v>
      </c>
      <c r="I232" s="251" t="s">
        <v>1493</v>
      </c>
      <c r="J232" s="251" t="s">
        <v>3062</v>
      </c>
    </row>
    <row r="233" spans="1:10">
      <c r="A233" s="385">
        <v>231</v>
      </c>
      <c r="B233" s="251" t="s">
        <v>3063</v>
      </c>
      <c r="C233" s="251" t="s">
        <v>3064</v>
      </c>
      <c r="D233" s="251" t="s">
        <v>3065</v>
      </c>
      <c r="E233" s="251" t="s">
        <v>2239</v>
      </c>
      <c r="F233" s="251" t="s">
        <v>680</v>
      </c>
      <c r="G233" s="251" t="s">
        <v>681</v>
      </c>
      <c r="H233" s="251" t="s">
        <v>682</v>
      </c>
      <c r="I233" s="251" t="s">
        <v>1493</v>
      </c>
      <c r="J233" s="251" t="s">
        <v>3066</v>
      </c>
    </row>
    <row r="234" spans="1:10">
      <c r="A234" s="385">
        <v>232</v>
      </c>
      <c r="B234" s="251" t="s">
        <v>3067</v>
      </c>
      <c r="C234" s="251" t="s">
        <v>3068</v>
      </c>
      <c r="D234" s="251" t="s">
        <v>3069</v>
      </c>
      <c r="E234" s="251" t="s">
        <v>2239</v>
      </c>
      <c r="F234" s="251" t="s">
        <v>680</v>
      </c>
      <c r="G234" s="251" t="s">
        <v>681</v>
      </c>
      <c r="H234" s="251" t="s">
        <v>682</v>
      </c>
      <c r="I234" s="251" t="s">
        <v>1561</v>
      </c>
      <c r="J234" s="251" t="s">
        <v>1578</v>
      </c>
    </row>
    <row r="235" spans="1:10">
      <c r="A235" s="385">
        <v>233</v>
      </c>
      <c r="B235" s="251" t="s">
        <v>3070</v>
      </c>
      <c r="C235" s="251" t="s">
        <v>3071</v>
      </c>
      <c r="D235" s="251" t="s">
        <v>3072</v>
      </c>
      <c r="E235" s="251" t="s">
        <v>2239</v>
      </c>
      <c r="F235" s="251" t="s">
        <v>680</v>
      </c>
      <c r="G235" s="251" t="s">
        <v>681</v>
      </c>
      <c r="H235" s="251" t="s">
        <v>682</v>
      </c>
      <c r="I235" s="251" t="s">
        <v>1561</v>
      </c>
      <c r="J235" s="251" t="s">
        <v>3073</v>
      </c>
    </row>
    <row r="236" spans="1:10">
      <c r="A236" s="385">
        <v>234</v>
      </c>
      <c r="B236" s="251" t="s">
        <v>3074</v>
      </c>
      <c r="C236" s="251" t="s">
        <v>3075</v>
      </c>
      <c r="D236" s="251" t="s">
        <v>3076</v>
      </c>
      <c r="E236" s="251" t="s">
        <v>2239</v>
      </c>
      <c r="F236" s="251" t="s">
        <v>680</v>
      </c>
      <c r="G236" s="251" t="s">
        <v>681</v>
      </c>
      <c r="H236" s="251" t="s">
        <v>682</v>
      </c>
      <c r="I236" s="251" t="s">
        <v>1561</v>
      </c>
      <c r="J236" s="251" t="s">
        <v>3077</v>
      </c>
    </row>
    <row r="237" spans="1:10">
      <c r="A237" s="385">
        <v>235</v>
      </c>
      <c r="B237" s="251" t="s">
        <v>3078</v>
      </c>
      <c r="C237" s="251" t="s">
        <v>3079</v>
      </c>
      <c r="D237" s="251" t="s">
        <v>3080</v>
      </c>
      <c r="E237" s="251" t="s">
        <v>2239</v>
      </c>
      <c r="F237" s="251" t="s">
        <v>680</v>
      </c>
      <c r="G237" s="251" t="s">
        <v>681</v>
      </c>
      <c r="H237" s="251" t="s">
        <v>682</v>
      </c>
      <c r="I237" s="251" t="s">
        <v>1561</v>
      </c>
      <c r="J237" s="251" t="s">
        <v>3081</v>
      </c>
    </row>
    <row r="238" spans="1:10">
      <c r="A238" s="385">
        <v>236</v>
      </c>
      <c r="B238" s="251" t="s">
        <v>3082</v>
      </c>
      <c r="C238" s="251" t="s">
        <v>3083</v>
      </c>
      <c r="D238" s="251" t="s">
        <v>3084</v>
      </c>
      <c r="E238" s="251" t="s">
        <v>2239</v>
      </c>
      <c r="F238" s="251" t="s">
        <v>680</v>
      </c>
      <c r="G238" s="251" t="s">
        <v>681</v>
      </c>
      <c r="H238" s="251" t="s">
        <v>682</v>
      </c>
      <c r="I238" s="251" t="s">
        <v>1561</v>
      </c>
      <c r="J238" s="251" t="s">
        <v>3085</v>
      </c>
    </row>
    <row r="239" spans="1:10">
      <c r="A239" s="385">
        <v>237</v>
      </c>
      <c r="B239" s="251" t="s">
        <v>3086</v>
      </c>
      <c r="C239" s="251" t="s">
        <v>3087</v>
      </c>
      <c r="D239" s="251" t="s">
        <v>2277</v>
      </c>
      <c r="E239" s="251" t="s">
        <v>2239</v>
      </c>
      <c r="F239" s="251" t="s">
        <v>680</v>
      </c>
      <c r="G239" s="251" t="s">
        <v>681</v>
      </c>
      <c r="H239" s="251" t="s">
        <v>682</v>
      </c>
      <c r="I239" s="251" t="s">
        <v>1561</v>
      </c>
      <c r="J239" s="251" t="s">
        <v>3088</v>
      </c>
    </row>
    <row r="240" spans="1:10">
      <c r="A240" s="385">
        <v>238</v>
      </c>
      <c r="B240" s="251" t="s">
        <v>3089</v>
      </c>
      <c r="C240" s="251" t="s">
        <v>3090</v>
      </c>
      <c r="D240" s="251" t="s">
        <v>3091</v>
      </c>
      <c r="E240" s="251" t="s">
        <v>2239</v>
      </c>
      <c r="F240" s="251" t="s">
        <v>3092</v>
      </c>
      <c r="G240" s="251" t="s">
        <v>681</v>
      </c>
      <c r="H240" s="251" t="s">
        <v>682</v>
      </c>
      <c r="I240" s="251" t="s">
        <v>1588</v>
      </c>
      <c r="J240" s="251" t="s">
        <v>3093</v>
      </c>
    </row>
    <row r="241" spans="1:10">
      <c r="A241" s="385">
        <v>239</v>
      </c>
      <c r="B241" s="251" t="s">
        <v>3094</v>
      </c>
      <c r="C241" s="251" t="s">
        <v>3095</v>
      </c>
      <c r="D241" s="251" t="s">
        <v>3096</v>
      </c>
      <c r="E241" s="251" t="s">
        <v>2239</v>
      </c>
      <c r="F241" s="251" t="s">
        <v>680</v>
      </c>
      <c r="G241" s="251" t="s">
        <v>681</v>
      </c>
      <c r="H241" s="251" t="s">
        <v>682</v>
      </c>
      <c r="I241" s="251" t="s">
        <v>1588</v>
      </c>
      <c r="J241" s="251" t="s">
        <v>1636</v>
      </c>
    </row>
    <row r="242" spans="1:10">
      <c r="A242" s="385">
        <v>240</v>
      </c>
      <c r="B242" s="251" t="s">
        <v>3097</v>
      </c>
      <c r="C242" s="251" t="s">
        <v>3098</v>
      </c>
      <c r="D242" s="251" t="s">
        <v>3099</v>
      </c>
      <c r="E242" s="251" t="s">
        <v>2239</v>
      </c>
      <c r="F242" s="251" t="s">
        <v>680</v>
      </c>
      <c r="G242" s="251" t="s">
        <v>681</v>
      </c>
      <c r="H242" s="251" t="s">
        <v>682</v>
      </c>
      <c r="I242" s="251" t="s">
        <v>1588</v>
      </c>
      <c r="J242" s="251" t="s">
        <v>3100</v>
      </c>
    </row>
    <row r="243" spans="1:10">
      <c r="A243" s="385">
        <v>241</v>
      </c>
      <c r="B243" s="251" t="s">
        <v>3101</v>
      </c>
      <c r="C243" s="251" t="s">
        <v>3102</v>
      </c>
      <c r="D243" s="251" t="s">
        <v>3103</v>
      </c>
      <c r="E243" s="251" t="s">
        <v>2239</v>
      </c>
      <c r="F243" s="251" t="s">
        <v>680</v>
      </c>
      <c r="G243" s="251" t="s">
        <v>681</v>
      </c>
      <c r="H243" s="251" t="s">
        <v>682</v>
      </c>
      <c r="I243" s="251" t="s">
        <v>1588</v>
      </c>
      <c r="J243" s="251" t="s">
        <v>3104</v>
      </c>
    </row>
    <row r="244" spans="1:10">
      <c r="A244" s="385">
        <v>242</v>
      </c>
      <c r="B244" s="251" t="s">
        <v>3105</v>
      </c>
      <c r="C244" s="251" t="s">
        <v>3106</v>
      </c>
      <c r="D244" s="251" t="s">
        <v>2552</v>
      </c>
      <c r="E244" s="251" t="s">
        <v>2239</v>
      </c>
      <c r="F244" s="251" t="s">
        <v>680</v>
      </c>
      <c r="G244" s="251" t="s">
        <v>681</v>
      </c>
      <c r="H244" s="251" t="s">
        <v>682</v>
      </c>
      <c r="I244" s="251" t="s">
        <v>1588</v>
      </c>
      <c r="J244" s="251" t="s">
        <v>3107</v>
      </c>
    </row>
    <row r="245" spans="1:10">
      <c r="A245" s="385">
        <v>243</v>
      </c>
      <c r="B245" s="251" t="s">
        <v>3108</v>
      </c>
      <c r="C245" s="251" t="s">
        <v>3109</v>
      </c>
      <c r="D245" s="251" t="s">
        <v>3110</v>
      </c>
      <c r="E245" s="251" t="s">
        <v>2239</v>
      </c>
      <c r="F245" s="251" t="s">
        <v>680</v>
      </c>
      <c r="G245" s="251" t="s">
        <v>681</v>
      </c>
      <c r="H245" s="251" t="s">
        <v>682</v>
      </c>
      <c r="I245" s="251" t="s">
        <v>1588</v>
      </c>
      <c r="J245" s="251" t="s">
        <v>3111</v>
      </c>
    </row>
    <row r="246" spans="1:10">
      <c r="A246" s="385">
        <v>244</v>
      </c>
      <c r="B246" s="251" t="s">
        <v>3112</v>
      </c>
      <c r="C246" s="251" t="s">
        <v>3113</v>
      </c>
      <c r="D246" s="251" t="s">
        <v>3114</v>
      </c>
      <c r="E246" s="251" t="s">
        <v>2239</v>
      </c>
      <c r="F246" s="251" t="s">
        <v>680</v>
      </c>
      <c r="G246" s="251" t="s">
        <v>681</v>
      </c>
      <c r="H246" s="251" t="s">
        <v>682</v>
      </c>
      <c r="I246" s="251" t="s">
        <v>1588</v>
      </c>
      <c r="J246" s="251" t="s">
        <v>1608</v>
      </c>
    </row>
    <row r="247" spans="1:10">
      <c r="A247" s="385">
        <v>245</v>
      </c>
      <c r="B247" s="251" t="s">
        <v>3115</v>
      </c>
      <c r="C247" s="251" t="s">
        <v>3116</v>
      </c>
      <c r="D247" s="251" t="s">
        <v>3117</v>
      </c>
      <c r="E247" s="251" t="s">
        <v>2239</v>
      </c>
      <c r="F247" s="251" t="s">
        <v>680</v>
      </c>
      <c r="G247" s="251" t="s">
        <v>681</v>
      </c>
      <c r="H247" s="251" t="s">
        <v>682</v>
      </c>
      <c r="I247" s="251" t="s">
        <v>1588</v>
      </c>
      <c r="J247" s="251" t="s">
        <v>3118</v>
      </c>
    </row>
    <row r="248" spans="1:10">
      <c r="A248" s="385">
        <v>246</v>
      </c>
      <c r="B248" s="251" t="s">
        <v>3119</v>
      </c>
      <c r="C248" s="251" t="s">
        <v>3120</v>
      </c>
      <c r="D248" s="251" t="s">
        <v>2364</v>
      </c>
      <c r="E248" s="251" t="s">
        <v>2239</v>
      </c>
      <c r="F248" s="251" t="s">
        <v>680</v>
      </c>
      <c r="G248" s="251" t="s">
        <v>681</v>
      </c>
      <c r="H248" s="251" t="s">
        <v>682</v>
      </c>
      <c r="I248" s="251" t="s">
        <v>1588</v>
      </c>
      <c r="J248" s="251" t="s">
        <v>3121</v>
      </c>
    </row>
    <row r="249" spans="1:10">
      <c r="A249" s="385">
        <v>247</v>
      </c>
      <c r="B249" s="251" t="s">
        <v>3122</v>
      </c>
      <c r="C249" s="251" t="s">
        <v>3123</v>
      </c>
      <c r="D249" s="251" t="s">
        <v>2335</v>
      </c>
      <c r="E249" s="251" t="s">
        <v>2239</v>
      </c>
      <c r="F249" s="251" t="s">
        <v>680</v>
      </c>
      <c r="G249" s="251" t="s">
        <v>681</v>
      </c>
      <c r="H249" s="251" t="s">
        <v>682</v>
      </c>
      <c r="I249" s="251" t="s">
        <v>1588</v>
      </c>
      <c r="J249" s="251" t="s">
        <v>3124</v>
      </c>
    </row>
    <row r="250" spans="1:10">
      <c r="A250" s="385">
        <v>248</v>
      </c>
      <c r="B250" s="251" t="s">
        <v>3125</v>
      </c>
      <c r="C250" s="251" t="s">
        <v>3126</v>
      </c>
      <c r="D250" s="251" t="s">
        <v>3127</v>
      </c>
      <c r="E250" s="251" t="s">
        <v>2239</v>
      </c>
      <c r="F250" s="251" t="s">
        <v>680</v>
      </c>
      <c r="G250" s="251" t="s">
        <v>681</v>
      </c>
      <c r="H250" s="251" t="s">
        <v>682</v>
      </c>
      <c r="I250" s="251" t="s">
        <v>1588</v>
      </c>
      <c r="J250" s="251" t="s">
        <v>3128</v>
      </c>
    </row>
    <row r="251" spans="1:10">
      <c r="A251" s="385">
        <v>249</v>
      </c>
      <c r="B251" s="251" t="s">
        <v>3129</v>
      </c>
      <c r="C251" s="251" t="s">
        <v>3130</v>
      </c>
      <c r="D251" s="251" t="s">
        <v>3131</v>
      </c>
      <c r="E251" s="251" t="s">
        <v>2239</v>
      </c>
      <c r="F251" s="251" t="s">
        <v>680</v>
      </c>
      <c r="G251" s="251" t="s">
        <v>681</v>
      </c>
      <c r="H251" s="251" t="s">
        <v>682</v>
      </c>
      <c r="I251" s="251" t="s">
        <v>1588</v>
      </c>
      <c r="J251" s="251" t="s">
        <v>3132</v>
      </c>
    </row>
    <row r="252" spans="1:10">
      <c r="A252" s="385">
        <v>250</v>
      </c>
      <c r="B252" s="251" t="s">
        <v>3133</v>
      </c>
      <c r="C252" s="251" t="s">
        <v>3134</v>
      </c>
      <c r="D252" s="251" t="s">
        <v>2614</v>
      </c>
      <c r="E252" s="251" t="s">
        <v>2239</v>
      </c>
      <c r="F252" s="251" t="s">
        <v>680</v>
      </c>
      <c r="G252" s="251" t="s">
        <v>681</v>
      </c>
      <c r="H252" s="251" t="s">
        <v>682</v>
      </c>
      <c r="I252" s="251" t="s">
        <v>1588</v>
      </c>
      <c r="J252" s="251" t="s">
        <v>3135</v>
      </c>
    </row>
    <row r="253" spans="1:10">
      <c r="A253" s="385">
        <v>251</v>
      </c>
      <c r="B253" s="251" t="s">
        <v>3136</v>
      </c>
      <c r="C253" s="251" t="s">
        <v>3137</v>
      </c>
      <c r="D253" s="251" t="s">
        <v>3138</v>
      </c>
      <c r="E253" s="251" t="s">
        <v>2239</v>
      </c>
      <c r="F253" s="251" t="s">
        <v>680</v>
      </c>
      <c r="G253" s="251" t="s">
        <v>681</v>
      </c>
      <c r="H253" s="251" t="s">
        <v>682</v>
      </c>
      <c r="I253" s="251" t="s">
        <v>1588</v>
      </c>
      <c r="J253" s="251" t="s">
        <v>3139</v>
      </c>
    </row>
    <row r="254" spans="1:10">
      <c r="A254" s="385">
        <v>252</v>
      </c>
      <c r="B254" s="251" t="s">
        <v>3140</v>
      </c>
      <c r="C254" s="251" t="s">
        <v>3141</v>
      </c>
      <c r="D254" s="251" t="s">
        <v>3142</v>
      </c>
      <c r="E254" s="251" t="s">
        <v>2239</v>
      </c>
      <c r="F254" s="251" t="s">
        <v>680</v>
      </c>
      <c r="G254" s="251" t="s">
        <v>681</v>
      </c>
      <c r="H254" s="251" t="s">
        <v>682</v>
      </c>
      <c r="I254" s="251" t="s">
        <v>1588</v>
      </c>
      <c r="J254" s="251" t="s">
        <v>3143</v>
      </c>
    </row>
    <row r="255" spans="1:10">
      <c r="A255" s="385">
        <v>253</v>
      </c>
      <c r="B255" s="251" t="s">
        <v>3144</v>
      </c>
      <c r="C255" s="251" t="s">
        <v>3145</v>
      </c>
      <c r="D255" s="251" t="s">
        <v>3146</v>
      </c>
      <c r="E255" s="251" t="s">
        <v>2239</v>
      </c>
      <c r="F255" s="251" t="s">
        <v>680</v>
      </c>
      <c r="G255" s="251" t="s">
        <v>681</v>
      </c>
      <c r="H255" s="251" t="s">
        <v>682</v>
      </c>
      <c r="I255" s="251" t="s">
        <v>1588</v>
      </c>
      <c r="J255" s="251" t="s">
        <v>3147</v>
      </c>
    </row>
    <row r="256" spans="1:10">
      <c r="A256" s="385">
        <v>254</v>
      </c>
      <c r="B256" s="251" t="s">
        <v>3148</v>
      </c>
      <c r="C256" s="251" t="s">
        <v>3149</v>
      </c>
      <c r="D256" s="251" t="s">
        <v>3150</v>
      </c>
      <c r="E256" s="251" t="s">
        <v>2239</v>
      </c>
      <c r="F256" s="251" t="s">
        <v>680</v>
      </c>
      <c r="G256" s="251" t="s">
        <v>681</v>
      </c>
      <c r="H256" s="251" t="s">
        <v>682</v>
      </c>
      <c r="I256" s="251" t="s">
        <v>1588</v>
      </c>
      <c r="J256" s="251" t="s">
        <v>3151</v>
      </c>
    </row>
    <row r="257" spans="1:10">
      <c r="A257" s="385">
        <v>255</v>
      </c>
      <c r="B257" s="251" t="s">
        <v>3152</v>
      </c>
      <c r="C257" s="251" t="s">
        <v>3153</v>
      </c>
      <c r="D257" s="251" t="s">
        <v>2277</v>
      </c>
      <c r="E257" s="251" t="s">
        <v>2239</v>
      </c>
      <c r="F257" s="251" t="s">
        <v>680</v>
      </c>
      <c r="G257" s="251" t="s">
        <v>681</v>
      </c>
      <c r="H257" s="251" t="s">
        <v>682</v>
      </c>
      <c r="I257" s="251" t="s">
        <v>1588</v>
      </c>
      <c r="J257" s="251" t="s">
        <v>3154</v>
      </c>
    </row>
    <row r="258" spans="1:10">
      <c r="A258" s="385">
        <v>256</v>
      </c>
      <c r="B258" s="251" t="s">
        <v>3155</v>
      </c>
      <c r="C258" s="251" t="s">
        <v>3156</v>
      </c>
      <c r="D258" s="251" t="s">
        <v>3157</v>
      </c>
      <c r="E258" s="251" t="s">
        <v>2239</v>
      </c>
      <c r="F258" s="251" t="s">
        <v>680</v>
      </c>
      <c r="G258" s="251" t="s">
        <v>681</v>
      </c>
      <c r="H258" s="251" t="s">
        <v>682</v>
      </c>
      <c r="I258" s="251" t="s">
        <v>1588</v>
      </c>
      <c r="J258" s="251" t="s">
        <v>3158</v>
      </c>
    </row>
    <row r="259" spans="1:10">
      <c r="A259" s="385">
        <v>257</v>
      </c>
      <c r="B259" s="251" t="s">
        <v>3159</v>
      </c>
      <c r="C259" s="251" t="s">
        <v>3160</v>
      </c>
      <c r="D259" s="251" t="s">
        <v>2405</v>
      </c>
      <c r="E259" s="251" t="s">
        <v>2239</v>
      </c>
      <c r="F259" s="251" t="s">
        <v>680</v>
      </c>
      <c r="G259" s="251" t="s">
        <v>681</v>
      </c>
      <c r="H259" s="251" t="s">
        <v>682</v>
      </c>
      <c r="I259" s="251" t="s">
        <v>1588</v>
      </c>
      <c r="J259" s="251" t="s">
        <v>3161</v>
      </c>
    </row>
    <row r="260" spans="1:10">
      <c r="A260" s="385">
        <v>258</v>
      </c>
      <c r="B260" s="251" t="s">
        <v>3162</v>
      </c>
      <c r="C260" s="251" t="s">
        <v>3163</v>
      </c>
      <c r="D260" s="251" t="s">
        <v>3164</v>
      </c>
      <c r="E260" s="251" t="s">
        <v>2239</v>
      </c>
      <c r="F260" s="251" t="s">
        <v>680</v>
      </c>
      <c r="G260" s="251" t="s">
        <v>681</v>
      </c>
      <c r="H260" s="251" t="s">
        <v>682</v>
      </c>
      <c r="I260" s="251" t="s">
        <v>1588</v>
      </c>
      <c r="J260" s="251" t="s">
        <v>3165</v>
      </c>
    </row>
    <row r="261" spans="1:10">
      <c r="A261" s="385">
        <v>259</v>
      </c>
      <c r="B261" s="251" t="s">
        <v>3166</v>
      </c>
      <c r="C261" s="251" t="s">
        <v>3167</v>
      </c>
      <c r="D261" s="251" t="s">
        <v>2587</v>
      </c>
      <c r="E261" s="251" t="s">
        <v>2239</v>
      </c>
      <c r="F261" s="251" t="s">
        <v>680</v>
      </c>
      <c r="G261" s="251" t="s">
        <v>681</v>
      </c>
      <c r="H261" s="251" t="s">
        <v>682</v>
      </c>
      <c r="I261" s="251" t="s">
        <v>1588</v>
      </c>
      <c r="J261" s="251" t="s">
        <v>3168</v>
      </c>
    </row>
    <row r="262" spans="1:10">
      <c r="A262" s="385">
        <v>260</v>
      </c>
      <c r="B262" s="251" t="s">
        <v>3169</v>
      </c>
      <c r="C262" s="251" t="s">
        <v>3170</v>
      </c>
      <c r="D262" s="251" t="s">
        <v>3171</v>
      </c>
      <c r="E262" s="251" t="s">
        <v>2239</v>
      </c>
      <c r="F262" s="251" t="s">
        <v>680</v>
      </c>
      <c r="G262" s="251" t="s">
        <v>681</v>
      </c>
      <c r="H262" s="251" t="s">
        <v>682</v>
      </c>
      <c r="I262" s="251" t="s">
        <v>1588</v>
      </c>
      <c r="J262" s="251" t="s">
        <v>3172</v>
      </c>
    </row>
    <row r="263" spans="1:10">
      <c r="A263" s="385">
        <v>261</v>
      </c>
      <c r="B263" s="251" t="s">
        <v>3173</v>
      </c>
      <c r="C263" s="251" t="s">
        <v>3174</v>
      </c>
      <c r="D263" s="251" t="s">
        <v>3175</v>
      </c>
      <c r="E263" s="251" t="s">
        <v>2239</v>
      </c>
      <c r="F263" s="251" t="s">
        <v>680</v>
      </c>
      <c r="G263" s="251" t="s">
        <v>681</v>
      </c>
      <c r="H263" s="251" t="s">
        <v>682</v>
      </c>
      <c r="I263" s="251" t="s">
        <v>1588</v>
      </c>
      <c r="J263" s="251" t="s">
        <v>3176</v>
      </c>
    </row>
    <row r="264" spans="1:10">
      <c r="A264" s="385">
        <v>262</v>
      </c>
      <c r="B264" s="251" t="s">
        <v>3177</v>
      </c>
      <c r="C264" s="251" t="s">
        <v>3178</v>
      </c>
      <c r="D264" s="251" t="s">
        <v>3179</v>
      </c>
      <c r="E264" s="251" t="s">
        <v>2239</v>
      </c>
      <c r="F264" s="251" t="s">
        <v>680</v>
      </c>
      <c r="G264" s="251" t="s">
        <v>681</v>
      </c>
      <c r="H264" s="251" t="s">
        <v>682</v>
      </c>
      <c r="I264" s="251" t="s">
        <v>1588</v>
      </c>
      <c r="J264" s="251" t="s">
        <v>3180</v>
      </c>
    </row>
    <row r="265" spans="1:10">
      <c r="A265" s="385">
        <v>263</v>
      </c>
      <c r="B265" s="251" t="s">
        <v>3181</v>
      </c>
      <c r="C265" s="251" t="s">
        <v>3182</v>
      </c>
      <c r="D265" s="251" t="s">
        <v>3183</v>
      </c>
      <c r="E265" s="251" t="s">
        <v>2239</v>
      </c>
      <c r="F265" s="251" t="s">
        <v>3092</v>
      </c>
      <c r="G265" s="251" t="s">
        <v>681</v>
      </c>
      <c r="H265" s="251" t="s">
        <v>682</v>
      </c>
      <c r="I265" s="251" t="s">
        <v>1689</v>
      </c>
      <c r="J265" s="251" t="s">
        <v>1744</v>
      </c>
    </row>
    <row r="266" spans="1:10">
      <c r="A266" s="385">
        <v>264</v>
      </c>
      <c r="B266" s="251" t="s">
        <v>3184</v>
      </c>
      <c r="C266" s="251" t="s">
        <v>3185</v>
      </c>
      <c r="D266" s="251" t="s">
        <v>3186</v>
      </c>
      <c r="E266" s="251" t="s">
        <v>2239</v>
      </c>
      <c r="F266" s="251" t="s">
        <v>680</v>
      </c>
      <c r="G266" s="251" t="s">
        <v>681</v>
      </c>
      <c r="H266" s="251" t="s">
        <v>682</v>
      </c>
      <c r="I266" s="251" t="s">
        <v>1689</v>
      </c>
      <c r="J266" s="251" t="s">
        <v>3187</v>
      </c>
    </row>
    <row r="267" spans="1:10">
      <c r="A267" s="385">
        <v>265</v>
      </c>
      <c r="B267" s="251" t="s">
        <v>3188</v>
      </c>
      <c r="C267" s="251" t="s">
        <v>3189</v>
      </c>
      <c r="D267" s="251" t="s">
        <v>2277</v>
      </c>
      <c r="E267" s="251" t="s">
        <v>2239</v>
      </c>
      <c r="F267" s="251" t="s">
        <v>680</v>
      </c>
      <c r="G267" s="251" t="s">
        <v>681</v>
      </c>
      <c r="H267" s="251" t="s">
        <v>682</v>
      </c>
      <c r="I267" s="251" t="s">
        <v>1689</v>
      </c>
      <c r="J267" s="251" t="s">
        <v>3190</v>
      </c>
    </row>
    <row r="268" spans="1:10">
      <c r="A268" s="385">
        <v>266</v>
      </c>
      <c r="B268" s="251" t="s">
        <v>3191</v>
      </c>
      <c r="C268" s="251" t="s">
        <v>3192</v>
      </c>
      <c r="D268" s="251" t="s">
        <v>2277</v>
      </c>
      <c r="E268" s="251" t="s">
        <v>2239</v>
      </c>
      <c r="F268" s="251" t="s">
        <v>680</v>
      </c>
      <c r="G268" s="251" t="s">
        <v>681</v>
      </c>
      <c r="H268" s="251" t="s">
        <v>682</v>
      </c>
      <c r="I268" s="251" t="s">
        <v>1689</v>
      </c>
      <c r="J268" s="251" t="s">
        <v>3193</v>
      </c>
    </row>
    <row r="269" spans="1:10">
      <c r="A269" s="385">
        <v>267</v>
      </c>
      <c r="B269" s="251" t="s">
        <v>3194</v>
      </c>
      <c r="C269" s="251" t="s">
        <v>3195</v>
      </c>
      <c r="D269" s="251" t="s">
        <v>3196</v>
      </c>
      <c r="E269" s="251" t="s">
        <v>2239</v>
      </c>
      <c r="F269" s="251" t="s">
        <v>680</v>
      </c>
      <c r="G269" s="251" t="s">
        <v>681</v>
      </c>
      <c r="H269" s="251" t="s">
        <v>682</v>
      </c>
      <c r="I269" s="251" t="s">
        <v>1689</v>
      </c>
      <c r="J269" s="251" t="s">
        <v>3197</v>
      </c>
    </row>
    <row r="270" spans="1:10">
      <c r="A270" s="385">
        <v>268</v>
      </c>
      <c r="B270" s="251" t="s">
        <v>3198</v>
      </c>
      <c r="C270" s="251" t="s">
        <v>3199</v>
      </c>
      <c r="D270" s="251" t="s">
        <v>3200</v>
      </c>
      <c r="E270" s="251" t="s">
        <v>2239</v>
      </c>
      <c r="F270" s="251" t="s">
        <v>680</v>
      </c>
      <c r="G270" s="251" t="s">
        <v>681</v>
      </c>
      <c r="H270" s="251" t="s">
        <v>682</v>
      </c>
      <c r="I270" s="251" t="s">
        <v>1689</v>
      </c>
      <c r="J270" s="251" t="s">
        <v>3201</v>
      </c>
    </row>
    <row r="271" spans="1:10">
      <c r="A271" s="385">
        <v>269</v>
      </c>
      <c r="B271" s="251" t="s">
        <v>3202</v>
      </c>
      <c r="C271" s="251" t="s">
        <v>3203</v>
      </c>
      <c r="D271" s="251" t="s">
        <v>3204</v>
      </c>
      <c r="E271" s="251" t="s">
        <v>2239</v>
      </c>
      <c r="F271" s="251" t="s">
        <v>680</v>
      </c>
      <c r="G271" s="251" t="s">
        <v>681</v>
      </c>
      <c r="H271" s="251" t="s">
        <v>682</v>
      </c>
      <c r="I271" s="251" t="s">
        <v>1689</v>
      </c>
      <c r="J271" s="251" t="s">
        <v>3205</v>
      </c>
    </row>
    <row r="272" spans="1:10">
      <c r="A272" s="385">
        <v>270</v>
      </c>
      <c r="B272" s="251" t="s">
        <v>3206</v>
      </c>
      <c r="C272" s="251" t="s">
        <v>3207</v>
      </c>
      <c r="D272" s="251" t="s">
        <v>3208</v>
      </c>
      <c r="E272" s="251" t="s">
        <v>2239</v>
      </c>
      <c r="F272" s="251" t="s">
        <v>680</v>
      </c>
      <c r="G272" s="251" t="s">
        <v>681</v>
      </c>
      <c r="H272" s="251" t="s">
        <v>682</v>
      </c>
      <c r="I272" s="251" t="s">
        <v>1689</v>
      </c>
      <c r="J272" s="251" t="s">
        <v>3209</v>
      </c>
    </row>
    <row r="273" spans="1:10">
      <c r="A273" s="385">
        <v>271</v>
      </c>
      <c r="B273" s="251" t="s">
        <v>3210</v>
      </c>
      <c r="C273" s="251" t="s">
        <v>3211</v>
      </c>
      <c r="D273" s="251" t="s">
        <v>2648</v>
      </c>
      <c r="E273" s="251" t="s">
        <v>2239</v>
      </c>
      <c r="F273" s="251" t="s">
        <v>680</v>
      </c>
      <c r="G273" s="251" t="s">
        <v>681</v>
      </c>
      <c r="H273" s="251" t="s">
        <v>682</v>
      </c>
      <c r="I273" s="251" t="s">
        <v>1689</v>
      </c>
      <c r="J273" s="251" t="s">
        <v>3212</v>
      </c>
    </row>
    <row r="274" spans="1:10">
      <c r="A274" s="385">
        <v>272</v>
      </c>
      <c r="B274" s="251" t="s">
        <v>3213</v>
      </c>
      <c r="C274" s="251" t="s">
        <v>3214</v>
      </c>
      <c r="D274" s="251" t="s">
        <v>2405</v>
      </c>
      <c r="E274" s="251" t="s">
        <v>2239</v>
      </c>
      <c r="F274" s="251" t="s">
        <v>680</v>
      </c>
      <c r="G274" s="251" t="s">
        <v>681</v>
      </c>
      <c r="H274" s="251" t="s">
        <v>682</v>
      </c>
      <c r="I274" s="251" t="s">
        <v>1689</v>
      </c>
      <c r="J274" s="251" t="s">
        <v>3215</v>
      </c>
    </row>
    <row r="275" spans="1:10">
      <c r="A275" s="385">
        <v>273</v>
      </c>
      <c r="B275" s="251" t="s">
        <v>3216</v>
      </c>
      <c r="C275" s="251" t="s">
        <v>3217</v>
      </c>
      <c r="D275" s="251" t="s">
        <v>3218</v>
      </c>
      <c r="E275" s="251" t="s">
        <v>2239</v>
      </c>
      <c r="F275" s="251" t="s">
        <v>680</v>
      </c>
      <c r="G275" s="251" t="s">
        <v>681</v>
      </c>
      <c r="H275" s="251" t="s">
        <v>682</v>
      </c>
      <c r="I275" s="251" t="s">
        <v>1689</v>
      </c>
      <c r="J275" s="251" t="s">
        <v>2256</v>
      </c>
    </row>
    <row r="276" spans="1:10">
      <c r="A276" s="385">
        <v>274</v>
      </c>
      <c r="B276" s="251" t="s">
        <v>3219</v>
      </c>
      <c r="C276" s="251" t="s">
        <v>3220</v>
      </c>
      <c r="D276" s="251" t="s">
        <v>3221</v>
      </c>
      <c r="E276" s="251" t="s">
        <v>2239</v>
      </c>
      <c r="F276" s="251" t="s">
        <v>680</v>
      </c>
      <c r="G276" s="251" t="s">
        <v>681</v>
      </c>
      <c r="H276" s="251" t="s">
        <v>682</v>
      </c>
      <c r="I276" s="251" t="s">
        <v>1689</v>
      </c>
      <c r="J276" s="251" t="s">
        <v>3222</v>
      </c>
    </row>
    <row r="277" spans="1:10">
      <c r="A277" s="385">
        <v>275</v>
      </c>
      <c r="B277" s="251" t="s">
        <v>3223</v>
      </c>
      <c r="C277" s="251" t="s">
        <v>3224</v>
      </c>
      <c r="D277" s="251" t="s">
        <v>3225</v>
      </c>
      <c r="E277" s="251" t="s">
        <v>2239</v>
      </c>
      <c r="F277" s="251" t="s">
        <v>680</v>
      </c>
      <c r="G277" s="251" t="s">
        <v>681</v>
      </c>
      <c r="H277" s="251" t="s">
        <v>682</v>
      </c>
      <c r="I277" s="251" t="s">
        <v>1689</v>
      </c>
      <c r="J277" s="251" t="s">
        <v>3226</v>
      </c>
    </row>
    <row r="278" spans="1:10">
      <c r="A278" s="385">
        <v>276</v>
      </c>
      <c r="B278" s="251" t="s">
        <v>3227</v>
      </c>
      <c r="C278" s="251" t="s">
        <v>3228</v>
      </c>
      <c r="D278" s="251" t="s">
        <v>3229</v>
      </c>
      <c r="E278" s="251" t="s">
        <v>2239</v>
      </c>
      <c r="F278" s="251" t="s">
        <v>680</v>
      </c>
      <c r="G278" s="251" t="s">
        <v>681</v>
      </c>
      <c r="H278" s="251" t="s">
        <v>682</v>
      </c>
      <c r="I278" s="251" t="s">
        <v>1689</v>
      </c>
      <c r="J278" s="251" t="s">
        <v>3230</v>
      </c>
    </row>
    <row r="279" spans="1:10">
      <c r="A279" s="385">
        <v>277</v>
      </c>
      <c r="B279" s="251" t="s">
        <v>3231</v>
      </c>
      <c r="C279" s="251" t="s">
        <v>3232</v>
      </c>
      <c r="D279" s="251" t="s">
        <v>2292</v>
      </c>
      <c r="E279" s="251" t="s">
        <v>2239</v>
      </c>
      <c r="F279" s="251" t="s">
        <v>680</v>
      </c>
      <c r="G279" s="251" t="s">
        <v>681</v>
      </c>
      <c r="H279" s="251" t="s">
        <v>682</v>
      </c>
      <c r="I279" s="251" t="s">
        <v>1689</v>
      </c>
      <c r="J279" s="251" t="s">
        <v>3233</v>
      </c>
    </row>
    <row r="280" spans="1:10">
      <c r="A280" s="385">
        <v>278</v>
      </c>
      <c r="B280" s="251" t="s">
        <v>3234</v>
      </c>
      <c r="C280" s="251" t="s">
        <v>3235</v>
      </c>
      <c r="D280" s="251" t="s">
        <v>2944</v>
      </c>
      <c r="E280" s="251" t="s">
        <v>2239</v>
      </c>
      <c r="F280" s="251" t="s">
        <v>680</v>
      </c>
      <c r="G280" s="251" t="s">
        <v>681</v>
      </c>
      <c r="H280" s="251" t="s">
        <v>682</v>
      </c>
      <c r="I280" s="251" t="s">
        <v>1689</v>
      </c>
      <c r="J280" s="251" t="s">
        <v>3236</v>
      </c>
    </row>
    <row r="281" spans="1:10">
      <c r="A281" s="385">
        <v>279</v>
      </c>
      <c r="B281" s="251" t="s">
        <v>3237</v>
      </c>
      <c r="C281" s="251" t="s">
        <v>3238</v>
      </c>
      <c r="D281" s="251" t="s">
        <v>2599</v>
      </c>
      <c r="E281" s="251" t="s">
        <v>2239</v>
      </c>
      <c r="F281" s="251" t="s">
        <v>680</v>
      </c>
      <c r="G281" s="251" t="s">
        <v>681</v>
      </c>
      <c r="H281" s="251" t="s">
        <v>682</v>
      </c>
      <c r="I281" s="251" t="s">
        <v>1689</v>
      </c>
      <c r="J281" s="251" t="s">
        <v>3239</v>
      </c>
    </row>
    <row r="282" spans="1:10">
      <c r="A282" s="385">
        <v>280</v>
      </c>
      <c r="B282" s="251" t="s">
        <v>3240</v>
      </c>
      <c r="C282" s="251" t="s">
        <v>3241</v>
      </c>
      <c r="D282" s="251" t="s">
        <v>3242</v>
      </c>
      <c r="E282" s="251" t="s">
        <v>2239</v>
      </c>
      <c r="F282" s="251" t="s">
        <v>680</v>
      </c>
      <c r="G282" s="251" t="s">
        <v>681</v>
      </c>
      <c r="H282" s="251" t="s">
        <v>682</v>
      </c>
      <c r="I282" s="251" t="s">
        <v>1689</v>
      </c>
      <c r="J282" s="251" t="s">
        <v>3243</v>
      </c>
    </row>
    <row r="283" spans="1:10">
      <c r="A283" s="385">
        <v>281</v>
      </c>
      <c r="B283" s="251" t="s">
        <v>3244</v>
      </c>
      <c r="C283" s="251" t="s">
        <v>3245</v>
      </c>
      <c r="D283" s="251" t="s">
        <v>3246</v>
      </c>
      <c r="E283" s="251" t="s">
        <v>2239</v>
      </c>
      <c r="F283" s="251" t="s">
        <v>680</v>
      </c>
      <c r="G283" s="251" t="s">
        <v>681</v>
      </c>
      <c r="H283" s="251" t="s">
        <v>682</v>
      </c>
      <c r="I283" s="251" t="s">
        <v>1689</v>
      </c>
      <c r="J283" s="251" t="s">
        <v>3247</v>
      </c>
    </row>
    <row r="284" spans="1:10">
      <c r="A284" s="385">
        <v>282</v>
      </c>
      <c r="B284" s="251" t="s">
        <v>3248</v>
      </c>
      <c r="C284" s="251" t="s">
        <v>3249</v>
      </c>
      <c r="D284" s="251" t="s">
        <v>3250</v>
      </c>
      <c r="E284" s="251" t="s">
        <v>2239</v>
      </c>
      <c r="F284" s="251" t="s">
        <v>680</v>
      </c>
      <c r="G284" s="251" t="s">
        <v>681</v>
      </c>
      <c r="H284" s="251" t="s">
        <v>682</v>
      </c>
      <c r="I284" s="251" t="s">
        <v>1689</v>
      </c>
      <c r="J284" s="251" t="s">
        <v>3251</v>
      </c>
    </row>
    <row r="285" spans="1:10">
      <c r="A285" s="385">
        <v>283</v>
      </c>
      <c r="B285" s="251" t="s">
        <v>3252</v>
      </c>
      <c r="C285" s="251" t="s">
        <v>3253</v>
      </c>
      <c r="D285" s="251" t="s">
        <v>2488</v>
      </c>
      <c r="E285" s="251" t="s">
        <v>2239</v>
      </c>
      <c r="F285" s="251" t="s">
        <v>680</v>
      </c>
      <c r="G285" s="251" t="s">
        <v>681</v>
      </c>
      <c r="H285" s="251" t="s">
        <v>682</v>
      </c>
      <c r="I285" s="251" t="s">
        <v>1689</v>
      </c>
      <c r="J285" s="251" t="s">
        <v>3254</v>
      </c>
    </row>
    <row r="286" spans="1:10">
      <c r="A286" s="385">
        <v>284</v>
      </c>
      <c r="B286" s="251" t="s">
        <v>3255</v>
      </c>
      <c r="C286" s="251" t="s">
        <v>3256</v>
      </c>
      <c r="D286" s="251" t="s">
        <v>3257</v>
      </c>
      <c r="E286" s="251" t="s">
        <v>2239</v>
      </c>
      <c r="F286" s="251" t="s">
        <v>680</v>
      </c>
      <c r="G286" s="251" t="s">
        <v>681</v>
      </c>
      <c r="H286" s="251" t="s">
        <v>682</v>
      </c>
      <c r="I286" s="251" t="s">
        <v>1689</v>
      </c>
      <c r="J286" s="251" t="s">
        <v>3258</v>
      </c>
    </row>
    <row r="287" spans="1:10">
      <c r="A287" s="385">
        <v>285</v>
      </c>
      <c r="B287" s="251" t="s">
        <v>3259</v>
      </c>
      <c r="C287" s="251" t="s">
        <v>3260</v>
      </c>
      <c r="D287" s="251" t="s">
        <v>3261</v>
      </c>
      <c r="E287" s="251" t="s">
        <v>2239</v>
      </c>
      <c r="F287" s="251" t="s">
        <v>680</v>
      </c>
      <c r="G287" s="251" t="s">
        <v>681</v>
      </c>
      <c r="H287" s="251" t="s">
        <v>682</v>
      </c>
      <c r="I287" s="251" t="s">
        <v>1689</v>
      </c>
      <c r="J287" s="251" t="s">
        <v>3262</v>
      </c>
    </row>
    <row r="288" spans="1:10">
      <c r="A288" s="385">
        <v>286</v>
      </c>
      <c r="B288" s="251" t="s">
        <v>3263</v>
      </c>
      <c r="C288" s="251" t="s">
        <v>3264</v>
      </c>
      <c r="D288" s="251" t="s">
        <v>3265</v>
      </c>
      <c r="E288" s="251" t="s">
        <v>2239</v>
      </c>
      <c r="F288" s="251" t="s">
        <v>680</v>
      </c>
      <c r="G288" s="251" t="s">
        <v>681</v>
      </c>
      <c r="H288" s="251" t="s">
        <v>682</v>
      </c>
      <c r="I288" s="251" t="s">
        <v>1798</v>
      </c>
      <c r="J288" s="251" t="s">
        <v>696</v>
      </c>
    </row>
    <row r="289" spans="1:10">
      <c r="A289" s="385">
        <v>287</v>
      </c>
      <c r="B289" s="251" t="s">
        <v>3266</v>
      </c>
      <c r="C289" s="251" t="s">
        <v>3267</v>
      </c>
      <c r="D289" s="251" t="s">
        <v>2472</v>
      </c>
      <c r="E289" s="251" t="s">
        <v>2239</v>
      </c>
      <c r="F289" s="251" t="s">
        <v>680</v>
      </c>
      <c r="G289" s="251" t="s">
        <v>681</v>
      </c>
      <c r="H289" s="251" t="s">
        <v>682</v>
      </c>
      <c r="I289" s="251" t="s">
        <v>1798</v>
      </c>
      <c r="J289" s="251" t="s">
        <v>3268</v>
      </c>
    </row>
    <row r="290" spans="1:10">
      <c r="A290" s="385">
        <v>288</v>
      </c>
      <c r="B290" s="251" t="s">
        <v>3269</v>
      </c>
      <c r="C290" s="251" t="s">
        <v>3270</v>
      </c>
      <c r="D290" s="251" t="s">
        <v>3271</v>
      </c>
      <c r="E290" s="251" t="s">
        <v>2239</v>
      </c>
      <c r="F290" s="251" t="s">
        <v>680</v>
      </c>
      <c r="G290" s="251" t="s">
        <v>681</v>
      </c>
      <c r="H290" s="251" t="s">
        <v>682</v>
      </c>
      <c r="I290" s="251" t="s">
        <v>1798</v>
      </c>
      <c r="J290" s="251" t="s">
        <v>3272</v>
      </c>
    </row>
    <row r="291" spans="1:10">
      <c r="A291" s="385">
        <v>289</v>
      </c>
      <c r="B291" s="251" t="s">
        <v>3273</v>
      </c>
      <c r="C291" s="251" t="s">
        <v>3274</v>
      </c>
      <c r="D291" s="251" t="s">
        <v>3275</v>
      </c>
      <c r="E291" s="251" t="s">
        <v>2239</v>
      </c>
      <c r="F291" s="251" t="s">
        <v>680</v>
      </c>
      <c r="G291" s="251" t="s">
        <v>681</v>
      </c>
      <c r="H291" s="251" t="s">
        <v>682</v>
      </c>
      <c r="I291" s="251" t="s">
        <v>1798</v>
      </c>
      <c r="J291" s="251" t="s">
        <v>3276</v>
      </c>
    </row>
    <row r="292" spans="1:10">
      <c r="A292" s="385">
        <v>290</v>
      </c>
      <c r="B292" s="251" t="s">
        <v>3277</v>
      </c>
      <c r="C292" s="251" t="s">
        <v>3278</v>
      </c>
      <c r="D292" s="251" t="s">
        <v>3279</v>
      </c>
      <c r="E292" s="251" t="s">
        <v>2239</v>
      </c>
      <c r="F292" s="251" t="s">
        <v>680</v>
      </c>
      <c r="G292" s="251" t="s">
        <v>681</v>
      </c>
      <c r="H292" s="251" t="s">
        <v>682</v>
      </c>
      <c r="I292" s="251" t="s">
        <v>1798</v>
      </c>
      <c r="J292" s="251" t="s">
        <v>3280</v>
      </c>
    </row>
    <row r="293" spans="1:10">
      <c r="A293" s="385">
        <v>291</v>
      </c>
      <c r="B293" s="251" t="s">
        <v>3281</v>
      </c>
      <c r="C293" s="251" t="s">
        <v>3282</v>
      </c>
      <c r="D293" s="251" t="s">
        <v>2405</v>
      </c>
      <c r="E293" s="251" t="s">
        <v>2239</v>
      </c>
      <c r="F293" s="251" t="s">
        <v>680</v>
      </c>
      <c r="G293" s="251" t="s">
        <v>681</v>
      </c>
      <c r="H293" s="251" t="s">
        <v>682</v>
      </c>
      <c r="I293" s="251" t="s">
        <v>1798</v>
      </c>
      <c r="J293" s="251" t="s">
        <v>3283</v>
      </c>
    </row>
    <row r="294" spans="1:10">
      <c r="A294" s="385">
        <v>292</v>
      </c>
      <c r="B294" s="251" t="s">
        <v>3284</v>
      </c>
      <c r="C294" s="251" t="s">
        <v>3285</v>
      </c>
      <c r="D294" s="251" t="s">
        <v>3286</v>
      </c>
      <c r="E294" s="251" t="s">
        <v>2239</v>
      </c>
      <c r="F294" s="251" t="s">
        <v>680</v>
      </c>
      <c r="G294" s="251" t="s">
        <v>681</v>
      </c>
      <c r="H294" s="251" t="s">
        <v>682</v>
      </c>
      <c r="I294" s="251" t="s">
        <v>1798</v>
      </c>
      <c r="J294" s="251" t="s">
        <v>3287</v>
      </c>
    </row>
    <row r="295" spans="1:10">
      <c r="A295" s="385">
        <v>293</v>
      </c>
      <c r="B295" s="251" t="s">
        <v>3288</v>
      </c>
      <c r="C295" s="251" t="s">
        <v>3289</v>
      </c>
      <c r="D295" s="251" t="s">
        <v>2599</v>
      </c>
      <c r="E295" s="251" t="s">
        <v>2239</v>
      </c>
      <c r="F295" s="251" t="s">
        <v>680</v>
      </c>
      <c r="G295" s="251" t="s">
        <v>681</v>
      </c>
      <c r="H295" s="251" t="s">
        <v>682</v>
      </c>
      <c r="I295" s="251" t="s">
        <v>1798</v>
      </c>
      <c r="J295" s="251" t="s">
        <v>3290</v>
      </c>
    </row>
    <row r="296" spans="1:10">
      <c r="A296" s="385">
        <v>294</v>
      </c>
      <c r="B296" s="251" t="s">
        <v>3291</v>
      </c>
      <c r="C296" s="251" t="s">
        <v>3292</v>
      </c>
      <c r="D296" s="251" t="s">
        <v>2520</v>
      </c>
      <c r="E296" s="251" t="s">
        <v>2239</v>
      </c>
      <c r="F296" s="251" t="s">
        <v>680</v>
      </c>
      <c r="G296" s="251" t="s">
        <v>681</v>
      </c>
      <c r="H296" s="251" t="s">
        <v>682</v>
      </c>
      <c r="I296" s="251" t="s">
        <v>1798</v>
      </c>
      <c r="J296" s="251" t="s">
        <v>3293</v>
      </c>
    </row>
    <row r="297" spans="1:10">
      <c r="A297" s="385">
        <v>295</v>
      </c>
      <c r="B297" s="251" t="s">
        <v>3294</v>
      </c>
      <c r="C297" s="251" t="s">
        <v>3295</v>
      </c>
      <c r="D297" s="251" t="s">
        <v>3296</v>
      </c>
      <c r="E297" s="251" t="s">
        <v>2239</v>
      </c>
      <c r="F297" s="251" t="s">
        <v>680</v>
      </c>
      <c r="G297" s="251" t="s">
        <v>681</v>
      </c>
      <c r="H297" s="251" t="s">
        <v>682</v>
      </c>
      <c r="I297" s="251" t="s">
        <v>1798</v>
      </c>
      <c r="J297" s="251" t="s">
        <v>3297</v>
      </c>
    </row>
    <row r="298" spans="1:10">
      <c r="A298" s="385">
        <v>296</v>
      </c>
      <c r="B298" s="251" t="s">
        <v>3298</v>
      </c>
      <c r="C298" s="251" t="s">
        <v>3299</v>
      </c>
      <c r="D298" s="251" t="s">
        <v>3300</v>
      </c>
      <c r="E298" s="251" t="s">
        <v>2239</v>
      </c>
      <c r="F298" s="251" t="s">
        <v>680</v>
      </c>
      <c r="G298" s="251" t="s">
        <v>681</v>
      </c>
      <c r="H298" s="251" t="s">
        <v>682</v>
      </c>
      <c r="I298" s="251" t="s">
        <v>1798</v>
      </c>
      <c r="J298" s="251" t="s">
        <v>3301</v>
      </c>
    </row>
    <row r="299" spans="1:10">
      <c r="A299" s="385">
        <v>297</v>
      </c>
      <c r="B299" s="251" t="s">
        <v>3302</v>
      </c>
      <c r="C299" s="251" t="s">
        <v>3303</v>
      </c>
      <c r="D299" s="251" t="s">
        <v>3304</v>
      </c>
      <c r="E299" s="251" t="s">
        <v>2239</v>
      </c>
      <c r="F299" s="251" t="s">
        <v>680</v>
      </c>
      <c r="G299" s="251" t="s">
        <v>681</v>
      </c>
      <c r="H299" s="251" t="s">
        <v>682</v>
      </c>
      <c r="I299" s="251" t="s">
        <v>1798</v>
      </c>
      <c r="J299" s="251" t="s">
        <v>3305</v>
      </c>
    </row>
    <row r="300" spans="1:10">
      <c r="A300" s="385">
        <v>298</v>
      </c>
      <c r="B300" s="251" t="s">
        <v>3306</v>
      </c>
      <c r="C300" s="251" t="s">
        <v>3307</v>
      </c>
      <c r="D300" s="251" t="s">
        <v>2288</v>
      </c>
      <c r="E300" s="251" t="s">
        <v>2239</v>
      </c>
      <c r="F300" s="251" t="s">
        <v>680</v>
      </c>
      <c r="G300" s="251" t="s">
        <v>681</v>
      </c>
      <c r="H300" s="251" t="s">
        <v>682</v>
      </c>
      <c r="I300" s="251" t="s">
        <v>1798</v>
      </c>
      <c r="J300" s="251" t="s">
        <v>3308</v>
      </c>
    </row>
    <row r="301" spans="1:10">
      <c r="A301" s="385">
        <v>299</v>
      </c>
      <c r="B301" s="251" t="s">
        <v>3309</v>
      </c>
      <c r="C301" s="251" t="s">
        <v>3310</v>
      </c>
      <c r="D301" s="251" t="s">
        <v>3311</v>
      </c>
      <c r="E301" s="251" t="s">
        <v>2239</v>
      </c>
      <c r="F301" s="251" t="s">
        <v>680</v>
      </c>
      <c r="G301" s="251" t="s">
        <v>681</v>
      </c>
      <c r="H301" s="251" t="s">
        <v>682</v>
      </c>
      <c r="I301" s="251" t="s">
        <v>1798</v>
      </c>
      <c r="J301" s="251" t="s">
        <v>3312</v>
      </c>
    </row>
    <row r="302" spans="1:10">
      <c r="A302" s="385">
        <v>300</v>
      </c>
      <c r="B302" s="251" t="s">
        <v>3313</v>
      </c>
      <c r="C302" s="251" t="s">
        <v>3314</v>
      </c>
      <c r="D302" s="251" t="s">
        <v>3315</v>
      </c>
      <c r="E302" s="251" t="s">
        <v>2239</v>
      </c>
      <c r="F302" s="251" t="s">
        <v>680</v>
      </c>
      <c r="G302" s="251" t="s">
        <v>681</v>
      </c>
      <c r="H302" s="251" t="s">
        <v>682</v>
      </c>
      <c r="I302" s="251" t="s">
        <v>1798</v>
      </c>
      <c r="J302" s="251" t="s">
        <v>3316</v>
      </c>
    </row>
    <row r="303" spans="1:10">
      <c r="A303" s="385">
        <v>301</v>
      </c>
      <c r="B303" s="251" t="s">
        <v>3317</v>
      </c>
      <c r="C303" s="251" t="s">
        <v>3318</v>
      </c>
      <c r="D303" s="251" t="s">
        <v>3319</v>
      </c>
      <c r="E303" s="251" t="s">
        <v>2239</v>
      </c>
      <c r="F303" s="251" t="s">
        <v>680</v>
      </c>
      <c r="G303" s="251" t="s">
        <v>681</v>
      </c>
      <c r="H303" s="251" t="s">
        <v>682</v>
      </c>
      <c r="I303" s="251" t="s">
        <v>1798</v>
      </c>
      <c r="J303" s="251" t="s">
        <v>3320</v>
      </c>
    </row>
    <row r="304" spans="1:10">
      <c r="A304" s="385">
        <v>302</v>
      </c>
      <c r="B304" s="251" t="s">
        <v>3321</v>
      </c>
      <c r="C304" s="251" t="s">
        <v>3322</v>
      </c>
      <c r="D304" s="251" t="s">
        <v>2809</v>
      </c>
      <c r="E304" s="251" t="s">
        <v>2239</v>
      </c>
      <c r="F304" s="251" t="s">
        <v>680</v>
      </c>
      <c r="G304" s="251" t="s">
        <v>681</v>
      </c>
      <c r="H304" s="251" t="s">
        <v>682</v>
      </c>
      <c r="I304" s="251" t="s">
        <v>1798</v>
      </c>
      <c r="J304" s="251" t="s">
        <v>3323</v>
      </c>
    </row>
    <row r="305" spans="1:10">
      <c r="A305" s="385">
        <v>303</v>
      </c>
      <c r="B305" s="251" t="s">
        <v>3324</v>
      </c>
      <c r="C305" s="251" t="s">
        <v>3325</v>
      </c>
      <c r="D305" s="251" t="s">
        <v>3326</v>
      </c>
      <c r="E305" s="251" t="s">
        <v>2239</v>
      </c>
      <c r="F305" s="251" t="s">
        <v>680</v>
      </c>
      <c r="G305" s="251" t="s">
        <v>681</v>
      </c>
      <c r="H305" s="251" t="s">
        <v>682</v>
      </c>
      <c r="I305" s="251" t="s">
        <v>1798</v>
      </c>
      <c r="J305" s="251" t="s">
        <v>696</v>
      </c>
    </row>
    <row r="306" spans="1:10">
      <c r="A306" s="385">
        <v>304</v>
      </c>
      <c r="B306" s="251" t="s">
        <v>3327</v>
      </c>
      <c r="C306" s="251" t="s">
        <v>3328</v>
      </c>
      <c r="D306" s="251" t="s">
        <v>3329</v>
      </c>
      <c r="E306" s="251" t="s">
        <v>2239</v>
      </c>
      <c r="F306" s="251" t="s">
        <v>680</v>
      </c>
      <c r="G306" s="251" t="s">
        <v>681</v>
      </c>
      <c r="H306" s="251" t="s">
        <v>682</v>
      </c>
      <c r="I306" s="251" t="s">
        <v>1798</v>
      </c>
      <c r="J306" s="251" t="s">
        <v>3330</v>
      </c>
    </row>
    <row r="307" spans="1:10">
      <c r="A307" s="385">
        <v>305</v>
      </c>
      <c r="B307" s="251" t="s">
        <v>3331</v>
      </c>
      <c r="C307" s="251" t="s">
        <v>3332</v>
      </c>
      <c r="D307" s="251" t="s">
        <v>2614</v>
      </c>
      <c r="E307" s="251" t="s">
        <v>2239</v>
      </c>
      <c r="F307" s="251" t="s">
        <v>680</v>
      </c>
      <c r="G307" s="251" t="s">
        <v>681</v>
      </c>
      <c r="H307" s="251" t="s">
        <v>682</v>
      </c>
      <c r="I307" s="251" t="s">
        <v>1798</v>
      </c>
      <c r="J307" s="251" t="s">
        <v>3333</v>
      </c>
    </row>
    <row r="308" spans="1:10">
      <c r="A308" s="385">
        <v>306</v>
      </c>
      <c r="B308" s="251" t="s">
        <v>3334</v>
      </c>
      <c r="C308" s="251" t="s">
        <v>3335</v>
      </c>
      <c r="D308" s="251" t="s">
        <v>3336</v>
      </c>
      <c r="E308" s="251" t="s">
        <v>2239</v>
      </c>
      <c r="F308" s="251" t="s">
        <v>680</v>
      </c>
      <c r="G308" s="251" t="s">
        <v>681</v>
      </c>
      <c r="H308" s="251" t="s">
        <v>682</v>
      </c>
      <c r="I308" s="251" t="s">
        <v>1798</v>
      </c>
      <c r="J308" s="251" t="s">
        <v>3337</v>
      </c>
    </row>
    <row r="309" spans="1:10">
      <c r="A309" s="385">
        <v>307</v>
      </c>
      <c r="B309" s="251" t="s">
        <v>3338</v>
      </c>
      <c r="C309" s="251" t="s">
        <v>3339</v>
      </c>
      <c r="D309" s="251" t="s">
        <v>3340</v>
      </c>
      <c r="E309" s="251" t="s">
        <v>2239</v>
      </c>
      <c r="F309" s="251" t="s">
        <v>680</v>
      </c>
      <c r="G309" s="251" t="s">
        <v>681</v>
      </c>
      <c r="H309" s="251" t="s">
        <v>682</v>
      </c>
      <c r="I309" s="251" t="s">
        <v>1798</v>
      </c>
      <c r="J309" s="251" t="s">
        <v>1863</v>
      </c>
    </row>
    <row r="310" spans="1:10">
      <c r="A310" s="385">
        <v>308</v>
      </c>
      <c r="B310" s="251" t="s">
        <v>3341</v>
      </c>
      <c r="C310" s="251" t="s">
        <v>3342</v>
      </c>
      <c r="D310" s="251" t="s">
        <v>3343</v>
      </c>
      <c r="E310" s="251" t="s">
        <v>2239</v>
      </c>
      <c r="F310" s="251" t="s">
        <v>680</v>
      </c>
      <c r="G310" s="251" t="s">
        <v>681</v>
      </c>
      <c r="H310" s="251" t="s">
        <v>682</v>
      </c>
      <c r="I310" s="251" t="s">
        <v>1798</v>
      </c>
      <c r="J310" s="251" t="s">
        <v>3344</v>
      </c>
    </row>
    <row r="311" spans="1:10">
      <c r="A311" s="385">
        <v>309</v>
      </c>
      <c r="B311" s="251" t="s">
        <v>3345</v>
      </c>
      <c r="C311" s="251" t="s">
        <v>3346</v>
      </c>
      <c r="D311" s="251" t="s">
        <v>3347</v>
      </c>
      <c r="E311" s="251" t="s">
        <v>2239</v>
      </c>
      <c r="F311" s="251" t="s">
        <v>680</v>
      </c>
      <c r="G311" s="251" t="s">
        <v>681</v>
      </c>
      <c r="H311" s="251" t="s">
        <v>682</v>
      </c>
      <c r="I311" s="251" t="s">
        <v>1798</v>
      </c>
      <c r="J311" s="251" t="s">
        <v>3348</v>
      </c>
    </row>
    <row r="312" spans="1:10">
      <c r="A312" s="385">
        <v>310</v>
      </c>
      <c r="B312" s="251" t="s">
        <v>3349</v>
      </c>
      <c r="C312" s="251" t="s">
        <v>3350</v>
      </c>
      <c r="D312" s="251" t="s">
        <v>2408</v>
      </c>
      <c r="E312" s="251" t="s">
        <v>2239</v>
      </c>
      <c r="F312" s="251" t="s">
        <v>680</v>
      </c>
      <c r="G312" s="251" t="s">
        <v>681</v>
      </c>
      <c r="H312" s="251" t="s">
        <v>682</v>
      </c>
      <c r="I312" s="251" t="s">
        <v>1798</v>
      </c>
      <c r="J312" s="251" t="s">
        <v>3351</v>
      </c>
    </row>
    <row r="313" spans="1:10">
      <c r="A313" s="385">
        <v>311</v>
      </c>
      <c r="B313" s="251" t="s">
        <v>3352</v>
      </c>
      <c r="C313" s="251" t="s">
        <v>3353</v>
      </c>
      <c r="D313" s="251" t="s">
        <v>3354</v>
      </c>
      <c r="E313" s="251" t="s">
        <v>2239</v>
      </c>
      <c r="F313" s="251" t="s">
        <v>680</v>
      </c>
      <c r="G313" s="251" t="s">
        <v>681</v>
      </c>
      <c r="H313" s="251" t="s">
        <v>682</v>
      </c>
      <c r="I313" s="251" t="s">
        <v>1764</v>
      </c>
      <c r="J313" s="251" t="s">
        <v>3355</v>
      </c>
    </row>
    <row r="314" spans="1:10">
      <c r="A314" s="385">
        <v>312</v>
      </c>
      <c r="B314" s="251" t="s">
        <v>3356</v>
      </c>
      <c r="C314" s="251" t="s">
        <v>3357</v>
      </c>
      <c r="D314" s="251" t="s">
        <v>3358</v>
      </c>
      <c r="E314" s="251" t="s">
        <v>2239</v>
      </c>
      <c r="F314" s="251" t="s">
        <v>680</v>
      </c>
      <c r="G314" s="251" t="s">
        <v>681</v>
      </c>
      <c r="H314" s="251" t="s">
        <v>682</v>
      </c>
      <c r="I314" s="251" t="s">
        <v>1764</v>
      </c>
      <c r="J314" s="251" t="s">
        <v>3359</v>
      </c>
    </row>
    <row r="315" spans="1:10">
      <c r="A315" s="385">
        <v>313</v>
      </c>
      <c r="B315" s="251" t="s">
        <v>3360</v>
      </c>
      <c r="C315" s="251" t="s">
        <v>3361</v>
      </c>
      <c r="D315" s="251" t="s">
        <v>2358</v>
      </c>
      <c r="E315" s="251" t="s">
        <v>2239</v>
      </c>
      <c r="F315" s="251" t="s">
        <v>680</v>
      </c>
      <c r="G315" s="251" t="s">
        <v>681</v>
      </c>
      <c r="H315" s="251" t="s">
        <v>682</v>
      </c>
      <c r="I315" s="251" t="s">
        <v>1764</v>
      </c>
      <c r="J315" s="251" t="s">
        <v>4540</v>
      </c>
    </row>
    <row r="316" spans="1:10">
      <c r="A316" s="385">
        <v>314</v>
      </c>
      <c r="B316" s="251" t="s">
        <v>3362</v>
      </c>
      <c r="C316" s="251" t="s">
        <v>3363</v>
      </c>
      <c r="D316" s="251" t="s">
        <v>2520</v>
      </c>
      <c r="E316" s="251" t="s">
        <v>2239</v>
      </c>
      <c r="F316" s="251" t="s">
        <v>680</v>
      </c>
      <c r="G316" s="251" t="s">
        <v>681</v>
      </c>
      <c r="H316" s="251" t="s">
        <v>682</v>
      </c>
      <c r="I316" s="251" t="s">
        <v>1764</v>
      </c>
      <c r="J316" s="251" t="s">
        <v>3364</v>
      </c>
    </row>
    <row r="317" spans="1:10">
      <c r="A317" s="385">
        <v>315</v>
      </c>
      <c r="B317" s="251" t="s">
        <v>3365</v>
      </c>
      <c r="C317" s="251" t="s">
        <v>3366</v>
      </c>
      <c r="D317" s="251" t="s">
        <v>3367</v>
      </c>
      <c r="E317" s="251" t="s">
        <v>2239</v>
      </c>
      <c r="F317" s="251" t="s">
        <v>680</v>
      </c>
      <c r="G317" s="251" t="s">
        <v>681</v>
      </c>
      <c r="H317" s="251" t="s">
        <v>682</v>
      </c>
      <c r="I317" s="251" t="s">
        <v>1764</v>
      </c>
      <c r="J317" s="251" t="s">
        <v>3368</v>
      </c>
    </row>
    <row r="318" spans="1:10">
      <c r="A318" s="385">
        <v>316</v>
      </c>
      <c r="B318" s="251" t="s">
        <v>3369</v>
      </c>
      <c r="C318" s="251" t="s">
        <v>3370</v>
      </c>
      <c r="D318" s="251" t="s">
        <v>3371</v>
      </c>
      <c r="E318" s="251" t="s">
        <v>2239</v>
      </c>
      <c r="F318" s="251" t="s">
        <v>680</v>
      </c>
      <c r="G318" s="251" t="s">
        <v>681</v>
      </c>
      <c r="H318" s="251" t="s">
        <v>682</v>
      </c>
      <c r="I318" s="251" t="s">
        <v>1764</v>
      </c>
      <c r="J318" s="251" t="s">
        <v>3359</v>
      </c>
    </row>
    <row r="319" spans="1:10">
      <c r="A319" s="385">
        <v>317</v>
      </c>
      <c r="B319" s="251" t="s">
        <v>3372</v>
      </c>
      <c r="C319" s="251" t="s">
        <v>3373</v>
      </c>
      <c r="D319" s="251" t="s">
        <v>2405</v>
      </c>
      <c r="E319" s="251" t="s">
        <v>2239</v>
      </c>
      <c r="F319" s="251" t="s">
        <v>680</v>
      </c>
      <c r="G319" s="251" t="s">
        <v>681</v>
      </c>
      <c r="H319" s="251" t="s">
        <v>682</v>
      </c>
      <c r="I319" s="251" t="s">
        <v>1764</v>
      </c>
      <c r="J319" s="251" t="s">
        <v>3374</v>
      </c>
    </row>
    <row r="320" spans="1:10">
      <c r="A320" s="385">
        <v>318</v>
      </c>
      <c r="B320" s="251" t="s">
        <v>3375</v>
      </c>
      <c r="C320" s="251" t="s">
        <v>3376</v>
      </c>
      <c r="D320" s="251" t="s">
        <v>3377</v>
      </c>
      <c r="E320" s="251" t="s">
        <v>2239</v>
      </c>
      <c r="F320" s="251" t="s">
        <v>680</v>
      </c>
      <c r="G320" s="251" t="s">
        <v>681</v>
      </c>
      <c r="H320" s="251" t="s">
        <v>682</v>
      </c>
      <c r="I320" s="251" t="s">
        <v>1764</v>
      </c>
      <c r="J320" s="251" t="s">
        <v>3378</v>
      </c>
    </row>
    <row r="321" spans="1:10">
      <c r="A321" s="385">
        <v>319</v>
      </c>
      <c r="B321" s="251" t="s">
        <v>3379</v>
      </c>
      <c r="C321" s="251" t="s">
        <v>3380</v>
      </c>
      <c r="D321" s="251" t="s">
        <v>3381</v>
      </c>
      <c r="E321" s="251" t="s">
        <v>2239</v>
      </c>
      <c r="F321" s="251" t="s">
        <v>680</v>
      </c>
      <c r="G321" s="251" t="s">
        <v>681</v>
      </c>
      <c r="H321" s="251" t="s">
        <v>682</v>
      </c>
      <c r="I321" s="251" t="s">
        <v>1764</v>
      </c>
      <c r="J321" s="251" t="s">
        <v>3382</v>
      </c>
    </row>
    <row r="322" spans="1:10">
      <c r="A322" s="385">
        <v>320</v>
      </c>
      <c r="B322" s="251" t="s">
        <v>3383</v>
      </c>
      <c r="C322" s="251" t="s">
        <v>3384</v>
      </c>
      <c r="D322" s="251" t="s">
        <v>3385</v>
      </c>
      <c r="E322" s="251" t="s">
        <v>2239</v>
      </c>
      <c r="F322" s="251" t="s">
        <v>680</v>
      </c>
      <c r="G322" s="251" t="s">
        <v>681</v>
      </c>
      <c r="H322" s="251" t="s">
        <v>682</v>
      </c>
      <c r="I322" s="251" t="s">
        <v>1764</v>
      </c>
      <c r="J322" s="251" t="s">
        <v>3386</v>
      </c>
    </row>
    <row r="323" spans="1:10">
      <c r="A323" s="385">
        <v>321</v>
      </c>
      <c r="B323" s="251" t="s">
        <v>3387</v>
      </c>
      <c r="C323" s="251" t="s">
        <v>3388</v>
      </c>
      <c r="D323" s="251" t="s">
        <v>2358</v>
      </c>
      <c r="E323" s="251" t="s">
        <v>2239</v>
      </c>
      <c r="F323" s="251" t="s">
        <v>680</v>
      </c>
      <c r="G323" s="251" t="s">
        <v>681</v>
      </c>
      <c r="H323" s="251" t="s">
        <v>682</v>
      </c>
      <c r="I323" s="251" t="s">
        <v>1902</v>
      </c>
      <c r="J323" s="251" t="s">
        <v>3389</v>
      </c>
    </row>
    <row r="324" spans="1:10">
      <c r="A324" s="385">
        <v>322</v>
      </c>
      <c r="B324" s="251" t="s">
        <v>3390</v>
      </c>
      <c r="C324" s="251" t="s">
        <v>3391</v>
      </c>
      <c r="D324" s="251" t="s">
        <v>3392</v>
      </c>
      <c r="E324" s="251" t="s">
        <v>2239</v>
      </c>
      <c r="F324" s="251" t="s">
        <v>680</v>
      </c>
      <c r="G324" s="251" t="s">
        <v>681</v>
      </c>
      <c r="H324" s="251" t="s">
        <v>682</v>
      </c>
      <c r="I324" s="251" t="s">
        <v>1902</v>
      </c>
      <c r="J324" s="251" t="s">
        <v>3393</v>
      </c>
    </row>
    <row r="325" spans="1:10">
      <c r="A325" s="385">
        <v>323</v>
      </c>
      <c r="B325" s="251" t="s">
        <v>3394</v>
      </c>
      <c r="C325" s="251" t="s">
        <v>3395</v>
      </c>
      <c r="D325" s="251" t="s">
        <v>2238</v>
      </c>
      <c r="E325" s="251" t="s">
        <v>2239</v>
      </c>
      <c r="F325" s="251" t="s">
        <v>680</v>
      </c>
      <c r="G325" s="251" t="s">
        <v>681</v>
      </c>
      <c r="H325" s="251" t="s">
        <v>682</v>
      </c>
      <c r="I325" s="251" t="s">
        <v>1902</v>
      </c>
      <c r="J325" s="251" t="s">
        <v>3396</v>
      </c>
    </row>
    <row r="326" spans="1:10">
      <c r="A326" s="385">
        <v>324</v>
      </c>
      <c r="B326" s="251" t="s">
        <v>3397</v>
      </c>
      <c r="C326" s="251" t="s">
        <v>3398</v>
      </c>
      <c r="D326" s="251" t="s">
        <v>3399</v>
      </c>
      <c r="E326" s="251" t="s">
        <v>2239</v>
      </c>
      <c r="F326" s="251" t="s">
        <v>680</v>
      </c>
      <c r="G326" s="251" t="s">
        <v>681</v>
      </c>
      <c r="H326" s="251" t="s">
        <v>682</v>
      </c>
      <c r="I326" s="251" t="s">
        <v>1902</v>
      </c>
      <c r="J326" s="251" t="s">
        <v>1923</v>
      </c>
    </row>
    <row r="327" spans="1:10">
      <c r="A327" s="385">
        <v>325</v>
      </c>
      <c r="B327" s="251" t="s">
        <v>3400</v>
      </c>
      <c r="C327" s="251" t="s">
        <v>3401</v>
      </c>
      <c r="D327" s="251" t="s">
        <v>3402</v>
      </c>
      <c r="E327" s="251" t="s">
        <v>2239</v>
      </c>
      <c r="F327" s="251" t="s">
        <v>680</v>
      </c>
      <c r="G327" s="251" t="s">
        <v>681</v>
      </c>
      <c r="H327" s="251" t="s">
        <v>682</v>
      </c>
      <c r="I327" s="251" t="s">
        <v>1902</v>
      </c>
      <c r="J327" s="251" t="s">
        <v>3403</v>
      </c>
    </row>
    <row r="328" spans="1:10">
      <c r="A328" s="385">
        <v>326</v>
      </c>
      <c r="B328" s="251" t="s">
        <v>3404</v>
      </c>
      <c r="C328" s="251" t="s">
        <v>3405</v>
      </c>
      <c r="D328" s="251" t="s">
        <v>2405</v>
      </c>
      <c r="E328" s="251" t="s">
        <v>2239</v>
      </c>
      <c r="F328" s="251" t="s">
        <v>680</v>
      </c>
      <c r="G328" s="251" t="s">
        <v>681</v>
      </c>
      <c r="H328" s="251" t="s">
        <v>682</v>
      </c>
      <c r="I328" s="251" t="s">
        <v>1902</v>
      </c>
      <c r="J328" s="251" t="s">
        <v>3406</v>
      </c>
    </row>
    <row r="329" spans="1:10">
      <c r="A329" s="385">
        <v>327</v>
      </c>
      <c r="B329" s="251" t="s">
        <v>3407</v>
      </c>
      <c r="C329" s="251" t="s">
        <v>3408</v>
      </c>
      <c r="D329" s="251" t="s">
        <v>3409</v>
      </c>
      <c r="E329" s="251" t="s">
        <v>2239</v>
      </c>
      <c r="F329" s="251" t="s">
        <v>680</v>
      </c>
      <c r="G329" s="251" t="s">
        <v>681</v>
      </c>
      <c r="H329" s="251" t="s">
        <v>682</v>
      </c>
      <c r="I329" s="251" t="s">
        <v>1902</v>
      </c>
      <c r="J329" s="251" t="s">
        <v>1915</v>
      </c>
    </row>
    <row r="330" spans="1:10">
      <c r="A330" s="385">
        <v>328</v>
      </c>
      <c r="B330" s="251" t="s">
        <v>3410</v>
      </c>
      <c r="C330" s="251" t="s">
        <v>3411</v>
      </c>
      <c r="D330" s="251" t="s">
        <v>2438</v>
      </c>
      <c r="E330" s="251" t="s">
        <v>2239</v>
      </c>
      <c r="F330" s="251" t="s">
        <v>680</v>
      </c>
      <c r="G330" s="251" t="s">
        <v>681</v>
      </c>
      <c r="H330" s="251" t="s">
        <v>682</v>
      </c>
      <c r="I330" s="251" t="s">
        <v>1902</v>
      </c>
      <c r="J330" s="251" t="s">
        <v>1937</v>
      </c>
    </row>
    <row r="331" spans="1:10">
      <c r="A331" s="385">
        <v>329</v>
      </c>
      <c r="B331" s="251" t="s">
        <v>3412</v>
      </c>
      <c r="C331" s="251" t="s">
        <v>3413</v>
      </c>
      <c r="D331" s="251" t="s">
        <v>3414</v>
      </c>
      <c r="E331" s="251" t="s">
        <v>2239</v>
      </c>
      <c r="F331" s="251" t="s">
        <v>680</v>
      </c>
      <c r="G331" s="251" t="s">
        <v>681</v>
      </c>
      <c r="H331" s="251" t="s">
        <v>682</v>
      </c>
      <c r="I331" s="251" t="s">
        <v>1962</v>
      </c>
      <c r="J331" s="251" t="s">
        <v>3415</v>
      </c>
    </row>
    <row r="332" spans="1:10">
      <c r="A332" s="385">
        <v>330</v>
      </c>
      <c r="B332" s="251" t="s">
        <v>3416</v>
      </c>
      <c r="C332" s="251" t="s">
        <v>3417</v>
      </c>
      <c r="D332" s="251" t="s">
        <v>3418</v>
      </c>
      <c r="E332" s="251" t="s">
        <v>2239</v>
      </c>
      <c r="F332" s="251" t="s">
        <v>680</v>
      </c>
      <c r="G332" s="251" t="s">
        <v>681</v>
      </c>
      <c r="H332" s="251" t="s">
        <v>682</v>
      </c>
      <c r="I332" s="251" t="s">
        <v>1962</v>
      </c>
      <c r="J332" s="251" t="s">
        <v>3419</v>
      </c>
    </row>
    <row r="333" spans="1:10">
      <c r="A333" s="385">
        <v>331</v>
      </c>
      <c r="B333" s="251" t="s">
        <v>3420</v>
      </c>
      <c r="C333" s="251" t="s">
        <v>3421</v>
      </c>
      <c r="D333" s="251" t="s">
        <v>2472</v>
      </c>
      <c r="E333" s="251" t="s">
        <v>2239</v>
      </c>
      <c r="F333" s="251" t="s">
        <v>680</v>
      </c>
      <c r="G333" s="251" t="s">
        <v>681</v>
      </c>
      <c r="H333" s="251" t="s">
        <v>682</v>
      </c>
      <c r="I333" s="251" t="s">
        <v>1962</v>
      </c>
      <c r="J333" s="251" t="s">
        <v>1989</v>
      </c>
    </row>
    <row r="334" spans="1:10">
      <c r="A334" s="385">
        <v>332</v>
      </c>
      <c r="B334" s="251" t="s">
        <v>3422</v>
      </c>
      <c r="C334" s="251" t="s">
        <v>3423</v>
      </c>
      <c r="D334" s="251" t="s">
        <v>2446</v>
      </c>
      <c r="E334" s="251" t="s">
        <v>2239</v>
      </c>
      <c r="F334" s="251" t="s">
        <v>680</v>
      </c>
      <c r="G334" s="251" t="s">
        <v>681</v>
      </c>
      <c r="H334" s="251" t="s">
        <v>682</v>
      </c>
      <c r="I334" s="251" t="s">
        <v>1962</v>
      </c>
      <c r="J334" s="251" t="s">
        <v>3424</v>
      </c>
    </row>
    <row r="335" spans="1:10">
      <c r="A335" s="385">
        <v>333</v>
      </c>
      <c r="B335" s="251" t="s">
        <v>3425</v>
      </c>
      <c r="C335" s="251" t="s">
        <v>3426</v>
      </c>
      <c r="D335" s="251" t="s">
        <v>3427</v>
      </c>
      <c r="E335" s="251" t="s">
        <v>2239</v>
      </c>
      <c r="F335" s="251" t="s">
        <v>680</v>
      </c>
      <c r="G335" s="251" t="s">
        <v>681</v>
      </c>
      <c r="H335" s="251" t="s">
        <v>682</v>
      </c>
      <c r="I335" s="251" t="s">
        <v>1962</v>
      </c>
      <c r="J335" s="251" t="s">
        <v>3428</v>
      </c>
    </row>
    <row r="336" spans="1:10">
      <c r="A336" s="385">
        <v>334</v>
      </c>
      <c r="B336" s="251" t="s">
        <v>3429</v>
      </c>
      <c r="C336" s="251" t="s">
        <v>3430</v>
      </c>
      <c r="D336" s="251" t="s">
        <v>2266</v>
      </c>
      <c r="E336" s="251" t="s">
        <v>2239</v>
      </c>
      <c r="F336" s="251" t="s">
        <v>680</v>
      </c>
      <c r="G336" s="251" t="s">
        <v>681</v>
      </c>
      <c r="H336" s="251" t="s">
        <v>682</v>
      </c>
      <c r="I336" s="251" t="s">
        <v>1962</v>
      </c>
      <c r="J336" s="251" t="s">
        <v>3431</v>
      </c>
    </row>
    <row r="337" spans="1:10">
      <c r="A337" s="385">
        <v>335</v>
      </c>
      <c r="B337" s="251" t="s">
        <v>3432</v>
      </c>
      <c r="C337" s="251" t="s">
        <v>3433</v>
      </c>
      <c r="D337" s="251" t="s">
        <v>3434</v>
      </c>
      <c r="E337" s="251" t="s">
        <v>2239</v>
      </c>
      <c r="F337" s="251" t="s">
        <v>680</v>
      </c>
      <c r="G337" s="251" t="s">
        <v>681</v>
      </c>
      <c r="H337" s="251" t="s">
        <v>682</v>
      </c>
      <c r="I337" s="251" t="s">
        <v>1962</v>
      </c>
      <c r="J337" s="251" t="s">
        <v>3435</v>
      </c>
    </row>
    <row r="338" spans="1:10">
      <c r="A338" s="385">
        <v>336</v>
      </c>
      <c r="B338" s="251" t="s">
        <v>3436</v>
      </c>
      <c r="C338" s="251" t="s">
        <v>3437</v>
      </c>
      <c r="D338" s="251" t="s">
        <v>3438</v>
      </c>
      <c r="E338" s="251" t="s">
        <v>2239</v>
      </c>
      <c r="F338" s="251" t="s">
        <v>680</v>
      </c>
      <c r="G338" s="251" t="s">
        <v>681</v>
      </c>
      <c r="H338" s="251" t="s">
        <v>682</v>
      </c>
      <c r="I338" s="251" t="s">
        <v>1962</v>
      </c>
      <c r="J338" s="251" t="s">
        <v>696</v>
      </c>
    </row>
    <row r="339" spans="1:10">
      <c r="A339" s="385">
        <v>337</v>
      </c>
      <c r="B339" s="251" t="s">
        <v>3439</v>
      </c>
      <c r="C339" s="251" t="s">
        <v>3440</v>
      </c>
      <c r="D339" s="251" t="s">
        <v>2438</v>
      </c>
      <c r="E339" s="251" t="s">
        <v>2239</v>
      </c>
      <c r="F339" s="251" t="s">
        <v>680</v>
      </c>
      <c r="G339" s="251" t="s">
        <v>681</v>
      </c>
      <c r="H339" s="251" t="s">
        <v>682</v>
      </c>
      <c r="I339" s="251" t="s">
        <v>1962</v>
      </c>
      <c r="J339" s="251" t="s">
        <v>3441</v>
      </c>
    </row>
    <row r="340" spans="1:10">
      <c r="A340" s="385">
        <v>338</v>
      </c>
      <c r="B340" s="251" t="s">
        <v>3442</v>
      </c>
      <c r="C340" s="251" t="s">
        <v>3443</v>
      </c>
      <c r="D340" s="251" t="s">
        <v>3444</v>
      </c>
      <c r="E340" s="251" t="s">
        <v>2239</v>
      </c>
      <c r="F340" s="251" t="s">
        <v>680</v>
      </c>
      <c r="G340" s="251" t="s">
        <v>681</v>
      </c>
      <c r="H340" s="251" t="s">
        <v>682</v>
      </c>
      <c r="I340" s="251" t="s">
        <v>1962</v>
      </c>
      <c r="J340" s="251" t="s">
        <v>3445</v>
      </c>
    </row>
    <row r="341" spans="1:10">
      <c r="A341" s="385">
        <v>339</v>
      </c>
      <c r="B341" s="251" t="s">
        <v>3446</v>
      </c>
      <c r="C341" s="251" t="s">
        <v>3447</v>
      </c>
      <c r="D341" s="251" t="s">
        <v>2735</v>
      </c>
      <c r="E341" s="251" t="s">
        <v>2239</v>
      </c>
      <c r="F341" s="251" t="s">
        <v>680</v>
      </c>
      <c r="G341" s="251" t="s">
        <v>681</v>
      </c>
      <c r="H341" s="251" t="s">
        <v>682</v>
      </c>
      <c r="I341" s="251" t="s">
        <v>1962</v>
      </c>
      <c r="J341" s="251" t="s">
        <v>3448</v>
      </c>
    </row>
    <row r="342" spans="1:10">
      <c r="A342" s="385">
        <v>340</v>
      </c>
      <c r="B342" s="251" t="s">
        <v>3449</v>
      </c>
      <c r="C342" s="251" t="s">
        <v>3450</v>
      </c>
      <c r="D342" s="251" t="s">
        <v>2621</v>
      </c>
      <c r="E342" s="251" t="s">
        <v>2239</v>
      </c>
      <c r="F342" s="251" t="s">
        <v>680</v>
      </c>
      <c r="G342" s="251" t="s">
        <v>681</v>
      </c>
      <c r="H342" s="251" t="s">
        <v>682</v>
      </c>
      <c r="I342" s="251" t="s">
        <v>1962</v>
      </c>
      <c r="J342" s="251" t="s">
        <v>3451</v>
      </c>
    </row>
    <row r="343" spans="1:10">
      <c r="A343" s="385">
        <v>341</v>
      </c>
      <c r="B343" s="251" t="s">
        <v>3452</v>
      </c>
      <c r="C343" s="251" t="s">
        <v>3453</v>
      </c>
      <c r="D343" s="251" t="s">
        <v>2552</v>
      </c>
      <c r="E343" s="251" t="s">
        <v>2239</v>
      </c>
      <c r="F343" s="251" t="s">
        <v>680</v>
      </c>
      <c r="G343" s="251" t="s">
        <v>681</v>
      </c>
      <c r="H343" s="251" t="s">
        <v>682</v>
      </c>
      <c r="I343" s="251" t="s">
        <v>1962</v>
      </c>
      <c r="J343" s="251" t="s">
        <v>3454</v>
      </c>
    </row>
    <row r="344" spans="1:10" s="264" customFormat="1">
      <c r="A344" s="385">
        <v>342</v>
      </c>
      <c r="B344" s="263" t="s">
        <v>3455</v>
      </c>
      <c r="C344" s="263" t="s">
        <v>3456</v>
      </c>
      <c r="D344" s="263" t="s">
        <v>3457</v>
      </c>
      <c r="E344" s="263" t="s">
        <v>2239</v>
      </c>
      <c r="F344" s="263" t="s">
        <v>680</v>
      </c>
      <c r="G344" s="263" t="s">
        <v>681</v>
      </c>
      <c r="H344" s="263" t="s">
        <v>682</v>
      </c>
      <c r="I344" s="263" t="s">
        <v>2234</v>
      </c>
      <c r="J344" s="263" t="s">
        <v>3458</v>
      </c>
    </row>
    <row r="345" spans="1:10" s="264" customFormat="1">
      <c r="A345" s="385">
        <v>343</v>
      </c>
      <c r="B345" s="263" t="s">
        <v>3459</v>
      </c>
      <c r="C345" s="263" t="s">
        <v>3460</v>
      </c>
      <c r="D345" s="263" t="s">
        <v>2284</v>
      </c>
      <c r="E345" s="263" t="s">
        <v>2239</v>
      </c>
      <c r="F345" s="263" t="s">
        <v>680</v>
      </c>
      <c r="G345" s="263" t="s">
        <v>681</v>
      </c>
      <c r="H345" s="263" t="s">
        <v>682</v>
      </c>
      <c r="I345" s="263" t="s">
        <v>2234</v>
      </c>
      <c r="J345" s="263" t="s">
        <v>3461</v>
      </c>
    </row>
    <row r="346" spans="1:10" s="264" customFormat="1">
      <c r="A346" s="385">
        <v>344</v>
      </c>
      <c r="B346" s="263" t="s">
        <v>3462</v>
      </c>
      <c r="C346" s="263" t="s">
        <v>3463</v>
      </c>
      <c r="D346" s="263" t="s">
        <v>3464</v>
      </c>
      <c r="E346" s="263" t="s">
        <v>2239</v>
      </c>
      <c r="F346" s="263" t="s">
        <v>680</v>
      </c>
      <c r="G346" s="263" t="s">
        <v>681</v>
      </c>
      <c r="H346" s="263" t="s">
        <v>682</v>
      </c>
      <c r="I346" s="263" t="s">
        <v>2234</v>
      </c>
      <c r="J346" s="263" t="s">
        <v>3465</v>
      </c>
    </row>
    <row r="347" spans="1:10" s="264" customFormat="1">
      <c r="A347" s="385">
        <v>345</v>
      </c>
      <c r="B347" s="263" t="s">
        <v>3466</v>
      </c>
      <c r="C347" s="263" t="s">
        <v>3467</v>
      </c>
      <c r="D347" s="263" t="s">
        <v>2465</v>
      </c>
      <c r="E347" s="263" t="s">
        <v>2239</v>
      </c>
      <c r="F347" s="263" t="s">
        <v>680</v>
      </c>
      <c r="G347" s="263" t="s">
        <v>681</v>
      </c>
      <c r="H347" s="263" t="s">
        <v>682</v>
      </c>
      <c r="I347" s="263" t="s">
        <v>2234</v>
      </c>
      <c r="J347" s="263" t="s">
        <v>3468</v>
      </c>
    </row>
    <row r="348" spans="1:10" s="264" customFormat="1">
      <c r="A348" s="385">
        <v>346</v>
      </c>
      <c r="B348" s="263" t="s">
        <v>3469</v>
      </c>
      <c r="C348" s="263" t="s">
        <v>3470</v>
      </c>
      <c r="D348" s="263" t="s">
        <v>2277</v>
      </c>
      <c r="E348" s="263" t="s">
        <v>2239</v>
      </c>
      <c r="F348" s="263" t="s">
        <v>680</v>
      </c>
      <c r="G348" s="263" t="s">
        <v>681</v>
      </c>
      <c r="H348" s="263" t="s">
        <v>682</v>
      </c>
      <c r="I348" s="263" t="s">
        <v>2234</v>
      </c>
      <c r="J348" s="263" t="s">
        <v>2047</v>
      </c>
    </row>
    <row r="349" spans="1:10" s="264" customFormat="1">
      <c r="A349" s="385">
        <v>347</v>
      </c>
      <c r="B349" s="263" t="s">
        <v>3471</v>
      </c>
      <c r="C349" s="263" t="s">
        <v>3472</v>
      </c>
      <c r="D349" s="263" t="s">
        <v>3473</v>
      </c>
      <c r="E349" s="263" t="s">
        <v>2239</v>
      </c>
      <c r="F349" s="263" t="s">
        <v>680</v>
      </c>
      <c r="G349" s="263" t="s">
        <v>681</v>
      </c>
      <c r="H349" s="263" t="s">
        <v>682</v>
      </c>
      <c r="I349" s="263" t="s">
        <v>2234</v>
      </c>
      <c r="J349" s="263" t="s">
        <v>2060</v>
      </c>
    </row>
    <row r="350" spans="1:10" s="264" customFormat="1">
      <c r="A350" s="385">
        <v>348</v>
      </c>
      <c r="B350" s="263" t="s">
        <v>3474</v>
      </c>
      <c r="C350" s="263" t="s">
        <v>3475</v>
      </c>
      <c r="D350" s="263" t="s">
        <v>2472</v>
      </c>
      <c r="E350" s="263" t="s">
        <v>2239</v>
      </c>
      <c r="F350" s="263" t="s">
        <v>680</v>
      </c>
      <c r="G350" s="263" t="s">
        <v>681</v>
      </c>
      <c r="H350" s="263" t="s">
        <v>682</v>
      </c>
      <c r="I350" s="263" t="s">
        <v>2234</v>
      </c>
      <c r="J350" s="263" t="s">
        <v>3476</v>
      </c>
    </row>
    <row r="351" spans="1:10" s="264" customFormat="1">
      <c r="A351" s="385">
        <v>349</v>
      </c>
      <c r="B351" s="263" t="s">
        <v>3477</v>
      </c>
      <c r="C351" s="263" t="s">
        <v>3478</v>
      </c>
      <c r="D351" s="263" t="s">
        <v>3479</v>
      </c>
      <c r="E351" s="263" t="s">
        <v>2239</v>
      </c>
      <c r="F351" s="263" t="s">
        <v>680</v>
      </c>
      <c r="G351" s="263" t="s">
        <v>681</v>
      </c>
      <c r="H351" s="263" t="s">
        <v>682</v>
      </c>
      <c r="I351" s="263" t="s">
        <v>2234</v>
      </c>
      <c r="J351" s="263" t="s">
        <v>2050</v>
      </c>
    </row>
    <row r="352" spans="1:10" s="264" customFormat="1">
      <c r="A352" s="385">
        <v>350</v>
      </c>
      <c r="B352" s="263" t="s">
        <v>3480</v>
      </c>
      <c r="C352" s="263" t="s">
        <v>3481</v>
      </c>
      <c r="D352" s="263" t="s">
        <v>3482</v>
      </c>
      <c r="E352" s="263" t="s">
        <v>2239</v>
      </c>
      <c r="F352" s="263" t="s">
        <v>680</v>
      </c>
      <c r="G352" s="263" t="s">
        <v>681</v>
      </c>
      <c r="H352" s="263" t="s">
        <v>682</v>
      </c>
      <c r="I352" s="263" t="s">
        <v>2234</v>
      </c>
      <c r="J352" s="263" t="s">
        <v>3483</v>
      </c>
    </row>
    <row r="353" spans="1:10" s="264" customFormat="1">
      <c r="A353" s="385">
        <v>351</v>
      </c>
      <c r="B353" s="263" t="s">
        <v>3484</v>
      </c>
      <c r="C353" s="263" t="s">
        <v>3485</v>
      </c>
      <c r="D353" s="263" t="s">
        <v>3486</v>
      </c>
      <c r="E353" s="263" t="s">
        <v>2239</v>
      </c>
      <c r="F353" s="263" t="s">
        <v>680</v>
      </c>
      <c r="G353" s="263" t="s">
        <v>681</v>
      </c>
      <c r="H353" s="263" t="s">
        <v>682</v>
      </c>
      <c r="I353" s="263" t="s">
        <v>2234</v>
      </c>
      <c r="J353" s="263" t="s">
        <v>3487</v>
      </c>
    </row>
    <row r="354" spans="1:10" s="264" customFormat="1">
      <c r="A354" s="385">
        <v>352</v>
      </c>
      <c r="B354" s="263" t="s">
        <v>3488</v>
      </c>
      <c r="C354" s="263" t="s">
        <v>3489</v>
      </c>
      <c r="D354" s="263" t="s">
        <v>3048</v>
      </c>
      <c r="E354" s="263" t="s">
        <v>2239</v>
      </c>
      <c r="F354" s="263" t="s">
        <v>680</v>
      </c>
      <c r="G354" s="263" t="s">
        <v>681</v>
      </c>
      <c r="H354" s="263" t="s">
        <v>682</v>
      </c>
      <c r="I354" s="263" t="s">
        <v>2234</v>
      </c>
      <c r="J354" s="263" t="s">
        <v>3490</v>
      </c>
    </row>
    <row r="355" spans="1:10" s="264" customFormat="1">
      <c r="A355" s="385">
        <v>353</v>
      </c>
      <c r="B355" s="263" t="s">
        <v>3491</v>
      </c>
      <c r="C355" s="263" t="s">
        <v>3492</v>
      </c>
      <c r="D355" s="263" t="s">
        <v>3493</v>
      </c>
      <c r="E355" s="263" t="s">
        <v>2239</v>
      </c>
      <c r="F355" s="263" t="s">
        <v>680</v>
      </c>
      <c r="G355" s="263" t="s">
        <v>681</v>
      </c>
      <c r="H355" s="263" t="s">
        <v>682</v>
      </c>
      <c r="I355" s="263" t="s">
        <v>2234</v>
      </c>
      <c r="J355" s="263" t="s">
        <v>3494</v>
      </c>
    </row>
    <row r="356" spans="1:10" s="264" customFormat="1">
      <c r="A356" s="385">
        <v>354</v>
      </c>
      <c r="B356" s="263" t="s">
        <v>3495</v>
      </c>
      <c r="C356" s="263" t="s">
        <v>3496</v>
      </c>
      <c r="D356" s="263" t="s">
        <v>2599</v>
      </c>
      <c r="E356" s="263" t="s">
        <v>2239</v>
      </c>
      <c r="F356" s="263" t="s">
        <v>680</v>
      </c>
      <c r="G356" s="263" t="s">
        <v>681</v>
      </c>
      <c r="H356" s="263" t="s">
        <v>682</v>
      </c>
      <c r="I356" s="263" t="s">
        <v>2234</v>
      </c>
      <c r="J356" s="263" t="s">
        <v>3497</v>
      </c>
    </row>
    <row r="357" spans="1:10" s="264" customFormat="1">
      <c r="A357" s="385">
        <v>355</v>
      </c>
      <c r="B357" s="263" t="s">
        <v>3498</v>
      </c>
      <c r="C357" s="263" t="s">
        <v>3499</v>
      </c>
      <c r="D357" s="263" t="s">
        <v>2266</v>
      </c>
      <c r="E357" s="263" t="s">
        <v>2239</v>
      </c>
      <c r="F357" s="263" t="s">
        <v>680</v>
      </c>
      <c r="G357" s="263" t="s">
        <v>681</v>
      </c>
      <c r="H357" s="263" t="s">
        <v>682</v>
      </c>
      <c r="I357" s="263" t="s">
        <v>2234</v>
      </c>
      <c r="J357" s="263" t="s">
        <v>3500</v>
      </c>
    </row>
    <row r="358" spans="1:10" s="264" customFormat="1">
      <c r="A358" s="385">
        <v>356</v>
      </c>
      <c r="B358" s="263" t="s">
        <v>3501</v>
      </c>
      <c r="C358" s="263" t="s">
        <v>3502</v>
      </c>
      <c r="D358" s="263" t="s">
        <v>2599</v>
      </c>
      <c r="E358" s="263" t="s">
        <v>2239</v>
      </c>
      <c r="F358" s="263" t="s">
        <v>680</v>
      </c>
      <c r="G358" s="263" t="s">
        <v>681</v>
      </c>
      <c r="H358" s="263" t="s">
        <v>682</v>
      </c>
      <c r="I358" s="263" t="s">
        <v>2234</v>
      </c>
      <c r="J358" s="263" t="s">
        <v>3503</v>
      </c>
    </row>
    <row r="359" spans="1:10" s="264" customFormat="1">
      <c r="A359" s="385">
        <v>357</v>
      </c>
      <c r="B359" s="263" t="s">
        <v>3504</v>
      </c>
      <c r="C359" s="263" t="s">
        <v>3505</v>
      </c>
      <c r="D359" s="263" t="s">
        <v>3506</v>
      </c>
      <c r="E359" s="263" t="s">
        <v>2239</v>
      </c>
      <c r="F359" s="263" t="s">
        <v>680</v>
      </c>
      <c r="G359" s="263" t="s">
        <v>681</v>
      </c>
      <c r="H359" s="263" t="s">
        <v>682</v>
      </c>
      <c r="I359" s="263" t="s">
        <v>2234</v>
      </c>
      <c r="J359" s="263" t="s">
        <v>3507</v>
      </c>
    </row>
    <row r="360" spans="1:10" s="264" customFormat="1">
      <c r="A360" s="385">
        <v>358</v>
      </c>
      <c r="B360" s="263" t="s">
        <v>3508</v>
      </c>
      <c r="C360" s="263" t="s">
        <v>3509</v>
      </c>
      <c r="D360" s="263" t="s">
        <v>2472</v>
      </c>
      <c r="E360" s="263" t="s">
        <v>2239</v>
      </c>
      <c r="F360" s="263" t="s">
        <v>680</v>
      </c>
      <c r="G360" s="263" t="s">
        <v>681</v>
      </c>
      <c r="H360" s="263" t="s">
        <v>682</v>
      </c>
      <c r="I360" s="263" t="s">
        <v>2234</v>
      </c>
      <c r="J360" s="263" t="s">
        <v>2020</v>
      </c>
    </row>
    <row r="361" spans="1:10" s="264" customFormat="1">
      <c r="A361" s="385">
        <v>359</v>
      </c>
      <c r="B361" s="263" t="s">
        <v>3510</v>
      </c>
      <c r="C361" s="263" t="s">
        <v>3511</v>
      </c>
      <c r="D361" s="263" t="s">
        <v>3512</v>
      </c>
      <c r="E361" s="263" t="s">
        <v>2239</v>
      </c>
      <c r="F361" s="263" t="s">
        <v>680</v>
      </c>
      <c r="G361" s="263" t="s">
        <v>681</v>
      </c>
      <c r="H361" s="263" t="s">
        <v>682</v>
      </c>
      <c r="I361" s="263" t="s">
        <v>2234</v>
      </c>
      <c r="J361" s="263" t="s">
        <v>3513</v>
      </c>
    </row>
    <row r="362" spans="1:10" s="264" customFormat="1">
      <c r="A362" s="385">
        <v>360</v>
      </c>
      <c r="B362" s="263" t="s">
        <v>3514</v>
      </c>
      <c r="C362" s="263" t="s">
        <v>3515</v>
      </c>
      <c r="D362" s="263" t="s">
        <v>2300</v>
      </c>
      <c r="E362" s="263" t="s">
        <v>2239</v>
      </c>
      <c r="F362" s="263" t="s">
        <v>680</v>
      </c>
      <c r="G362" s="263" t="s">
        <v>681</v>
      </c>
      <c r="H362" s="263" t="s">
        <v>682</v>
      </c>
      <c r="I362" s="263" t="s">
        <v>2234</v>
      </c>
      <c r="J362" s="263" t="s">
        <v>3516</v>
      </c>
    </row>
    <row r="363" spans="1:10" s="264" customFormat="1">
      <c r="A363" s="385">
        <v>361</v>
      </c>
      <c r="B363" s="263" t="s">
        <v>3517</v>
      </c>
      <c r="C363" s="263" t="s">
        <v>3518</v>
      </c>
      <c r="D363" s="263" t="s">
        <v>3340</v>
      </c>
      <c r="E363" s="263" t="s">
        <v>2239</v>
      </c>
      <c r="F363" s="263" t="s">
        <v>680</v>
      </c>
      <c r="G363" s="263" t="s">
        <v>681</v>
      </c>
      <c r="H363" s="263" t="s">
        <v>682</v>
      </c>
      <c r="I363" s="263" t="s">
        <v>2234</v>
      </c>
      <c r="J363" s="263" t="s">
        <v>3519</v>
      </c>
    </row>
    <row r="364" spans="1:10" s="264" customFormat="1">
      <c r="A364" s="385">
        <v>362</v>
      </c>
      <c r="B364" s="263" t="s">
        <v>3520</v>
      </c>
      <c r="C364" s="263" t="s">
        <v>3521</v>
      </c>
      <c r="D364" s="263" t="s">
        <v>3522</v>
      </c>
      <c r="E364" s="263" t="s">
        <v>2239</v>
      </c>
      <c r="F364" s="263" t="s">
        <v>680</v>
      </c>
      <c r="G364" s="263" t="s">
        <v>681</v>
      </c>
      <c r="H364" s="263" t="s">
        <v>682</v>
      </c>
      <c r="I364" s="263" t="s">
        <v>2234</v>
      </c>
      <c r="J364" s="263" t="s">
        <v>3523</v>
      </c>
    </row>
    <row r="365" spans="1:10" s="264" customFormat="1">
      <c r="A365" s="385">
        <v>363</v>
      </c>
      <c r="B365" s="263" t="s">
        <v>3524</v>
      </c>
      <c r="C365" s="263" t="s">
        <v>3525</v>
      </c>
      <c r="D365" s="263" t="s">
        <v>3526</v>
      </c>
      <c r="E365" s="263" t="s">
        <v>2239</v>
      </c>
      <c r="F365" s="263" t="s">
        <v>680</v>
      </c>
      <c r="G365" s="263" t="s">
        <v>681</v>
      </c>
      <c r="H365" s="263" t="s">
        <v>682</v>
      </c>
      <c r="I365" s="263" t="s">
        <v>2234</v>
      </c>
      <c r="J365" s="263" t="s">
        <v>3527</v>
      </c>
    </row>
    <row r="366" spans="1:10" s="264" customFormat="1">
      <c r="A366" s="385">
        <v>364</v>
      </c>
      <c r="B366" s="263" t="s">
        <v>3528</v>
      </c>
      <c r="C366" s="263" t="s">
        <v>3529</v>
      </c>
      <c r="D366" s="263" t="s">
        <v>2520</v>
      </c>
      <c r="E366" s="263" t="s">
        <v>2239</v>
      </c>
      <c r="F366" s="263" t="s">
        <v>680</v>
      </c>
      <c r="G366" s="263" t="s">
        <v>681</v>
      </c>
      <c r="H366" s="263" t="s">
        <v>682</v>
      </c>
      <c r="I366" s="263" t="s">
        <v>2235</v>
      </c>
      <c r="J366" s="263" t="s">
        <v>3530</v>
      </c>
    </row>
    <row r="367" spans="1:10" s="264" customFormat="1">
      <c r="A367" s="385">
        <v>365</v>
      </c>
      <c r="B367" s="263" t="s">
        <v>3531</v>
      </c>
      <c r="C367" s="263" t="s">
        <v>3532</v>
      </c>
      <c r="D367" s="263" t="s">
        <v>2266</v>
      </c>
      <c r="E367" s="263" t="s">
        <v>2239</v>
      </c>
      <c r="F367" s="263" t="s">
        <v>680</v>
      </c>
      <c r="G367" s="263" t="s">
        <v>681</v>
      </c>
      <c r="H367" s="263" t="s">
        <v>682</v>
      </c>
      <c r="I367" s="263" t="s">
        <v>2235</v>
      </c>
      <c r="J367" s="263" t="s">
        <v>3533</v>
      </c>
    </row>
    <row r="368" spans="1:10" s="264" customFormat="1">
      <c r="A368" s="385">
        <v>366</v>
      </c>
      <c r="B368" s="263" t="s">
        <v>3534</v>
      </c>
      <c r="C368" s="263" t="s">
        <v>3535</v>
      </c>
      <c r="D368" s="263" t="s">
        <v>3536</v>
      </c>
      <c r="E368" s="263" t="s">
        <v>2239</v>
      </c>
      <c r="F368" s="263" t="s">
        <v>680</v>
      </c>
      <c r="G368" s="263" t="s">
        <v>681</v>
      </c>
      <c r="H368" s="263" t="s">
        <v>682</v>
      </c>
      <c r="I368" s="263" t="s">
        <v>2235</v>
      </c>
      <c r="J368" s="263" t="s">
        <v>3537</v>
      </c>
    </row>
    <row r="369" spans="1:10" s="264" customFormat="1">
      <c r="A369" s="385">
        <v>367</v>
      </c>
      <c r="B369" s="263" t="s">
        <v>3538</v>
      </c>
      <c r="C369" s="263" t="s">
        <v>3539</v>
      </c>
      <c r="D369" s="263" t="s">
        <v>3540</v>
      </c>
      <c r="E369" s="263" t="s">
        <v>2239</v>
      </c>
      <c r="F369" s="263" t="s">
        <v>680</v>
      </c>
      <c r="G369" s="263" t="s">
        <v>681</v>
      </c>
      <c r="H369" s="263" t="s">
        <v>682</v>
      </c>
      <c r="I369" s="263" t="s">
        <v>2235</v>
      </c>
      <c r="J369" s="263" t="s">
        <v>3541</v>
      </c>
    </row>
    <row r="370" spans="1:10" s="264" customFormat="1">
      <c r="A370" s="385">
        <v>368</v>
      </c>
      <c r="B370" s="263" t="s">
        <v>3542</v>
      </c>
      <c r="C370" s="263" t="s">
        <v>3543</v>
      </c>
      <c r="D370" s="263" t="s">
        <v>3544</v>
      </c>
      <c r="E370" s="263" t="s">
        <v>2239</v>
      </c>
      <c r="F370" s="263" t="s">
        <v>680</v>
      </c>
      <c r="G370" s="263" t="s">
        <v>681</v>
      </c>
      <c r="H370" s="263" t="s">
        <v>682</v>
      </c>
      <c r="I370" s="263" t="s">
        <v>2235</v>
      </c>
      <c r="J370" s="263" t="s">
        <v>2096</v>
      </c>
    </row>
    <row r="371" spans="1:10" s="264" customFormat="1">
      <c r="A371" s="385">
        <v>369</v>
      </c>
      <c r="B371" s="263" t="s">
        <v>3545</v>
      </c>
      <c r="C371" s="263" t="s">
        <v>3546</v>
      </c>
      <c r="D371" s="263" t="s">
        <v>2472</v>
      </c>
      <c r="E371" s="263" t="s">
        <v>2239</v>
      </c>
      <c r="F371" s="263" t="s">
        <v>680</v>
      </c>
      <c r="G371" s="263" t="s">
        <v>681</v>
      </c>
      <c r="H371" s="263" t="s">
        <v>682</v>
      </c>
      <c r="I371" s="263" t="s">
        <v>2235</v>
      </c>
      <c r="J371" s="263" t="s">
        <v>2113</v>
      </c>
    </row>
    <row r="372" spans="1:10" s="264" customFormat="1">
      <c r="A372" s="385">
        <v>370</v>
      </c>
      <c r="B372" s="263" t="s">
        <v>3547</v>
      </c>
      <c r="C372" s="263" t="s">
        <v>3548</v>
      </c>
      <c r="D372" s="263" t="s">
        <v>3549</v>
      </c>
      <c r="E372" s="263" t="s">
        <v>2239</v>
      </c>
      <c r="F372" s="263" t="s">
        <v>680</v>
      </c>
      <c r="G372" s="263" t="s">
        <v>681</v>
      </c>
      <c r="H372" s="263" t="s">
        <v>682</v>
      </c>
      <c r="I372" s="263" t="s">
        <v>2235</v>
      </c>
      <c r="J372" s="263" t="s">
        <v>3550</v>
      </c>
    </row>
    <row r="373" spans="1:10" s="264" customFormat="1">
      <c r="A373" s="385">
        <v>371</v>
      </c>
      <c r="B373" s="263" t="s">
        <v>3551</v>
      </c>
      <c r="C373" s="263" t="s">
        <v>3552</v>
      </c>
      <c r="D373" s="263" t="s">
        <v>3553</v>
      </c>
      <c r="E373" s="263" t="s">
        <v>2239</v>
      </c>
      <c r="F373" s="263" t="s">
        <v>680</v>
      </c>
      <c r="G373" s="263" t="s">
        <v>681</v>
      </c>
      <c r="H373" s="263" t="s">
        <v>682</v>
      </c>
      <c r="I373" s="263" t="s">
        <v>2235</v>
      </c>
      <c r="J373" s="263" t="s">
        <v>3554</v>
      </c>
    </row>
    <row r="374" spans="1:10" s="264" customFormat="1">
      <c r="A374" s="385">
        <v>372</v>
      </c>
      <c r="B374" s="263" t="s">
        <v>3555</v>
      </c>
      <c r="C374" s="263" t="s">
        <v>3556</v>
      </c>
      <c r="D374" s="263" t="s">
        <v>2277</v>
      </c>
      <c r="E374" s="263" t="s">
        <v>2239</v>
      </c>
      <c r="F374" s="263" t="s">
        <v>680</v>
      </c>
      <c r="G374" s="263" t="s">
        <v>681</v>
      </c>
      <c r="H374" s="263" t="s">
        <v>682</v>
      </c>
      <c r="I374" s="263" t="s">
        <v>2235</v>
      </c>
      <c r="J374" s="263" t="s">
        <v>3557</v>
      </c>
    </row>
    <row r="375" spans="1:10" s="264" customFormat="1">
      <c r="A375" s="385">
        <v>373</v>
      </c>
      <c r="B375" s="263" t="s">
        <v>3558</v>
      </c>
      <c r="C375" s="263" t="s">
        <v>3559</v>
      </c>
      <c r="D375" s="263" t="s">
        <v>2599</v>
      </c>
      <c r="E375" s="263" t="s">
        <v>2239</v>
      </c>
      <c r="F375" s="263" t="s">
        <v>680</v>
      </c>
      <c r="G375" s="263" t="s">
        <v>681</v>
      </c>
      <c r="H375" s="263" t="s">
        <v>682</v>
      </c>
      <c r="I375" s="263" t="s">
        <v>2235</v>
      </c>
      <c r="J375" s="263" t="s">
        <v>3560</v>
      </c>
    </row>
    <row r="376" spans="1:10" s="264" customFormat="1">
      <c r="A376" s="385">
        <v>374</v>
      </c>
      <c r="B376" s="263" t="s">
        <v>3561</v>
      </c>
      <c r="C376" s="263" t="s">
        <v>3562</v>
      </c>
      <c r="D376" s="263" t="s">
        <v>2288</v>
      </c>
      <c r="E376" s="263" t="s">
        <v>2239</v>
      </c>
      <c r="F376" s="263" t="s">
        <v>680</v>
      </c>
      <c r="G376" s="263" t="s">
        <v>681</v>
      </c>
      <c r="H376" s="263" t="s">
        <v>682</v>
      </c>
      <c r="I376" s="263" t="s">
        <v>2235</v>
      </c>
      <c r="J376" s="263" t="s">
        <v>3563</v>
      </c>
    </row>
    <row r="377" spans="1:10" s="264" customFormat="1">
      <c r="A377" s="385">
        <v>375</v>
      </c>
      <c r="B377" s="263" t="s">
        <v>3564</v>
      </c>
      <c r="C377" s="263" t="s">
        <v>3565</v>
      </c>
      <c r="D377" s="263" t="s">
        <v>3566</v>
      </c>
      <c r="E377" s="263" t="s">
        <v>2239</v>
      </c>
      <c r="F377" s="263" t="s">
        <v>680</v>
      </c>
      <c r="G377" s="263" t="s">
        <v>681</v>
      </c>
      <c r="H377" s="263" t="s">
        <v>682</v>
      </c>
      <c r="I377" s="263" t="s">
        <v>2235</v>
      </c>
      <c r="J377" s="263" t="s">
        <v>3567</v>
      </c>
    </row>
    <row r="378" spans="1:10" s="264" customFormat="1">
      <c r="A378" s="385">
        <v>376</v>
      </c>
      <c r="B378" s="263" t="s">
        <v>3568</v>
      </c>
      <c r="C378" s="263" t="s">
        <v>3569</v>
      </c>
      <c r="D378" s="263" t="s">
        <v>2472</v>
      </c>
      <c r="E378" s="263" t="s">
        <v>2239</v>
      </c>
      <c r="F378" s="263" t="s">
        <v>680</v>
      </c>
      <c r="G378" s="263" t="s">
        <v>681</v>
      </c>
      <c r="H378" s="263" t="s">
        <v>682</v>
      </c>
      <c r="I378" s="263" t="s">
        <v>2235</v>
      </c>
      <c r="J378" s="263" t="s">
        <v>2116</v>
      </c>
    </row>
    <row r="379" spans="1:10" s="264" customFormat="1">
      <c r="A379" s="385">
        <v>377</v>
      </c>
      <c r="B379" s="263" t="s">
        <v>3570</v>
      </c>
      <c r="C379" s="263" t="s">
        <v>3571</v>
      </c>
      <c r="D379" s="263" t="s">
        <v>2797</v>
      </c>
      <c r="E379" s="263" t="s">
        <v>2239</v>
      </c>
      <c r="F379" s="263" t="s">
        <v>680</v>
      </c>
      <c r="G379" s="263" t="s">
        <v>681</v>
      </c>
      <c r="H379" s="263" t="s">
        <v>682</v>
      </c>
      <c r="I379" s="263" t="s">
        <v>2235</v>
      </c>
      <c r="J379" s="263" t="s">
        <v>696</v>
      </c>
    </row>
    <row r="380" spans="1:10" s="264" customFormat="1">
      <c r="A380" s="385">
        <v>378</v>
      </c>
      <c r="B380" s="263" t="s">
        <v>3572</v>
      </c>
      <c r="C380" s="263" t="s">
        <v>3573</v>
      </c>
      <c r="D380" s="263" t="s">
        <v>3574</v>
      </c>
      <c r="E380" s="263" t="s">
        <v>2239</v>
      </c>
      <c r="F380" s="263" t="s">
        <v>680</v>
      </c>
      <c r="G380" s="263" t="s">
        <v>681</v>
      </c>
      <c r="H380" s="263" t="s">
        <v>682</v>
      </c>
      <c r="I380" s="263" t="s">
        <v>2235</v>
      </c>
      <c r="J380" s="263" t="s">
        <v>3575</v>
      </c>
    </row>
    <row r="381" spans="1:10" s="264" customFormat="1">
      <c r="A381" s="385">
        <v>379</v>
      </c>
      <c r="B381" s="263" t="s">
        <v>3576</v>
      </c>
      <c r="C381" s="263" t="s">
        <v>3577</v>
      </c>
      <c r="D381" s="263" t="s">
        <v>3578</v>
      </c>
      <c r="E381" s="263" t="s">
        <v>2239</v>
      </c>
      <c r="F381" s="263" t="s">
        <v>680</v>
      </c>
      <c r="G381" s="263" t="s">
        <v>681</v>
      </c>
      <c r="H381" s="263" t="s">
        <v>682</v>
      </c>
      <c r="I381" s="263" t="s">
        <v>2235</v>
      </c>
      <c r="J381" s="263" t="s">
        <v>3579</v>
      </c>
    </row>
    <row r="382" spans="1:10" s="264" customFormat="1">
      <c r="A382" s="385">
        <v>380</v>
      </c>
      <c r="B382" s="263" t="s">
        <v>3580</v>
      </c>
      <c r="C382" s="263" t="s">
        <v>3581</v>
      </c>
      <c r="D382" s="263" t="s">
        <v>3582</v>
      </c>
      <c r="E382" s="263" t="s">
        <v>2239</v>
      </c>
      <c r="F382" s="263" t="s">
        <v>680</v>
      </c>
      <c r="G382" s="263" t="s">
        <v>681</v>
      </c>
      <c r="H382" s="263" t="s">
        <v>682</v>
      </c>
      <c r="I382" s="263" t="s">
        <v>2234</v>
      </c>
      <c r="J382" s="263" t="s">
        <v>3583</v>
      </c>
    </row>
    <row r="383" spans="1:10" s="264" customFormat="1">
      <c r="A383" s="385">
        <v>381</v>
      </c>
      <c r="B383" s="263" t="s">
        <v>3584</v>
      </c>
      <c r="C383" s="263" t="s">
        <v>3585</v>
      </c>
      <c r="D383" s="263" t="s">
        <v>3340</v>
      </c>
      <c r="E383" s="263" t="s">
        <v>2239</v>
      </c>
      <c r="F383" s="263" t="s">
        <v>680</v>
      </c>
      <c r="G383" s="263" t="s">
        <v>681</v>
      </c>
      <c r="H383" s="263" t="s">
        <v>682</v>
      </c>
      <c r="I383" s="263" t="s">
        <v>2235</v>
      </c>
      <c r="J383" s="263" t="s">
        <v>3586</v>
      </c>
    </row>
    <row r="384" spans="1:10" s="264" customFormat="1">
      <c r="A384" s="385">
        <v>382</v>
      </c>
      <c r="B384" s="263" t="s">
        <v>3587</v>
      </c>
      <c r="C384" s="263" t="s">
        <v>3588</v>
      </c>
      <c r="D384" s="263" t="s">
        <v>3589</v>
      </c>
      <c r="E384" s="263" t="s">
        <v>2239</v>
      </c>
      <c r="F384" s="263" t="s">
        <v>680</v>
      </c>
      <c r="G384" s="263" t="s">
        <v>681</v>
      </c>
      <c r="H384" s="263" t="s">
        <v>682</v>
      </c>
      <c r="I384" s="263" t="s">
        <v>2235</v>
      </c>
      <c r="J384" s="263" t="s">
        <v>3590</v>
      </c>
    </row>
    <row r="385" spans="1:10" s="264" customFormat="1">
      <c r="A385" s="385">
        <v>383</v>
      </c>
      <c r="B385" s="263" t="s">
        <v>3591</v>
      </c>
      <c r="C385" s="263" t="s">
        <v>3592</v>
      </c>
      <c r="D385" s="263" t="s">
        <v>3593</v>
      </c>
      <c r="E385" s="263" t="s">
        <v>2239</v>
      </c>
      <c r="F385" s="263" t="s">
        <v>680</v>
      </c>
      <c r="G385" s="263" t="s">
        <v>681</v>
      </c>
      <c r="H385" s="263" t="s">
        <v>682</v>
      </c>
      <c r="I385" s="263" t="s">
        <v>2235</v>
      </c>
      <c r="J385" s="263" t="s">
        <v>2035</v>
      </c>
    </row>
    <row r="386" spans="1:10" s="264" customFormat="1">
      <c r="A386" s="385">
        <v>384</v>
      </c>
      <c r="B386" s="263" t="s">
        <v>3594</v>
      </c>
      <c r="C386" s="263" t="s">
        <v>3595</v>
      </c>
      <c r="D386" s="263" t="s">
        <v>3596</v>
      </c>
      <c r="E386" s="263" t="s">
        <v>2239</v>
      </c>
      <c r="F386" s="263" t="s">
        <v>680</v>
      </c>
      <c r="G386" s="263" t="s">
        <v>681</v>
      </c>
      <c r="H386" s="263" t="s">
        <v>682</v>
      </c>
      <c r="I386" s="263" t="s">
        <v>2235</v>
      </c>
      <c r="J386" s="263" t="s">
        <v>3597</v>
      </c>
    </row>
    <row r="387" spans="1:10" s="264" customFormat="1">
      <c r="A387" s="385">
        <v>385</v>
      </c>
      <c r="B387" s="263" t="s">
        <v>3598</v>
      </c>
      <c r="C387" s="263" t="s">
        <v>3599</v>
      </c>
      <c r="D387" s="263" t="s">
        <v>2277</v>
      </c>
      <c r="E387" s="263" t="s">
        <v>2239</v>
      </c>
      <c r="F387" s="263" t="s">
        <v>680</v>
      </c>
      <c r="G387" s="263" t="s">
        <v>681</v>
      </c>
      <c r="H387" s="263" t="s">
        <v>682</v>
      </c>
      <c r="I387" s="263" t="s">
        <v>2235</v>
      </c>
      <c r="J387" s="263" t="s">
        <v>3600</v>
      </c>
    </row>
    <row r="388" spans="1:10" s="264" customFormat="1">
      <c r="A388" s="385">
        <v>386</v>
      </c>
      <c r="B388" s="263" t="s">
        <v>3601</v>
      </c>
      <c r="C388" s="263" t="s">
        <v>3602</v>
      </c>
      <c r="D388" s="263" t="s">
        <v>3603</v>
      </c>
      <c r="E388" s="263" t="s">
        <v>2239</v>
      </c>
      <c r="F388" s="263" t="s">
        <v>680</v>
      </c>
      <c r="G388" s="263" t="s">
        <v>681</v>
      </c>
      <c r="H388" s="263" t="s">
        <v>682</v>
      </c>
      <c r="I388" s="263" t="s">
        <v>2234</v>
      </c>
      <c r="J388" s="263" t="s">
        <v>3604</v>
      </c>
    </row>
    <row r="389" spans="1:10" s="264" customFormat="1">
      <c r="A389" s="385">
        <v>387</v>
      </c>
      <c r="B389" s="263" t="s">
        <v>3605</v>
      </c>
      <c r="C389" s="263" t="s">
        <v>3606</v>
      </c>
      <c r="D389" s="263" t="s">
        <v>3607</v>
      </c>
      <c r="E389" s="263" t="s">
        <v>2239</v>
      </c>
      <c r="F389" s="263" t="s">
        <v>680</v>
      </c>
      <c r="G389" s="263" t="s">
        <v>681</v>
      </c>
      <c r="H389" s="263" t="s">
        <v>682</v>
      </c>
      <c r="I389" s="263" t="s">
        <v>2234</v>
      </c>
      <c r="J389" s="263" t="s">
        <v>3608</v>
      </c>
    </row>
    <row r="390" spans="1:10" s="264" customFormat="1">
      <c r="A390" s="385">
        <v>388</v>
      </c>
      <c r="B390" s="263" t="s">
        <v>3609</v>
      </c>
      <c r="C390" s="263" t="s">
        <v>3610</v>
      </c>
      <c r="D390" s="263" t="s">
        <v>3611</v>
      </c>
      <c r="E390" s="263" t="s">
        <v>2239</v>
      </c>
      <c r="F390" s="263" t="s">
        <v>680</v>
      </c>
      <c r="G390" s="263" t="s">
        <v>681</v>
      </c>
      <c r="H390" s="263" t="s">
        <v>682</v>
      </c>
      <c r="I390" s="263" t="s">
        <v>2235</v>
      </c>
      <c r="J390" s="263" t="s">
        <v>3612</v>
      </c>
    </row>
    <row r="391" spans="1:10" s="264" customFormat="1">
      <c r="A391" s="385">
        <v>389</v>
      </c>
      <c r="B391" s="263" t="s">
        <v>3613</v>
      </c>
      <c r="C391" s="263" t="s">
        <v>3614</v>
      </c>
      <c r="D391" s="263" t="s">
        <v>3615</v>
      </c>
      <c r="E391" s="263" t="s">
        <v>2239</v>
      </c>
      <c r="F391" s="263" t="s">
        <v>680</v>
      </c>
      <c r="G391" s="263" t="s">
        <v>681</v>
      </c>
      <c r="H391" s="263" t="s">
        <v>682</v>
      </c>
      <c r="I391" s="263" t="s">
        <v>2235</v>
      </c>
      <c r="J391" s="263" t="s">
        <v>3616</v>
      </c>
    </row>
    <row r="392" spans="1:10" s="264" customFormat="1">
      <c r="A392" s="385">
        <v>390</v>
      </c>
      <c r="B392" s="263" t="s">
        <v>3617</v>
      </c>
      <c r="C392" s="263" t="s">
        <v>3618</v>
      </c>
      <c r="D392" s="263" t="s">
        <v>3619</v>
      </c>
      <c r="E392" s="263" t="s">
        <v>2239</v>
      </c>
      <c r="F392" s="263" t="s">
        <v>680</v>
      </c>
      <c r="G392" s="263" t="s">
        <v>681</v>
      </c>
      <c r="H392" s="263" t="s">
        <v>682</v>
      </c>
      <c r="I392" s="263" t="s">
        <v>2234</v>
      </c>
      <c r="J392" s="263" t="s">
        <v>3620</v>
      </c>
    </row>
    <row r="393" spans="1:10" s="264" customFormat="1">
      <c r="A393" s="385">
        <v>391</v>
      </c>
      <c r="B393" s="263" t="s">
        <v>3621</v>
      </c>
      <c r="C393" s="263" t="s">
        <v>3622</v>
      </c>
      <c r="D393" s="263" t="s">
        <v>2514</v>
      </c>
      <c r="E393" s="263" t="s">
        <v>2239</v>
      </c>
      <c r="F393" s="263" t="s">
        <v>680</v>
      </c>
      <c r="G393" s="263" t="s">
        <v>681</v>
      </c>
      <c r="H393" s="263" t="s">
        <v>682</v>
      </c>
      <c r="I393" s="263" t="s">
        <v>2235</v>
      </c>
      <c r="J393" s="263" t="s">
        <v>3623</v>
      </c>
    </row>
    <row r="394" spans="1:10" s="264" customFormat="1">
      <c r="A394" s="385">
        <v>392</v>
      </c>
      <c r="B394" s="263" t="s">
        <v>3624</v>
      </c>
      <c r="C394" s="263" t="s">
        <v>3625</v>
      </c>
      <c r="D394" s="263" t="s">
        <v>2277</v>
      </c>
      <c r="E394" s="263" t="s">
        <v>2239</v>
      </c>
      <c r="F394" s="263" t="s">
        <v>680</v>
      </c>
      <c r="G394" s="263" t="s">
        <v>681</v>
      </c>
      <c r="H394" s="263" t="s">
        <v>682</v>
      </c>
      <c r="I394" s="263" t="s">
        <v>2235</v>
      </c>
      <c r="J394" s="263" t="s">
        <v>3626</v>
      </c>
    </row>
    <row r="395" spans="1:10">
      <c r="A395" s="385">
        <v>393</v>
      </c>
      <c r="B395" s="251" t="s">
        <v>3627</v>
      </c>
      <c r="C395" s="251" t="s">
        <v>3628</v>
      </c>
      <c r="D395" s="251" t="s">
        <v>2277</v>
      </c>
      <c r="E395" s="251" t="s">
        <v>2239</v>
      </c>
      <c r="F395" s="251" t="s">
        <v>680</v>
      </c>
      <c r="G395" s="251" t="s">
        <v>681</v>
      </c>
      <c r="H395" s="251" t="s">
        <v>682</v>
      </c>
      <c r="I395" s="251" t="s">
        <v>2133</v>
      </c>
      <c r="J395" s="251" t="s">
        <v>3629</v>
      </c>
    </row>
    <row r="396" spans="1:10">
      <c r="A396" s="385">
        <v>394</v>
      </c>
      <c r="B396" s="251" t="s">
        <v>3630</v>
      </c>
      <c r="C396" s="251" t="s">
        <v>3631</v>
      </c>
      <c r="D396" s="251" t="s">
        <v>3632</v>
      </c>
      <c r="E396" s="251" t="s">
        <v>2239</v>
      </c>
      <c r="F396" s="251" t="s">
        <v>680</v>
      </c>
      <c r="G396" s="251" t="s">
        <v>681</v>
      </c>
      <c r="H396" s="251" t="s">
        <v>682</v>
      </c>
      <c r="I396" s="251" t="s">
        <v>2133</v>
      </c>
      <c r="J396" s="251" t="s">
        <v>3633</v>
      </c>
    </row>
    <row r="397" spans="1:10">
      <c r="A397" s="385">
        <v>395</v>
      </c>
      <c r="B397" s="251" t="s">
        <v>3634</v>
      </c>
      <c r="C397" s="251" t="s">
        <v>3635</v>
      </c>
      <c r="D397" s="251" t="s">
        <v>2695</v>
      </c>
      <c r="E397" s="251" t="s">
        <v>2239</v>
      </c>
      <c r="F397" s="251" t="s">
        <v>680</v>
      </c>
      <c r="G397" s="251" t="s">
        <v>681</v>
      </c>
      <c r="H397" s="251" t="s">
        <v>682</v>
      </c>
      <c r="I397" s="251" t="s">
        <v>2133</v>
      </c>
      <c r="J397" s="251" t="s">
        <v>3636</v>
      </c>
    </row>
    <row r="398" spans="1:10">
      <c r="A398" s="385">
        <v>396</v>
      </c>
      <c r="B398" s="251" t="s">
        <v>3637</v>
      </c>
      <c r="C398" s="251" t="s">
        <v>3638</v>
      </c>
      <c r="D398" s="251" t="s">
        <v>2277</v>
      </c>
      <c r="E398" s="251" t="s">
        <v>2239</v>
      </c>
      <c r="F398" s="251" t="s">
        <v>680</v>
      </c>
      <c r="G398" s="251" t="s">
        <v>681</v>
      </c>
      <c r="H398" s="251" t="s">
        <v>682</v>
      </c>
      <c r="I398" s="251" t="s">
        <v>2133</v>
      </c>
      <c r="J398" s="251" t="s">
        <v>3639</v>
      </c>
    </row>
    <row r="399" spans="1:10">
      <c r="A399" s="385">
        <v>397</v>
      </c>
      <c r="B399" s="251" t="s">
        <v>3640</v>
      </c>
      <c r="C399" s="251" t="s">
        <v>3641</v>
      </c>
      <c r="D399" s="251" t="s">
        <v>3642</v>
      </c>
      <c r="E399" s="251" t="s">
        <v>2239</v>
      </c>
      <c r="F399" s="251" t="s">
        <v>680</v>
      </c>
      <c r="G399" s="251" t="s">
        <v>681</v>
      </c>
      <c r="H399" s="251" t="s">
        <v>682</v>
      </c>
      <c r="I399" s="251" t="s">
        <v>2133</v>
      </c>
      <c r="J399" s="251" t="s">
        <v>2160</v>
      </c>
    </row>
    <row r="400" spans="1:10">
      <c r="A400" s="385">
        <v>398</v>
      </c>
      <c r="B400" s="251" t="s">
        <v>3643</v>
      </c>
      <c r="C400" s="251" t="s">
        <v>3644</v>
      </c>
      <c r="D400" s="251" t="s">
        <v>3048</v>
      </c>
      <c r="E400" s="251" t="s">
        <v>2239</v>
      </c>
      <c r="F400" s="251" t="s">
        <v>680</v>
      </c>
      <c r="G400" s="251" t="s">
        <v>681</v>
      </c>
      <c r="H400" s="251" t="s">
        <v>682</v>
      </c>
      <c r="I400" s="251" t="s">
        <v>2133</v>
      </c>
      <c r="J400" s="251" t="s">
        <v>3645</v>
      </c>
    </row>
    <row r="401" spans="1:10">
      <c r="A401" s="385">
        <v>399</v>
      </c>
      <c r="B401" s="251" t="s">
        <v>3646</v>
      </c>
      <c r="C401" s="251" t="s">
        <v>3647</v>
      </c>
      <c r="D401" s="251" t="s">
        <v>3117</v>
      </c>
      <c r="E401" s="251" t="s">
        <v>2239</v>
      </c>
      <c r="F401" s="251" t="s">
        <v>680</v>
      </c>
      <c r="G401" s="251" t="s">
        <v>681</v>
      </c>
      <c r="H401" s="251" t="s">
        <v>682</v>
      </c>
      <c r="I401" s="251" t="s">
        <v>2133</v>
      </c>
      <c r="J401" s="251" t="s">
        <v>1484</v>
      </c>
    </row>
    <row r="402" spans="1:10">
      <c r="A402" s="385">
        <v>400</v>
      </c>
      <c r="B402" s="251" t="s">
        <v>3648</v>
      </c>
      <c r="C402" s="251" t="s">
        <v>3649</v>
      </c>
      <c r="D402" s="251" t="s">
        <v>2632</v>
      </c>
      <c r="E402" s="251" t="s">
        <v>2239</v>
      </c>
      <c r="F402" s="251" t="s">
        <v>680</v>
      </c>
      <c r="G402" s="251" t="s">
        <v>681</v>
      </c>
      <c r="H402" s="251" t="s">
        <v>682</v>
      </c>
      <c r="I402" s="251" t="s">
        <v>2133</v>
      </c>
      <c r="J402" s="251" t="s">
        <v>3650</v>
      </c>
    </row>
    <row r="403" spans="1:10">
      <c r="A403" s="385">
        <v>401</v>
      </c>
      <c r="B403" s="251" t="s">
        <v>3651</v>
      </c>
      <c r="C403" s="251" t="s">
        <v>3652</v>
      </c>
      <c r="D403" s="251" t="s">
        <v>3653</v>
      </c>
      <c r="E403" s="251" t="s">
        <v>2239</v>
      </c>
      <c r="F403" s="251" t="s">
        <v>680</v>
      </c>
      <c r="G403" s="251" t="s">
        <v>681</v>
      </c>
      <c r="H403" s="251" t="s">
        <v>682</v>
      </c>
      <c r="I403" s="251" t="s">
        <v>2133</v>
      </c>
      <c r="J403" s="251" t="s">
        <v>3654</v>
      </c>
    </row>
    <row r="404" spans="1:10">
      <c r="A404" s="385">
        <v>402</v>
      </c>
      <c r="B404" s="251" t="s">
        <v>3655</v>
      </c>
      <c r="C404" s="251" t="s">
        <v>3656</v>
      </c>
      <c r="D404" s="251" t="s">
        <v>3657</v>
      </c>
      <c r="E404" s="251" t="s">
        <v>2239</v>
      </c>
      <c r="F404" s="251" t="s">
        <v>680</v>
      </c>
      <c r="G404" s="251" t="s">
        <v>681</v>
      </c>
      <c r="H404" s="251" t="s">
        <v>682</v>
      </c>
      <c r="I404" s="251" t="s">
        <v>2133</v>
      </c>
      <c r="J404" s="251" t="s">
        <v>3658</v>
      </c>
    </row>
    <row r="405" spans="1:10">
      <c r="A405" s="385">
        <v>403</v>
      </c>
      <c r="B405" s="251" t="s">
        <v>3659</v>
      </c>
      <c r="C405" s="251" t="s">
        <v>3660</v>
      </c>
      <c r="D405" s="251" t="s">
        <v>3661</v>
      </c>
      <c r="E405" s="251" t="s">
        <v>2239</v>
      </c>
      <c r="F405" s="251" t="s">
        <v>680</v>
      </c>
      <c r="G405" s="251" t="s">
        <v>681</v>
      </c>
      <c r="H405" s="251" t="s">
        <v>682</v>
      </c>
      <c r="I405" s="251" t="s">
        <v>2133</v>
      </c>
      <c r="J405" s="251" t="s">
        <v>3662</v>
      </c>
    </row>
    <row r="406" spans="1:10">
      <c r="A406" s="385">
        <v>404</v>
      </c>
      <c r="B406" s="251" t="s">
        <v>3663</v>
      </c>
      <c r="C406" s="251" t="s">
        <v>3664</v>
      </c>
      <c r="D406" s="251" t="s">
        <v>3665</v>
      </c>
      <c r="E406" s="251" t="s">
        <v>2239</v>
      </c>
      <c r="F406" s="251" t="s">
        <v>680</v>
      </c>
      <c r="G406" s="251" t="s">
        <v>681</v>
      </c>
      <c r="H406" s="251" t="s">
        <v>682</v>
      </c>
      <c r="I406" s="251" t="s">
        <v>2133</v>
      </c>
      <c r="J406" s="251" t="s">
        <v>3666</v>
      </c>
    </row>
    <row r="407" spans="1:10">
      <c r="A407" s="385">
        <v>405</v>
      </c>
      <c r="B407" s="251" t="s">
        <v>3667</v>
      </c>
      <c r="C407" s="251" t="s">
        <v>3668</v>
      </c>
      <c r="D407" s="251" t="s">
        <v>2277</v>
      </c>
      <c r="E407" s="251" t="s">
        <v>2239</v>
      </c>
      <c r="F407" s="251" t="s">
        <v>680</v>
      </c>
      <c r="G407" s="251" t="s">
        <v>681</v>
      </c>
      <c r="H407" s="251" t="s">
        <v>682</v>
      </c>
      <c r="I407" s="251" t="s">
        <v>2211</v>
      </c>
      <c r="J407" s="251" t="s">
        <v>3669</v>
      </c>
    </row>
    <row r="408" spans="1:10">
      <c r="A408" s="385">
        <v>406</v>
      </c>
      <c r="B408" s="251" t="s">
        <v>3670</v>
      </c>
      <c r="C408" s="251" t="s">
        <v>3671</v>
      </c>
      <c r="D408" s="251" t="s">
        <v>2266</v>
      </c>
      <c r="E408" s="251" t="s">
        <v>2239</v>
      </c>
      <c r="F408" s="251" t="s">
        <v>680</v>
      </c>
      <c r="G408" s="251" t="s">
        <v>681</v>
      </c>
      <c r="H408" s="251" t="s">
        <v>682</v>
      </c>
      <c r="I408" s="251" t="s">
        <v>2211</v>
      </c>
      <c r="J408" s="251" t="s">
        <v>3672</v>
      </c>
    </row>
    <row r="409" spans="1:10">
      <c r="A409" s="385">
        <v>407</v>
      </c>
      <c r="B409" s="251" t="s">
        <v>3673</v>
      </c>
      <c r="C409" s="251" t="s">
        <v>3674</v>
      </c>
      <c r="D409" s="251" t="s">
        <v>2621</v>
      </c>
      <c r="E409" s="251" t="s">
        <v>2239</v>
      </c>
      <c r="F409" s="251" t="s">
        <v>680</v>
      </c>
      <c r="G409" s="251" t="s">
        <v>681</v>
      </c>
      <c r="H409" s="251" t="s">
        <v>682</v>
      </c>
      <c r="I409" s="251" t="s">
        <v>2211</v>
      </c>
      <c r="J409" s="251" t="s">
        <v>3675</v>
      </c>
    </row>
    <row r="410" spans="1:10">
      <c r="A410" s="385">
        <v>408</v>
      </c>
      <c r="B410" s="251" t="s">
        <v>3676</v>
      </c>
      <c r="C410" s="251" t="s">
        <v>3677</v>
      </c>
      <c r="D410" s="251" t="s">
        <v>3678</v>
      </c>
      <c r="E410" s="251" t="s">
        <v>2239</v>
      </c>
      <c r="F410" s="251" t="s">
        <v>680</v>
      </c>
      <c r="G410" s="251" t="s">
        <v>681</v>
      </c>
      <c r="H410" s="251" t="s">
        <v>682</v>
      </c>
      <c r="I410" s="251" t="s">
        <v>2211</v>
      </c>
      <c r="J410" s="251" t="s">
        <v>3679</v>
      </c>
    </row>
    <row r="411" spans="1:10">
      <c r="A411" s="385">
        <v>409</v>
      </c>
      <c r="B411" s="251" t="s">
        <v>3680</v>
      </c>
      <c r="C411" s="251" t="s">
        <v>3681</v>
      </c>
      <c r="D411" s="251" t="s">
        <v>3682</v>
      </c>
      <c r="E411" s="251" t="s">
        <v>2239</v>
      </c>
      <c r="F411" s="251" t="s">
        <v>680</v>
      </c>
      <c r="G411" s="251" t="s">
        <v>681</v>
      </c>
      <c r="H411" s="251" t="s">
        <v>682</v>
      </c>
      <c r="I411" s="251" t="s">
        <v>2211</v>
      </c>
      <c r="J411" s="251" t="s">
        <v>3683</v>
      </c>
    </row>
    <row r="412" spans="1:10">
      <c r="A412" s="385">
        <v>410</v>
      </c>
      <c r="B412" s="251" t="s">
        <v>3684</v>
      </c>
      <c r="C412" s="251" t="s">
        <v>3685</v>
      </c>
      <c r="D412" s="251" t="s">
        <v>3076</v>
      </c>
      <c r="E412" s="251" t="s">
        <v>2239</v>
      </c>
      <c r="F412" s="251" t="s">
        <v>680</v>
      </c>
      <c r="G412" s="251" t="s">
        <v>681</v>
      </c>
      <c r="H412" s="251" t="s">
        <v>682</v>
      </c>
      <c r="I412" s="251" t="s">
        <v>2211</v>
      </c>
      <c r="J412" s="251" t="s">
        <v>3686</v>
      </c>
    </row>
    <row r="413" spans="1:10">
      <c r="A413" s="385">
        <v>411</v>
      </c>
      <c r="B413" s="251" t="s">
        <v>3687</v>
      </c>
      <c r="C413" s="251" t="s">
        <v>3688</v>
      </c>
      <c r="D413" s="251" t="s">
        <v>3689</v>
      </c>
      <c r="E413" s="251" t="s">
        <v>2239</v>
      </c>
      <c r="F413" s="251" t="s">
        <v>680</v>
      </c>
      <c r="G413" s="251" t="s">
        <v>681</v>
      </c>
      <c r="H413" s="251" t="s">
        <v>682</v>
      </c>
      <c r="I413" s="251" t="s">
        <v>2211</v>
      </c>
      <c r="J413" s="251" t="s">
        <v>3690</v>
      </c>
    </row>
    <row r="414" spans="1:10">
      <c r="A414" s="385">
        <v>412</v>
      </c>
      <c r="B414" s="251" t="s">
        <v>3691</v>
      </c>
      <c r="C414" s="251" t="s">
        <v>3692</v>
      </c>
      <c r="D414" s="251" t="s">
        <v>2292</v>
      </c>
      <c r="E414" s="251" t="s">
        <v>2239</v>
      </c>
      <c r="F414" s="251" t="s">
        <v>680</v>
      </c>
      <c r="G414" s="251" t="s">
        <v>681</v>
      </c>
      <c r="H414" s="251" t="s">
        <v>682</v>
      </c>
      <c r="I414" s="251" t="s">
        <v>2211</v>
      </c>
      <c r="J414" s="251" t="s">
        <v>3693</v>
      </c>
    </row>
    <row r="415" spans="1:10">
      <c r="A415" s="385">
        <v>413</v>
      </c>
      <c r="B415" s="251" t="s">
        <v>3694</v>
      </c>
      <c r="C415" s="251" t="s">
        <v>3695</v>
      </c>
      <c r="D415" s="251" t="s">
        <v>3696</v>
      </c>
      <c r="E415" s="251" t="s">
        <v>2239</v>
      </c>
      <c r="F415" s="251" t="s">
        <v>680</v>
      </c>
      <c r="G415" s="251" t="s">
        <v>681</v>
      </c>
      <c r="H415" s="251" t="s">
        <v>682</v>
      </c>
      <c r="I415" s="251" t="s">
        <v>2211</v>
      </c>
      <c r="J415" s="251" t="s">
        <v>3697</v>
      </c>
    </row>
    <row r="416" spans="1:10">
      <c r="A416" s="385">
        <v>414</v>
      </c>
      <c r="B416" s="251" t="s">
        <v>3698</v>
      </c>
      <c r="C416" s="251" t="s">
        <v>3699</v>
      </c>
      <c r="D416" s="251" t="s">
        <v>3700</v>
      </c>
      <c r="E416" s="251" t="s">
        <v>2239</v>
      </c>
      <c r="F416" s="251" t="s">
        <v>680</v>
      </c>
      <c r="G416" s="251" t="s">
        <v>681</v>
      </c>
      <c r="H416" s="251" t="s">
        <v>682</v>
      </c>
      <c r="I416" s="251" t="s">
        <v>2211</v>
      </c>
      <c r="J416" s="251" t="s">
        <v>2067</v>
      </c>
    </row>
    <row r="417" spans="1:10">
      <c r="A417" s="385">
        <v>415</v>
      </c>
      <c r="B417" s="251" t="s">
        <v>3701</v>
      </c>
      <c r="C417" s="251" t="s">
        <v>3702</v>
      </c>
      <c r="D417" s="251" t="s">
        <v>2587</v>
      </c>
      <c r="E417" s="251" t="s">
        <v>2239</v>
      </c>
      <c r="F417" s="251" t="s">
        <v>680</v>
      </c>
      <c r="G417" s="251" t="s">
        <v>681</v>
      </c>
      <c r="H417" s="251" t="s">
        <v>682</v>
      </c>
      <c r="I417" s="251" t="s">
        <v>2211</v>
      </c>
      <c r="J417" s="251" t="s">
        <v>3703</v>
      </c>
    </row>
  </sheetData>
  <autoFilter ref="B2:J417">
    <sortState ref="B2:J416">
      <sortCondition ref="I1:I416"/>
    </sortState>
  </autoFilter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4"/>
  <sheetViews>
    <sheetView workbookViewId="0">
      <selection activeCell="B2" sqref="B2"/>
    </sheetView>
  </sheetViews>
  <sheetFormatPr defaultColWidth="8.7265625" defaultRowHeight="14.5"/>
  <cols>
    <col min="1" max="1" width="6.81640625" style="249" customWidth="1"/>
    <col min="2" max="2" width="15.26953125" style="249" bestFit="1" customWidth="1"/>
    <col min="3" max="3" width="10.54296875" style="249" bestFit="1" customWidth="1"/>
    <col min="4" max="4" width="47.1796875" style="249" bestFit="1" customWidth="1"/>
    <col min="5" max="5" width="23.453125" style="249" bestFit="1" customWidth="1"/>
    <col min="6" max="6" width="8.1796875" style="249" bestFit="1" customWidth="1"/>
    <col min="7" max="7" width="12.81640625" style="249" bestFit="1" customWidth="1"/>
    <col min="8" max="8" width="14" style="249" bestFit="1" customWidth="1"/>
    <col min="9" max="9" width="15.26953125" style="249" bestFit="1" customWidth="1"/>
    <col min="10" max="10" width="104.81640625" style="249" bestFit="1" customWidth="1"/>
    <col min="11" max="16384" width="8.7265625" style="249"/>
  </cols>
  <sheetData>
    <row r="1" spans="1:10" ht="18.5">
      <c r="B1" s="499" t="str">
        <f>"DATA LEMBAGA MADRASAH TSANAWIYAH SEBANNYAK "&amp;A224</f>
        <v>DATA LEMBAGA MADRASAH TSANAWIYAH SEBANNYAK 222</v>
      </c>
      <c r="C1" s="499"/>
      <c r="D1" s="499"/>
      <c r="E1" s="499"/>
      <c r="F1" s="499"/>
      <c r="G1" s="499"/>
      <c r="H1" s="499"/>
      <c r="I1" s="499"/>
      <c r="J1" s="499"/>
    </row>
    <row r="2" spans="1:10">
      <c r="A2" s="248" t="s">
        <v>5120</v>
      </c>
      <c r="B2" s="248" t="s">
        <v>667</v>
      </c>
      <c r="C2" s="248" t="s">
        <v>668</v>
      </c>
      <c r="D2" s="248" t="s">
        <v>669</v>
      </c>
      <c r="E2" s="248" t="s">
        <v>670</v>
      </c>
      <c r="F2" s="248" t="s">
        <v>671</v>
      </c>
      <c r="G2" s="248" t="s">
        <v>672</v>
      </c>
      <c r="H2" s="248" t="s">
        <v>673</v>
      </c>
      <c r="I2" s="248" t="s">
        <v>674</v>
      </c>
      <c r="J2" s="248" t="s">
        <v>675</v>
      </c>
    </row>
    <row r="3" spans="1:10">
      <c r="A3" s="385">
        <v>1</v>
      </c>
      <c r="B3" s="251" t="s">
        <v>3704</v>
      </c>
      <c r="C3" s="251" t="s">
        <v>3705</v>
      </c>
      <c r="D3" s="251" t="s">
        <v>3706</v>
      </c>
      <c r="E3" s="251" t="s">
        <v>3707</v>
      </c>
      <c r="F3" s="251" t="s">
        <v>680</v>
      </c>
      <c r="G3" s="251" t="s">
        <v>681</v>
      </c>
      <c r="H3" s="251" t="s">
        <v>682</v>
      </c>
      <c r="I3" s="251" t="s">
        <v>683</v>
      </c>
      <c r="J3" s="251" t="s">
        <v>3708</v>
      </c>
    </row>
    <row r="4" spans="1:10">
      <c r="A4" s="385">
        <v>2</v>
      </c>
      <c r="B4" s="251" t="s">
        <v>3709</v>
      </c>
      <c r="C4" s="251" t="s">
        <v>3710</v>
      </c>
      <c r="D4" s="251" t="s">
        <v>3711</v>
      </c>
      <c r="E4" s="251" t="s">
        <v>3707</v>
      </c>
      <c r="F4" s="251" t="s">
        <v>680</v>
      </c>
      <c r="G4" s="251" t="s">
        <v>681</v>
      </c>
      <c r="H4" s="251" t="s">
        <v>682</v>
      </c>
      <c r="I4" s="251" t="s">
        <v>683</v>
      </c>
      <c r="J4" s="251" t="s">
        <v>3712</v>
      </c>
    </row>
    <row r="5" spans="1:10">
      <c r="A5" s="385">
        <v>3</v>
      </c>
      <c r="B5" s="251" t="s">
        <v>3713</v>
      </c>
      <c r="C5" s="251" t="s">
        <v>3714</v>
      </c>
      <c r="D5" s="251" t="s">
        <v>3715</v>
      </c>
      <c r="E5" s="251" t="s">
        <v>3707</v>
      </c>
      <c r="F5" s="251" t="s">
        <v>680</v>
      </c>
      <c r="G5" s="251" t="s">
        <v>681</v>
      </c>
      <c r="H5" s="251" t="s">
        <v>682</v>
      </c>
      <c r="I5" s="251" t="s">
        <v>683</v>
      </c>
      <c r="J5" s="251" t="s">
        <v>2244</v>
      </c>
    </row>
    <row r="6" spans="1:10">
      <c r="A6" s="385">
        <v>4</v>
      </c>
      <c r="B6" s="251" t="s">
        <v>3716</v>
      </c>
      <c r="C6" s="251" t="s">
        <v>3717</v>
      </c>
      <c r="D6" s="251" t="s">
        <v>3718</v>
      </c>
      <c r="E6" s="251" t="s">
        <v>3707</v>
      </c>
      <c r="F6" s="251" t="s">
        <v>680</v>
      </c>
      <c r="G6" s="251" t="s">
        <v>681</v>
      </c>
      <c r="H6" s="251" t="s">
        <v>682</v>
      </c>
      <c r="I6" s="251" t="s">
        <v>683</v>
      </c>
      <c r="J6" s="251" t="s">
        <v>3719</v>
      </c>
    </row>
    <row r="7" spans="1:10">
      <c r="A7" s="385">
        <v>5</v>
      </c>
      <c r="B7" s="251" t="s">
        <v>3720</v>
      </c>
      <c r="C7" s="251" t="s">
        <v>3721</v>
      </c>
      <c r="D7" s="251" t="s">
        <v>3722</v>
      </c>
      <c r="E7" s="251" t="s">
        <v>3707</v>
      </c>
      <c r="F7" s="251" t="s">
        <v>680</v>
      </c>
      <c r="G7" s="251" t="s">
        <v>681</v>
      </c>
      <c r="H7" s="251" t="s">
        <v>682</v>
      </c>
      <c r="I7" s="251" t="s">
        <v>683</v>
      </c>
      <c r="J7" s="251" t="s">
        <v>3723</v>
      </c>
    </row>
    <row r="8" spans="1:10">
      <c r="A8" s="385">
        <v>6</v>
      </c>
      <c r="B8" s="251" t="s">
        <v>3724</v>
      </c>
      <c r="C8" s="251" t="s">
        <v>3725</v>
      </c>
      <c r="D8" s="251" t="s">
        <v>3726</v>
      </c>
      <c r="E8" s="251" t="s">
        <v>3707</v>
      </c>
      <c r="F8" s="251" t="s">
        <v>680</v>
      </c>
      <c r="G8" s="251" t="s">
        <v>681</v>
      </c>
      <c r="H8" s="251" t="s">
        <v>682</v>
      </c>
      <c r="I8" s="251" t="s">
        <v>683</v>
      </c>
      <c r="J8" s="251" t="s">
        <v>3727</v>
      </c>
    </row>
    <row r="9" spans="1:10">
      <c r="A9" s="385">
        <v>7</v>
      </c>
      <c r="B9" s="251" t="s">
        <v>3728</v>
      </c>
      <c r="C9" s="251" t="s">
        <v>3729</v>
      </c>
      <c r="D9" s="251" t="s">
        <v>3730</v>
      </c>
      <c r="E9" s="251" t="s">
        <v>3707</v>
      </c>
      <c r="F9" s="251" t="s">
        <v>680</v>
      </c>
      <c r="G9" s="251" t="s">
        <v>681</v>
      </c>
      <c r="H9" s="251" t="s">
        <v>682</v>
      </c>
      <c r="I9" s="251" t="s">
        <v>683</v>
      </c>
      <c r="J9" s="251" t="s">
        <v>3731</v>
      </c>
    </row>
    <row r="10" spans="1:10">
      <c r="A10" s="385">
        <v>8</v>
      </c>
      <c r="B10" s="251" t="s">
        <v>3732</v>
      </c>
      <c r="C10" s="251" t="s">
        <v>3733</v>
      </c>
      <c r="D10" s="251" t="s">
        <v>3734</v>
      </c>
      <c r="E10" s="251" t="s">
        <v>3707</v>
      </c>
      <c r="F10" s="251" t="s">
        <v>680</v>
      </c>
      <c r="G10" s="251" t="s">
        <v>681</v>
      </c>
      <c r="H10" s="251" t="s">
        <v>682</v>
      </c>
      <c r="I10" s="251" t="s">
        <v>683</v>
      </c>
      <c r="J10" s="251" t="s">
        <v>3735</v>
      </c>
    </row>
    <row r="11" spans="1:10">
      <c r="A11" s="385">
        <v>9</v>
      </c>
      <c r="B11" s="251" t="s">
        <v>3736</v>
      </c>
      <c r="C11" s="251" t="s">
        <v>3737</v>
      </c>
      <c r="D11" s="251" t="s">
        <v>3738</v>
      </c>
      <c r="E11" s="251" t="s">
        <v>3707</v>
      </c>
      <c r="F11" s="251" t="s">
        <v>680</v>
      </c>
      <c r="G11" s="251" t="s">
        <v>681</v>
      </c>
      <c r="H11" s="251" t="s">
        <v>682</v>
      </c>
      <c r="I11" s="251" t="s">
        <v>683</v>
      </c>
      <c r="J11" s="251" t="s">
        <v>3739</v>
      </c>
    </row>
    <row r="12" spans="1:10">
      <c r="A12" s="385">
        <v>10</v>
      </c>
      <c r="B12" s="251" t="s">
        <v>3740</v>
      </c>
      <c r="C12" s="251" t="s">
        <v>3741</v>
      </c>
      <c r="D12" s="251" t="s">
        <v>3742</v>
      </c>
      <c r="E12" s="251" t="s">
        <v>3707</v>
      </c>
      <c r="F12" s="251" t="s">
        <v>680</v>
      </c>
      <c r="G12" s="251" t="s">
        <v>681</v>
      </c>
      <c r="H12" s="251" t="s">
        <v>682</v>
      </c>
      <c r="I12" s="251" t="s">
        <v>683</v>
      </c>
      <c r="J12" s="251" t="s">
        <v>3743</v>
      </c>
    </row>
    <row r="13" spans="1:10">
      <c r="A13" s="385">
        <v>11</v>
      </c>
      <c r="B13" s="251" t="s">
        <v>3744</v>
      </c>
      <c r="C13" s="251" t="s">
        <v>3745</v>
      </c>
      <c r="D13" s="251" t="s">
        <v>3746</v>
      </c>
      <c r="E13" s="251" t="s">
        <v>3707</v>
      </c>
      <c r="F13" s="251" t="s">
        <v>680</v>
      </c>
      <c r="G13" s="251" t="s">
        <v>681</v>
      </c>
      <c r="H13" s="251" t="s">
        <v>682</v>
      </c>
      <c r="I13" s="251" t="s">
        <v>683</v>
      </c>
      <c r="J13" s="251" t="s">
        <v>3747</v>
      </c>
    </row>
    <row r="14" spans="1:10">
      <c r="A14" s="385">
        <v>12</v>
      </c>
      <c r="B14" s="251" t="s">
        <v>3748</v>
      </c>
      <c r="C14" s="251" t="s">
        <v>3749</v>
      </c>
      <c r="D14" s="251" t="s">
        <v>3750</v>
      </c>
      <c r="E14" s="251" t="s">
        <v>3707</v>
      </c>
      <c r="F14" s="251" t="s">
        <v>680</v>
      </c>
      <c r="G14" s="251" t="s">
        <v>681</v>
      </c>
      <c r="H14" s="251" t="s">
        <v>682</v>
      </c>
      <c r="I14" s="251" t="s">
        <v>683</v>
      </c>
      <c r="J14" s="251" t="s">
        <v>3751</v>
      </c>
    </row>
    <row r="15" spans="1:10">
      <c r="A15" s="385">
        <v>13</v>
      </c>
      <c r="B15" s="251" t="s">
        <v>3752</v>
      </c>
      <c r="C15" s="251" t="s">
        <v>3753</v>
      </c>
      <c r="D15" s="251" t="s">
        <v>3754</v>
      </c>
      <c r="E15" s="251" t="s">
        <v>3707</v>
      </c>
      <c r="F15" s="251" t="s">
        <v>680</v>
      </c>
      <c r="G15" s="251" t="s">
        <v>681</v>
      </c>
      <c r="H15" s="251" t="s">
        <v>682</v>
      </c>
      <c r="I15" s="251" t="s">
        <v>683</v>
      </c>
      <c r="J15" s="251" t="s">
        <v>3755</v>
      </c>
    </row>
    <row r="16" spans="1:10">
      <c r="A16" s="385">
        <v>14</v>
      </c>
      <c r="B16" s="251" t="s">
        <v>3756</v>
      </c>
      <c r="C16" s="251" t="s">
        <v>3757</v>
      </c>
      <c r="D16" s="251" t="s">
        <v>3758</v>
      </c>
      <c r="E16" s="251" t="s">
        <v>3707</v>
      </c>
      <c r="F16" s="251" t="s">
        <v>680</v>
      </c>
      <c r="G16" s="251" t="s">
        <v>681</v>
      </c>
      <c r="H16" s="251" t="s">
        <v>682</v>
      </c>
      <c r="I16" s="251" t="s">
        <v>736</v>
      </c>
      <c r="J16" s="251" t="s">
        <v>3759</v>
      </c>
    </row>
    <row r="17" spans="1:10">
      <c r="A17" s="385">
        <v>15</v>
      </c>
      <c r="B17" s="251" t="s">
        <v>3760</v>
      </c>
      <c r="C17" s="251" t="s">
        <v>3761</v>
      </c>
      <c r="D17" s="251" t="s">
        <v>3762</v>
      </c>
      <c r="E17" s="251" t="s">
        <v>3707</v>
      </c>
      <c r="F17" s="251" t="s">
        <v>680</v>
      </c>
      <c r="G17" s="251" t="s">
        <v>681</v>
      </c>
      <c r="H17" s="251" t="s">
        <v>682</v>
      </c>
      <c r="I17" s="251" t="s">
        <v>736</v>
      </c>
      <c r="J17" s="251" t="s">
        <v>3763</v>
      </c>
    </row>
    <row r="18" spans="1:10">
      <c r="A18" s="385">
        <v>16</v>
      </c>
      <c r="B18" s="251" t="s">
        <v>3764</v>
      </c>
      <c r="C18" s="251" t="s">
        <v>3765</v>
      </c>
      <c r="D18" s="251" t="s">
        <v>3766</v>
      </c>
      <c r="E18" s="251" t="s">
        <v>3707</v>
      </c>
      <c r="F18" s="251" t="s">
        <v>680</v>
      </c>
      <c r="G18" s="251" t="s">
        <v>681</v>
      </c>
      <c r="H18" s="251" t="s">
        <v>682</v>
      </c>
      <c r="I18" s="251" t="s">
        <v>736</v>
      </c>
      <c r="J18" s="251" t="s">
        <v>3767</v>
      </c>
    </row>
    <row r="19" spans="1:10">
      <c r="A19" s="385">
        <v>17</v>
      </c>
      <c r="B19" s="251" t="s">
        <v>3768</v>
      </c>
      <c r="C19" s="251" t="s">
        <v>3769</v>
      </c>
      <c r="D19" s="251" t="s">
        <v>3770</v>
      </c>
      <c r="E19" s="251" t="s">
        <v>3707</v>
      </c>
      <c r="F19" s="251" t="s">
        <v>680</v>
      </c>
      <c r="G19" s="251" t="s">
        <v>681</v>
      </c>
      <c r="H19" s="251" t="s">
        <v>682</v>
      </c>
      <c r="I19" s="251" t="s">
        <v>736</v>
      </c>
      <c r="J19" s="251" t="s">
        <v>3771</v>
      </c>
    </row>
    <row r="20" spans="1:10">
      <c r="A20" s="385">
        <v>18</v>
      </c>
      <c r="B20" s="251" t="s">
        <v>3772</v>
      </c>
      <c r="C20" s="251" t="s">
        <v>3773</v>
      </c>
      <c r="D20" s="251" t="s">
        <v>3774</v>
      </c>
      <c r="E20" s="251" t="s">
        <v>3707</v>
      </c>
      <c r="F20" s="251" t="s">
        <v>680</v>
      </c>
      <c r="G20" s="251" t="s">
        <v>681</v>
      </c>
      <c r="H20" s="251" t="s">
        <v>682</v>
      </c>
      <c r="I20" s="251" t="s">
        <v>736</v>
      </c>
      <c r="J20" s="251" t="s">
        <v>3775</v>
      </c>
    </row>
    <row r="21" spans="1:10">
      <c r="A21" s="385">
        <v>19</v>
      </c>
      <c r="B21" s="251" t="s">
        <v>3776</v>
      </c>
      <c r="C21" s="251" t="s">
        <v>3777</v>
      </c>
      <c r="D21" s="251" t="s">
        <v>3730</v>
      </c>
      <c r="E21" s="251" t="s">
        <v>3707</v>
      </c>
      <c r="F21" s="251" t="s">
        <v>680</v>
      </c>
      <c r="G21" s="251" t="s">
        <v>681</v>
      </c>
      <c r="H21" s="251" t="s">
        <v>682</v>
      </c>
      <c r="I21" s="251" t="s">
        <v>736</v>
      </c>
      <c r="J21" s="251" t="s">
        <v>3778</v>
      </c>
    </row>
    <row r="22" spans="1:10">
      <c r="A22" s="385">
        <v>20</v>
      </c>
      <c r="B22" s="251" t="s">
        <v>3779</v>
      </c>
      <c r="C22" s="251" t="s">
        <v>3780</v>
      </c>
      <c r="D22" s="251" t="s">
        <v>3781</v>
      </c>
      <c r="E22" s="251" t="s">
        <v>3707</v>
      </c>
      <c r="F22" s="251" t="s">
        <v>680</v>
      </c>
      <c r="G22" s="251" t="s">
        <v>681</v>
      </c>
      <c r="H22" s="251" t="s">
        <v>682</v>
      </c>
      <c r="I22" s="251" t="s">
        <v>736</v>
      </c>
      <c r="J22" s="251" t="s">
        <v>3782</v>
      </c>
    </row>
    <row r="23" spans="1:10">
      <c r="A23" s="385">
        <v>21</v>
      </c>
      <c r="B23" s="251" t="s">
        <v>3783</v>
      </c>
      <c r="C23" s="251" t="s">
        <v>3784</v>
      </c>
      <c r="D23" s="251" t="s">
        <v>3785</v>
      </c>
      <c r="E23" s="251" t="s">
        <v>3707</v>
      </c>
      <c r="F23" s="251" t="s">
        <v>680</v>
      </c>
      <c r="G23" s="251" t="s">
        <v>681</v>
      </c>
      <c r="H23" s="251" t="s">
        <v>682</v>
      </c>
      <c r="I23" s="251" t="s">
        <v>736</v>
      </c>
      <c r="J23" s="251" t="s">
        <v>3786</v>
      </c>
    </row>
    <row r="24" spans="1:10">
      <c r="A24" s="385">
        <v>22</v>
      </c>
      <c r="B24" s="251" t="s">
        <v>3787</v>
      </c>
      <c r="C24" s="251" t="s">
        <v>3788</v>
      </c>
      <c r="D24" s="251" t="s">
        <v>3789</v>
      </c>
      <c r="E24" s="251" t="s">
        <v>3707</v>
      </c>
      <c r="F24" s="251" t="s">
        <v>680</v>
      </c>
      <c r="G24" s="251" t="s">
        <v>681</v>
      </c>
      <c r="H24" s="251" t="s">
        <v>682</v>
      </c>
      <c r="I24" s="251" t="s">
        <v>736</v>
      </c>
      <c r="J24" s="251" t="s">
        <v>3790</v>
      </c>
    </row>
    <row r="25" spans="1:10">
      <c r="A25" s="385">
        <v>23</v>
      </c>
      <c r="B25" s="251" t="s">
        <v>3791</v>
      </c>
      <c r="C25" s="251" t="s">
        <v>3792</v>
      </c>
      <c r="D25" s="251" t="s">
        <v>3793</v>
      </c>
      <c r="E25" s="251" t="s">
        <v>3707</v>
      </c>
      <c r="F25" s="251" t="s">
        <v>680</v>
      </c>
      <c r="G25" s="251" t="s">
        <v>681</v>
      </c>
      <c r="H25" s="251" t="s">
        <v>682</v>
      </c>
      <c r="I25" s="251" t="s">
        <v>736</v>
      </c>
      <c r="J25" s="251" t="s">
        <v>3794</v>
      </c>
    </row>
    <row r="26" spans="1:10">
      <c r="A26" s="385">
        <v>24</v>
      </c>
      <c r="B26" s="251" t="s">
        <v>3795</v>
      </c>
      <c r="C26" s="251" t="s">
        <v>3796</v>
      </c>
      <c r="D26" s="251" t="s">
        <v>3797</v>
      </c>
      <c r="E26" s="251" t="s">
        <v>3707</v>
      </c>
      <c r="F26" s="251" t="s">
        <v>680</v>
      </c>
      <c r="G26" s="251" t="s">
        <v>681</v>
      </c>
      <c r="H26" s="251" t="s">
        <v>682</v>
      </c>
      <c r="I26" s="251" t="s">
        <v>736</v>
      </c>
      <c r="J26" s="251" t="s">
        <v>3798</v>
      </c>
    </row>
    <row r="27" spans="1:10">
      <c r="A27" s="385">
        <v>25</v>
      </c>
      <c r="B27" s="251" t="s">
        <v>3799</v>
      </c>
      <c r="C27" s="251" t="s">
        <v>3800</v>
      </c>
      <c r="D27" s="251" t="s">
        <v>3801</v>
      </c>
      <c r="E27" s="251" t="s">
        <v>3707</v>
      </c>
      <c r="F27" s="251" t="s">
        <v>680</v>
      </c>
      <c r="G27" s="251" t="s">
        <v>681</v>
      </c>
      <c r="H27" s="251" t="s">
        <v>682</v>
      </c>
      <c r="I27" s="251" t="s">
        <v>853</v>
      </c>
      <c r="J27" s="251" t="s">
        <v>894</v>
      </c>
    </row>
    <row r="28" spans="1:10">
      <c r="A28" s="385">
        <v>26</v>
      </c>
      <c r="B28" s="251" t="s">
        <v>3802</v>
      </c>
      <c r="C28" s="251" t="s">
        <v>3803</v>
      </c>
      <c r="D28" s="251" t="s">
        <v>3804</v>
      </c>
      <c r="E28" s="251" t="s">
        <v>3707</v>
      </c>
      <c r="F28" s="251" t="s">
        <v>680</v>
      </c>
      <c r="G28" s="251" t="s">
        <v>681</v>
      </c>
      <c r="H28" s="251" t="s">
        <v>682</v>
      </c>
      <c r="I28" s="251" t="s">
        <v>853</v>
      </c>
      <c r="J28" s="251" t="s">
        <v>3805</v>
      </c>
    </row>
    <row r="29" spans="1:10">
      <c r="A29" s="385">
        <v>27</v>
      </c>
      <c r="B29" s="251" t="s">
        <v>3806</v>
      </c>
      <c r="C29" s="251" t="s">
        <v>3807</v>
      </c>
      <c r="D29" s="251" t="s">
        <v>3808</v>
      </c>
      <c r="E29" s="251" t="s">
        <v>3707</v>
      </c>
      <c r="F29" s="251" t="s">
        <v>680</v>
      </c>
      <c r="G29" s="251" t="s">
        <v>681</v>
      </c>
      <c r="H29" s="251" t="s">
        <v>682</v>
      </c>
      <c r="I29" s="251" t="s">
        <v>853</v>
      </c>
      <c r="J29" s="251" t="s">
        <v>3809</v>
      </c>
    </row>
    <row r="30" spans="1:10">
      <c r="A30" s="385">
        <v>28</v>
      </c>
      <c r="B30" s="251" t="s">
        <v>3810</v>
      </c>
      <c r="C30" s="251" t="s">
        <v>3811</v>
      </c>
      <c r="D30" s="251" t="s">
        <v>3812</v>
      </c>
      <c r="E30" s="251" t="s">
        <v>3707</v>
      </c>
      <c r="F30" s="251" t="s">
        <v>680</v>
      </c>
      <c r="G30" s="251" t="s">
        <v>681</v>
      </c>
      <c r="H30" s="251" t="s">
        <v>682</v>
      </c>
      <c r="I30" s="251" t="s">
        <v>853</v>
      </c>
      <c r="J30" s="251" t="s">
        <v>3813</v>
      </c>
    </row>
    <row r="31" spans="1:10">
      <c r="A31" s="385">
        <v>29</v>
      </c>
      <c r="B31" s="251" t="s">
        <v>3814</v>
      </c>
      <c r="C31" s="251" t="s">
        <v>3815</v>
      </c>
      <c r="D31" s="251" t="s">
        <v>3816</v>
      </c>
      <c r="E31" s="251" t="s">
        <v>3707</v>
      </c>
      <c r="F31" s="251" t="s">
        <v>680</v>
      </c>
      <c r="G31" s="251" t="s">
        <v>681</v>
      </c>
      <c r="H31" s="251" t="s">
        <v>682</v>
      </c>
      <c r="I31" s="251" t="s">
        <v>917</v>
      </c>
      <c r="J31" s="251" t="s">
        <v>3817</v>
      </c>
    </row>
    <row r="32" spans="1:10">
      <c r="A32" s="385">
        <v>30</v>
      </c>
      <c r="B32" s="251" t="s">
        <v>3818</v>
      </c>
      <c r="C32" s="251" t="s">
        <v>3819</v>
      </c>
      <c r="D32" s="251" t="s">
        <v>3820</v>
      </c>
      <c r="E32" s="251" t="s">
        <v>3707</v>
      </c>
      <c r="F32" s="251" t="s">
        <v>680</v>
      </c>
      <c r="G32" s="251" t="s">
        <v>681</v>
      </c>
      <c r="H32" s="251" t="s">
        <v>682</v>
      </c>
      <c r="I32" s="251" t="s">
        <v>917</v>
      </c>
      <c r="J32" s="251" t="s">
        <v>3821</v>
      </c>
    </row>
    <row r="33" spans="1:10">
      <c r="A33" s="385">
        <v>31</v>
      </c>
      <c r="B33" s="251" t="s">
        <v>3822</v>
      </c>
      <c r="C33" s="251" t="s">
        <v>3823</v>
      </c>
      <c r="D33" s="251" t="s">
        <v>3824</v>
      </c>
      <c r="E33" s="251" t="s">
        <v>3707</v>
      </c>
      <c r="F33" s="251" t="s">
        <v>680</v>
      </c>
      <c r="G33" s="251" t="s">
        <v>681</v>
      </c>
      <c r="H33" s="251" t="s">
        <v>682</v>
      </c>
      <c r="I33" s="251" t="s">
        <v>917</v>
      </c>
      <c r="J33" s="251" t="s">
        <v>2481</v>
      </c>
    </row>
    <row r="34" spans="1:10">
      <c r="A34" s="385">
        <v>32</v>
      </c>
      <c r="B34" s="251" t="s">
        <v>3825</v>
      </c>
      <c r="C34" s="251" t="s">
        <v>3826</v>
      </c>
      <c r="D34" s="251" t="s">
        <v>3827</v>
      </c>
      <c r="E34" s="251" t="s">
        <v>3707</v>
      </c>
      <c r="F34" s="251" t="s">
        <v>680</v>
      </c>
      <c r="G34" s="251" t="s">
        <v>681</v>
      </c>
      <c r="H34" s="251" t="s">
        <v>682</v>
      </c>
      <c r="I34" s="251" t="s">
        <v>917</v>
      </c>
      <c r="J34" s="251" t="s">
        <v>3828</v>
      </c>
    </row>
    <row r="35" spans="1:10">
      <c r="A35" s="385">
        <v>33</v>
      </c>
      <c r="B35" s="251" t="s">
        <v>3829</v>
      </c>
      <c r="C35" s="251" t="s">
        <v>3830</v>
      </c>
      <c r="D35" s="251" t="s">
        <v>3831</v>
      </c>
      <c r="E35" s="251" t="s">
        <v>3707</v>
      </c>
      <c r="F35" s="251" t="s">
        <v>680</v>
      </c>
      <c r="G35" s="251" t="s">
        <v>681</v>
      </c>
      <c r="H35" s="251" t="s">
        <v>682</v>
      </c>
      <c r="I35" s="251" t="s">
        <v>926</v>
      </c>
      <c r="J35" s="251" t="s">
        <v>3832</v>
      </c>
    </row>
    <row r="36" spans="1:10">
      <c r="A36" s="385">
        <v>34</v>
      </c>
      <c r="B36" s="251" t="s">
        <v>3833</v>
      </c>
      <c r="C36" s="251" t="s">
        <v>3834</v>
      </c>
      <c r="D36" s="251" t="s">
        <v>3835</v>
      </c>
      <c r="E36" s="251" t="s">
        <v>3707</v>
      </c>
      <c r="F36" s="251" t="s">
        <v>680</v>
      </c>
      <c r="G36" s="251" t="s">
        <v>681</v>
      </c>
      <c r="H36" s="251" t="s">
        <v>682</v>
      </c>
      <c r="I36" s="251" t="s">
        <v>926</v>
      </c>
      <c r="J36" s="251" t="s">
        <v>3836</v>
      </c>
    </row>
    <row r="37" spans="1:10">
      <c r="A37" s="385">
        <v>35</v>
      </c>
      <c r="B37" s="251" t="s">
        <v>3837</v>
      </c>
      <c r="C37" s="251" t="s">
        <v>3838</v>
      </c>
      <c r="D37" s="251" t="s">
        <v>3839</v>
      </c>
      <c r="E37" s="251" t="s">
        <v>3707</v>
      </c>
      <c r="F37" s="251" t="s">
        <v>680</v>
      </c>
      <c r="G37" s="251" t="s">
        <v>681</v>
      </c>
      <c r="H37" s="251" t="s">
        <v>682</v>
      </c>
      <c r="I37" s="251" t="s">
        <v>926</v>
      </c>
      <c r="J37" s="251" t="s">
        <v>3840</v>
      </c>
    </row>
    <row r="38" spans="1:10">
      <c r="A38" s="385">
        <v>36</v>
      </c>
      <c r="B38" s="251" t="s">
        <v>3841</v>
      </c>
      <c r="C38" s="251" t="s">
        <v>3842</v>
      </c>
      <c r="D38" s="251" t="s">
        <v>3843</v>
      </c>
      <c r="E38" s="251" t="s">
        <v>3707</v>
      </c>
      <c r="F38" s="251" t="s">
        <v>680</v>
      </c>
      <c r="G38" s="251" t="s">
        <v>681</v>
      </c>
      <c r="H38" s="251" t="s">
        <v>682</v>
      </c>
      <c r="I38" s="251" t="s">
        <v>926</v>
      </c>
      <c r="J38" s="251" t="s">
        <v>3844</v>
      </c>
    </row>
    <row r="39" spans="1:10">
      <c r="A39" s="385">
        <v>37</v>
      </c>
      <c r="B39" s="251" t="s">
        <v>3845</v>
      </c>
      <c r="C39" s="251" t="s">
        <v>3846</v>
      </c>
      <c r="D39" s="251" t="s">
        <v>3847</v>
      </c>
      <c r="E39" s="251" t="s">
        <v>3707</v>
      </c>
      <c r="F39" s="251" t="s">
        <v>680</v>
      </c>
      <c r="G39" s="251" t="s">
        <v>681</v>
      </c>
      <c r="H39" s="251" t="s">
        <v>682</v>
      </c>
      <c r="I39" s="251" t="s">
        <v>926</v>
      </c>
      <c r="J39" s="251" t="s">
        <v>3848</v>
      </c>
    </row>
    <row r="40" spans="1:10">
      <c r="A40" s="385">
        <v>38</v>
      </c>
      <c r="B40" s="251" t="s">
        <v>3849</v>
      </c>
      <c r="C40" s="251" t="s">
        <v>3850</v>
      </c>
      <c r="D40" s="251" t="s">
        <v>3851</v>
      </c>
      <c r="E40" s="251" t="s">
        <v>3707</v>
      </c>
      <c r="F40" s="251" t="s">
        <v>680</v>
      </c>
      <c r="G40" s="251" t="s">
        <v>681</v>
      </c>
      <c r="H40" s="251" t="s">
        <v>682</v>
      </c>
      <c r="I40" s="251" t="s">
        <v>926</v>
      </c>
      <c r="J40" s="251" t="s">
        <v>3852</v>
      </c>
    </row>
    <row r="41" spans="1:10">
      <c r="A41" s="385">
        <v>39</v>
      </c>
      <c r="B41" s="251" t="s">
        <v>3853</v>
      </c>
      <c r="C41" s="251" t="s">
        <v>3854</v>
      </c>
      <c r="D41" s="251" t="s">
        <v>3855</v>
      </c>
      <c r="E41" s="251" t="s">
        <v>3707</v>
      </c>
      <c r="F41" s="251" t="s">
        <v>680</v>
      </c>
      <c r="G41" s="251" t="s">
        <v>681</v>
      </c>
      <c r="H41" s="251" t="s">
        <v>682</v>
      </c>
      <c r="I41" s="251" t="s">
        <v>926</v>
      </c>
      <c r="J41" s="251" t="s">
        <v>930</v>
      </c>
    </row>
    <row r="42" spans="1:10">
      <c r="A42" s="385">
        <v>40</v>
      </c>
      <c r="B42" s="251" t="s">
        <v>3856</v>
      </c>
      <c r="C42" s="251" t="s">
        <v>3857</v>
      </c>
      <c r="D42" s="251" t="s">
        <v>3858</v>
      </c>
      <c r="E42" s="251" t="s">
        <v>3707</v>
      </c>
      <c r="F42" s="251" t="s">
        <v>680</v>
      </c>
      <c r="G42" s="251" t="s">
        <v>681</v>
      </c>
      <c r="H42" s="251" t="s">
        <v>682</v>
      </c>
      <c r="I42" s="251" t="s">
        <v>926</v>
      </c>
      <c r="J42" s="251" t="s">
        <v>1039</v>
      </c>
    </row>
    <row r="43" spans="1:10">
      <c r="A43" s="385">
        <v>41</v>
      </c>
      <c r="B43" s="251" t="s">
        <v>3859</v>
      </c>
      <c r="C43" s="251" t="s">
        <v>3860</v>
      </c>
      <c r="D43" s="251" t="s">
        <v>3861</v>
      </c>
      <c r="E43" s="251" t="s">
        <v>3707</v>
      </c>
      <c r="F43" s="251" t="s">
        <v>680</v>
      </c>
      <c r="G43" s="251" t="s">
        <v>681</v>
      </c>
      <c r="H43" s="251" t="s">
        <v>682</v>
      </c>
      <c r="I43" s="251" t="s">
        <v>926</v>
      </c>
      <c r="J43" s="251" t="s">
        <v>3862</v>
      </c>
    </row>
    <row r="44" spans="1:10">
      <c r="A44" s="385">
        <v>42</v>
      </c>
      <c r="B44" s="251" t="s">
        <v>3863</v>
      </c>
      <c r="C44" s="251" t="s">
        <v>3864</v>
      </c>
      <c r="D44" s="251" t="s">
        <v>3847</v>
      </c>
      <c r="E44" s="251" t="s">
        <v>3707</v>
      </c>
      <c r="F44" s="251" t="s">
        <v>680</v>
      </c>
      <c r="G44" s="251" t="s">
        <v>681</v>
      </c>
      <c r="H44" s="251" t="s">
        <v>682</v>
      </c>
      <c r="I44" s="251" t="s">
        <v>926</v>
      </c>
      <c r="J44" s="251" t="s">
        <v>1009</v>
      </c>
    </row>
    <row r="45" spans="1:10">
      <c r="A45" s="385">
        <v>43</v>
      </c>
      <c r="B45" s="251" t="s">
        <v>3865</v>
      </c>
      <c r="C45" s="251" t="s">
        <v>3866</v>
      </c>
      <c r="D45" s="251" t="s">
        <v>3867</v>
      </c>
      <c r="E45" s="251" t="s">
        <v>3707</v>
      </c>
      <c r="F45" s="251" t="s">
        <v>680</v>
      </c>
      <c r="G45" s="251" t="s">
        <v>681</v>
      </c>
      <c r="H45" s="251" t="s">
        <v>682</v>
      </c>
      <c r="I45" s="251" t="s">
        <v>926</v>
      </c>
      <c r="J45" s="251" t="s">
        <v>3868</v>
      </c>
    </row>
    <row r="46" spans="1:10">
      <c r="A46" s="385">
        <v>44</v>
      </c>
      <c r="B46" s="251" t="s">
        <v>3869</v>
      </c>
      <c r="C46" s="251" t="s">
        <v>3870</v>
      </c>
      <c r="D46" s="251" t="s">
        <v>3871</v>
      </c>
      <c r="E46" s="251" t="s">
        <v>3707</v>
      </c>
      <c r="F46" s="251" t="s">
        <v>680</v>
      </c>
      <c r="G46" s="251" t="s">
        <v>681</v>
      </c>
      <c r="H46" s="251" t="s">
        <v>682</v>
      </c>
      <c r="I46" s="251" t="s">
        <v>926</v>
      </c>
      <c r="J46" s="251" t="s">
        <v>3872</v>
      </c>
    </row>
    <row r="47" spans="1:10">
      <c r="A47" s="385">
        <v>45</v>
      </c>
      <c r="B47" s="251" t="s">
        <v>3873</v>
      </c>
      <c r="C47" s="251" t="s">
        <v>3874</v>
      </c>
      <c r="D47" s="251" t="s">
        <v>3875</v>
      </c>
      <c r="E47" s="251" t="s">
        <v>3707</v>
      </c>
      <c r="F47" s="251" t="s">
        <v>680</v>
      </c>
      <c r="G47" s="251" t="s">
        <v>681</v>
      </c>
      <c r="H47" s="251" t="s">
        <v>682</v>
      </c>
      <c r="I47" s="251" t="s">
        <v>926</v>
      </c>
      <c r="J47" s="251" t="s">
        <v>2557</v>
      </c>
    </row>
    <row r="48" spans="1:10">
      <c r="A48" s="385">
        <v>46</v>
      </c>
      <c r="B48" s="251" t="s">
        <v>3876</v>
      </c>
      <c r="C48" s="251" t="s">
        <v>3877</v>
      </c>
      <c r="D48" s="251" t="s">
        <v>3878</v>
      </c>
      <c r="E48" s="251" t="s">
        <v>3707</v>
      </c>
      <c r="F48" s="251" t="s">
        <v>680</v>
      </c>
      <c r="G48" s="251" t="s">
        <v>681</v>
      </c>
      <c r="H48" s="251" t="s">
        <v>682</v>
      </c>
      <c r="I48" s="251" t="s">
        <v>926</v>
      </c>
      <c r="J48" s="251" t="s">
        <v>3879</v>
      </c>
    </row>
    <row r="49" spans="1:10">
      <c r="A49" s="385">
        <v>47</v>
      </c>
      <c r="B49" s="251" t="s">
        <v>3880</v>
      </c>
      <c r="C49" s="251" t="s">
        <v>3881</v>
      </c>
      <c r="D49" s="251" t="s">
        <v>3882</v>
      </c>
      <c r="E49" s="251" t="s">
        <v>3707</v>
      </c>
      <c r="F49" s="251" t="s">
        <v>680</v>
      </c>
      <c r="G49" s="251" t="s">
        <v>681</v>
      </c>
      <c r="H49" s="251" t="s">
        <v>682</v>
      </c>
      <c r="I49" s="251" t="s">
        <v>926</v>
      </c>
      <c r="J49" s="251" t="s">
        <v>3883</v>
      </c>
    </row>
    <row r="50" spans="1:10">
      <c r="A50" s="385">
        <v>48</v>
      </c>
      <c r="B50" s="251" t="s">
        <v>3884</v>
      </c>
      <c r="C50" s="251" t="s">
        <v>3885</v>
      </c>
      <c r="D50" s="251" t="s">
        <v>3886</v>
      </c>
      <c r="E50" s="251" t="s">
        <v>3707</v>
      </c>
      <c r="F50" s="251" t="s">
        <v>680</v>
      </c>
      <c r="G50" s="251" t="s">
        <v>681</v>
      </c>
      <c r="H50" s="251" t="s">
        <v>682</v>
      </c>
      <c r="I50" s="251" t="s">
        <v>1055</v>
      </c>
      <c r="J50" s="251" t="s">
        <v>3887</v>
      </c>
    </row>
    <row r="51" spans="1:10">
      <c r="A51" s="385">
        <v>49</v>
      </c>
      <c r="B51" s="251" t="s">
        <v>3888</v>
      </c>
      <c r="C51" s="251" t="s">
        <v>3889</v>
      </c>
      <c r="D51" s="251" t="s">
        <v>3890</v>
      </c>
      <c r="E51" s="251" t="s">
        <v>3707</v>
      </c>
      <c r="F51" s="251" t="s">
        <v>680</v>
      </c>
      <c r="G51" s="251" t="s">
        <v>681</v>
      </c>
      <c r="H51" s="251" t="s">
        <v>682</v>
      </c>
      <c r="I51" s="251" t="s">
        <v>1055</v>
      </c>
      <c r="J51" s="251" t="s">
        <v>3891</v>
      </c>
    </row>
    <row r="52" spans="1:10">
      <c r="A52" s="385">
        <v>50</v>
      </c>
      <c r="B52" s="251" t="s">
        <v>3892</v>
      </c>
      <c r="C52" s="251" t="s">
        <v>3893</v>
      </c>
      <c r="D52" s="251" t="s">
        <v>3894</v>
      </c>
      <c r="E52" s="251" t="s">
        <v>3707</v>
      </c>
      <c r="F52" s="251" t="s">
        <v>680</v>
      </c>
      <c r="G52" s="251" t="s">
        <v>681</v>
      </c>
      <c r="H52" s="251" t="s">
        <v>682</v>
      </c>
      <c r="I52" s="251" t="s">
        <v>1055</v>
      </c>
      <c r="J52" s="251" t="s">
        <v>3895</v>
      </c>
    </row>
    <row r="53" spans="1:10">
      <c r="A53" s="385">
        <v>51</v>
      </c>
      <c r="B53" s="251" t="s">
        <v>3896</v>
      </c>
      <c r="C53" s="251" t="s">
        <v>3897</v>
      </c>
      <c r="D53" s="251" t="s">
        <v>3898</v>
      </c>
      <c r="E53" s="251" t="s">
        <v>3707</v>
      </c>
      <c r="F53" s="251" t="s">
        <v>680</v>
      </c>
      <c r="G53" s="251" t="s">
        <v>681</v>
      </c>
      <c r="H53" s="251" t="s">
        <v>682</v>
      </c>
      <c r="I53" s="251" t="s">
        <v>1055</v>
      </c>
      <c r="J53" s="251" t="s">
        <v>1084</v>
      </c>
    </row>
    <row r="54" spans="1:10">
      <c r="A54" s="385">
        <v>52</v>
      </c>
      <c r="B54" s="251" t="s">
        <v>3899</v>
      </c>
      <c r="C54" s="251" t="s">
        <v>3900</v>
      </c>
      <c r="D54" s="251" t="s">
        <v>3901</v>
      </c>
      <c r="E54" s="251" t="s">
        <v>3707</v>
      </c>
      <c r="F54" s="251" t="s">
        <v>680</v>
      </c>
      <c r="G54" s="251" t="s">
        <v>681</v>
      </c>
      <c r="H54" s="251" t="s">
        <v>682</v>
      </c>
      <c r="I54" s="251" t="s">
        <v>1055</v>
      </c>
      <c r="J54" s="251" t="s">
        <v>3902</v>
      </c>
    </row>
    <row r="55" spans="1:10">
      <c r="A55" s="385">
        <v>53</v>
      </c>
      <c r="B55" s="251" t="s">
        <v>3903</v>
      </c>
      <c r="C55" s="251" t="s">
        <v>3904</v>
      </c>
      <c r="D55" s="251" t="s">
        <v>3905</v>
      </c>
      <c r="E55" s="251" t="s">
        <v>3707</v>
      </c>
      <c r="F55" s="251" t="s">
        <v>680</v>
      </c>
      <c r="G55" s="251" t="s">
        <v>681</v>
      </c>
      <c r="H55" s="251" t="s">
        <v>682</v>
      </c>
      <c r="I55" s="251" t="s">
        <v>1055</v>
      </c>
      <c r="J55" s="251" t="s">
        <v>3906</v>
      </c>
    </row>
    <row r="56" spans="1:10">
      <c r="A56" s="385">
        <v>54</v>
      </c>
      <c r="B56" s="251" t="s">
        <v>3907</v>
      </c>
      <c r="C56" s="251" t="s">
        <v>3908</v>
      </c>
      <c r="D56" s="251" t="s">
        <v>3909</v>
      </c>
      <c r="E56" s="251" t="s">
        <v>3707</v>
      </c>
      <c r="F56" s="251" t="s">
        <v>680</v>
      </c>
      <c r="G56" s="251" t="s">
        <v>681</v>
      </c>
      <c r="H56" s="251" t="s">
        <v>682</v>
      </c>
      <c r="I56" s="251" t="s">
        <v>1055</v>
      </c>
      <c r="J56" s="251" t="s">
        <v>3910</v>
      </c>
    </row>
    <row r="57" spans="1:10">
      <c r="A57" s="385">
        <v>55</v>
      </c>
      <c r="B57" s="251" t="s">
        <v>3911</v>
      </c>
      <c r="C57" s="251" t="s">
        <v>3912</v>
      </c>
      <c r="D57" s="251" t="s">
        <v>3913</v>
      </c>
      <c r="E57" s="251" t="s">
        <v>3707</v>
      </c>
      <c r="F57" s="251" t="s">
        <v>680</v>
      </c>
      <c r="G57" s="251" t="s">
        <v>681</v>
      </c>
      <c r="H57" s="251" t="s">
        <v>682</v>
      </c>
      <c r="I57" s="251" t="s">
        <v>1055</v>
      </c>
      <c r="J57" s="251" t="s">
        <v>3914</v>
      </c>
    </row>
    <row r="58" spans="1:10">
      <c r="A58" s="385">
        <v>56</v>
      </c>
      <c r="B58" s="251" t="s">
        <v>3915</v>
      </c>
      <c r="C58" s="251" t="s">
        <v>3916</v>
      </c>
      <c r="D58" s="251" t="s">
        <v>3917</v>
      </c>
      <c r="E58" s="251" t="s">
        <v>3707</v>
      </c>
      <c r="F58" s="251" t="s">
        <v>680</v>
      </c>
      <c r="G58" s="251" t="s">
        <v>681</v>
      </c>
      <c r="H58" s="251" t="s">
        <v>682</v>
      </c>
      <c r="I58" s="251" t="s">
        <v>1055</v>
      </c>
      <c r="J58" s="251" t="s">
        <v>3918</v>
      </c>
    </row>
    <row r="59" spans="1:10">
      <c r="A59" s="385">
        <v>57</v>
      </c>
      <c r="B59" s="251" t="s">
        <v>3919</v>
      </c>
      <c r="C59" s="251" t="s">
        <v>3920</v>
      </c>
      <c r="D59" s="251" t="s">
        <v>3921</v>
      </c>
      <c r="E59" s="251" t="s">
        <v>3707</v>
      </c>
      <c r="F59" s="251" t="s">
        <v>680</v>
      </c>
      <c r="G59" s="251" t="s">
        <v>681</v>
      </c>
      <c r="H59" s="251" t="s">
        <v>682</v>
      </c>
      <c r="I59" s="251" t="s">
        <v>1055</v>
      </c>
      <c r="J59" s="251" t="s">
        <v>3922</v>
      </c>
    </row>
    <row r="60" spans="1:10">
      <c r="A60" s="385">
        <v>58</v>
      </c>
      <c r="B60" s="251" t="s">
        <v>3923</v>
      </c>
      <c r="C60" s="251" t="s">
        <v>3924</v>
      </c>
      <c r="D60" s="251" t="s">
        <v>3925</v>
      </c>
      <c r="E60" s="251" t="s">
        <v>3707</v>
      </c>
      <c r="F60" s="251" t="s">
        <v>680</v>
      </c>
      <c r="G60" s="251" t="s">
        <v>681</v>
      </c>
      <c r="H60" s="251" t="s">
        <v>682</v>
      </c>
      <c r="I60" s="251" t="s">
        <v>1055</v>
      </c>
      <c r="J60" s="251" t="s">
        <v>3926</v>
      </c>
    </row>
    <row r="61" spans="1:10">
      <c r="A61" s="385">
        <v>59</v>
      </c>
      <c r="B61" s="251" t="s">
        <v>3927</v>
      </c>
      <c r="C61" s="251" t="s">
        <v>3928</v>
      </c>
      <c r="D61" s="251" t="s">
        <v>3929</v>
      </c>
      <c r="E61" s="251" t="s">
        <v>3707</v>
      </c>
      <c r="F61" s="251" t="s">
        <v>680</v>
      </c>
      <c r="G61" s="251" t="s">
        <v>681</v>
      </c>
      <c r="H61" s="251" t="s">
        <v>682</v>
      </c>
      <c r="I61" s="251" t="s">
        <v>1055</v>
      </c>
      <c r="J61" s="251" t="s">
        <v>3930</v>
      </c>
    </row>
    <row r="62" spans="1:10">
      <c r="A62" s="385">
        <v>60</v>
      </c>
      <c r="B62" s="251" t="s">
        <v>3931</v>
      </c>
      <c r="C62" s="251" t="s">
        <v>3932</v>
      </c>
      <c r="D62" s="251" t="s">
        <v>3933</v>
      </c>
      <c r="E62" s="251" t="s">
        <v>3707</v>
      </c>
      <c r="F62" s="251" t="s">
        <v>680</v>
      </c>
      <c r="G62" s="251" t="s">
        <v>681</v>
      </c>
      <c r="H62" s="251" t="s">
        <v>682</v>
      </c>
      <c r="I62" s="251" t="s">
        <v>1109</v>
      </c>
      <c r="J62" s="251" t="s">
        <v>3934</v>
      </c>
    </row>
    <row r="63" spans="1:10">
      <c r="A63" s="385">
        <v>61</v>
      </c>
      <c r="B63" s="251" t="s">
        <v>3935</v>
      </c>
      <c r="C63" s="251" t="s">
        <v>3936</v>
      </c>
      <c r="D63" s="251" t="s">
        <v>3843</v>
      </c>
      <c r="E63" s="251" t="s">
        <v>3707</v>
      </c>
      <c r="F63" s="251" t="s">
        <v>680</v>
      </c>
      <c r="G63" s="251" t="s">
        <v>681</v>
      </c>
      <c r="H63" s="251" t="s">
        <v>682</v>
      </c>
      <c r="I63" s="251" t="s">
        <v>1109</v>
      </c>
      <c r="J63" s="251" t="s">
        <v>3937</v>
      </c>
    </row>
    <row r="64" spans="1:10">
      <c r="A64" s="385">
        <v>62</v>
      </c>
      <c r="B64" s="251" t="s">
        <v>3938</v>
      </c>
      <c r="C64" s="251" t="s">
        <v>3939</v>
      </c>
      <c r="D64" s="251" t="s">
        <v>3940</v>
      </c>
      <c r="E64" s="251" t="s">
        <v>3707</v>
      </c>
      <c r="F64" s="251" t="s">
        <v>680</v>
      </c>
      <c r="G64" s="251" t="s">
        <v>681</v>
      </c>
      <c r="H64" s="251" t="s">
        <v>682</v>
      </c>
      <c r="I64" s="251" t="s">
        <v>1109</v>
      </c>
      <c r="J64" s="251" t="s">
        <v>3941</v>
      </c>
    </row>
    <row r="65" spans="1:10">
      <c r="A65" s="385">
        <v>63</v>
      </c>
      <c r="B65" s="251" t="s">
        <v>3942</v>
      </c>
      <c r="C65" s="251" t="s">
        <v>3943</v>
      </c>
      <c r="D65" s="251" t="s">
        <v>3944</v>
      </c>
      <c r="E65" s="251" t="s">
        <v>3707</v>
      </c>
      <c r="F65" s="251" t="s">
        <v>680</v>
      </c>
      <c r="G65" s="251" t="s">
        <v>681</v>
      </c>
      <c r="H65" s="251" t="s">
        <v>682</v>
      </c>
      <c r="I65" s="251" t="s">
        <v>1109</v>
      </c>
      <c r="J65" s="251" t="s">
        <v>3945</v>
      </c>
    </row>
    <row r="66" spans="1:10">
      <c r="A66" s="385">
        <v>64</v>
      </c>
      <c r="B66" s="251" t="s">
        <v>3946</v>
      </c>
      <c r="C66" s="251" t="s">
        <v>3947</v>
      </c>
      <c r="D66" s="251" t="s">
        <v>3948</v>
      </c>
      <c r="E66" s="251" t="s">
        <v>3707</v>
      </c>
      <c r="F66" s="251" t="s">
        <v>680</v>
      </c>
      <c r="G66" s="251" t="s">
        <v>681</v>
      </c>
      <c r="H66" s="251" t="s">
        <v>682</v>
      </c>
      <c r="I66" s="251" t="s">
        <v>1109</v>
      </c>
      <c r="J66" s="251" t="s">
        <v>3949</v>
      </c>
    </row>
    <row r="67" spans="1:10">
      <c r="A67" s="385">
        <v>65</v>
      </c>
      <c r="B67" s="251" t="s">
        <v>3950</v>
      </c>
      <c r="C67" s="251" t="s">
        <v>3951</v>
      </c>
      <c r="D67" s="251" t="s">
        <v>3952</v>
      </c>
      <c r="E67" s="251" t="s">
        <v>3707</v>
      </c>
      <c r="F67" s="251" t="s">
        <v>680</v>
      </c>
      <c r="G67" s="251" t="s">
        <v>681</v>
      </c>
      <c r="H67" s="251" t="s">
        <v>682</v>
      </c>
      <c r="I67" s="251" t="s">
        <v>1109</v>
      </c>
      <c r="J67" s="251" t="s">
        <v>3953</v>
      </c>
    </row>
    <row r="68" spans="1:10">
      <c r="A68" s="385">
        <v>66</v>
      </c>
      <c r="B68" s="251" t="s">
        <v>3954</v>
      </c>
      <c r="C68" s="251" t="s">
        <v>3955</v>
      </c>
      <c r="D68" s="251" t="s">
        <v>3956</v>
      </c>
      <c r="E68" s="251" t="s">
        <v>3707</v>
      </c>
      <c r="F68" s="251" t="s">
        <v>680</v>
      </c>
      <c r="G68" s="251" t="s">
        <v>681</v>
      </c>
      <c r="H68" s="251" t="s">
        <v>682</v>
      </c>
      <c r="I68" s="251" t="s">
        <v>1168</v>
      </c>
      <c r="J68" s="251" t="s">
        <v>3957</v>
      </c>
    </row>
    <row r="69" spans="1:10">
      <c r="A69" s="385">
        <v>67</v>
      </c>
      <c r="B69" s="251" t="s">
        <v>3958</v>
      </c>
      <c r="C69" s="251" t="s">
        <v>3959</v>
      </c>
      <c r="D69" s="251" t="s">
        <v>3960</v>
      </c>
      <c r="E69" s="251" t="s">
        <v>3707</v>
      </c>
      <c r="F69" s="251" t="s">
        <v>680</v>
      </c>
      <c r="G69" s="251" t="s">
        <v>681</v>
      </c>
      <c r="H69" s="251" t="s">
        <v>682</v>
      </c>
      <c r="I69" s="251" t="s">
        <v>1168</v>
      </c>
      <c r="J69" s="251" t="s">
        <v>3961</v>
      </c>
    </row>
    <row r="70" spans="1:10">
      <c r="A70" s="385">
        <v>68</v>
      </c>
      <c r="B70" s="251" t="s">
        <v>3962</v>
      </c>
      <c r="C70" s="251" t="s">
        <v>3963</v>
      </c>
      <c r="D70" s="251" t="s">
        <v>3964</v>
      </c>
      <c r="E70" s="251" t="s">
        <v>3707</v>
      </c>
      <c r="F70" s="251" t="s">
        <v>680</v>
      </c>
      <c r="G70" s="251" t="s">
        <v>681</v>
      </c>
      <c r="H70" s="251" t="s">
        <v>682</v>
      </c>
      <c r="I70" s="251" t="s">
        <v>1168</v>
      </c>
      <c r="J70" s="251" t="s">
        <v>3965</v>
      </c>
    </row>
    <row r="71" spans="1:10">
      <c r="A71" s="385">
        <v>69</v>
      </c>
      <c r="B71" s="251" t="s">
        <v>3966</v>
      </c>
      <c r="C71" s="251" t="s">
        <v>3967</v>
      </c>
      <c r="D71" s="251" t="s">
        <v>3968</v>
      </c>
      <c r="E71" s="251" t="s">
        <v>3707</v>
      </c>
      <c r="F71" s="251" t="s">
        <v>680</v>
      </c>
      <c r="G71" s="251" t="s">
        <v>681</v>
      </c>
      <c r="H71" s="251" t="s">
        <v>682</v>
      </c>
      <c r="I71" s="251" t="s">
        <v>1168</v>
      </c>
      <c r="J71" s="251" t="s">
        <v>3969</v>
      </c>
    </row>
    <row r="72" spans="1:10">
      <c r="A72" s="385">
        <v>70</v>
      </c>
      <c r="B72" s="251" t="s">
        <v>3970</v>
      </c>
      <c r="C72" s="251" t="s">
        <v>3971</v>
      </c>
      <c r="D72" s="251" t="s">
        <v>3855</v>
      </c>
      <c r="E72" s="251" t="s">
        <v>3707</v>
      </c>
      <c r="F72" s="251" t="s">
        <v>680</v>
      </c>
      <c r="G72" s="251" t="s">
        <v>681</v>
      </c>
      <c r="H72" s="251" t="s">
        <v>682</v>
      </c>
      <c r="I72" s="251" t="s">
        <v>1168</v>
      </c>
      <c r="J72" s="251" t="s">
        <v>3972</v>
      </c>
    </row>
    <row r="73" spans="1:10">
      <c r="A73" s="385">
        <v>71</v>
      </c>
      <c r="B73" s="251" t="s">
        <v>3973</v>
      </c>
      <c r="C73" s="251" t="s">
        <v>3974</v>
      </c>
      <c r="D73" s="251" t="s">
        <v>3975</v>
      </c>
      <c r="E73" s="251" t="s">
        <v>3707</v>
      </c>
      <c r="F73" s="251" t="s">
        <v>680</v>
      </c>
      <c r="G73" s="251" t="s">
        <v>681</v>
      </c>
      <c r="H73" s="251" t="s">
        <v>682</v>
      </c>
      <c r="I73" s="251" t="s">
        <v>1168</v>
      </c>
      <c r="J73" s="251" t="s">
        <v>3976</v>
      </c>
    </row>
    <row r="74" spans="1:10">
      <c r="A74" s="385">
        <v>72</v>
      </c>
      <c r="B74" s="251" t="s">
        <v>3977</v>
      </c>
      <c r="C74" s="251" t="s">
        <v>3978</v>
      </c>
      <c r="D74" s="251" t="s">
        <v>3979</v>
      </c>
      <c r="E74" s="251" t="s">
        <v>3707</v>
      </c>
      <c r="F74" s="251" t="s">
        <v>680</v>
      </c>
      <c r="G74" s="251" t="s">
        <v>681</v>
      </c>
      <c r="H74" s="251" t="s">
        <v>682</v>
      </c>
      <c r="I74" s="251" t="s">
        <v>1168</v>
      </c>
      <c r="J74" s="251" t="s">
        <v>3980</v>
      </c>
    </row>
    <row r="75" spans="1:10">
      <c r="A75" s="385">
        <v>73</v>
      </c>
      <c r="B75" s="251" t="s">
        <v>3981</v>
      </c>
      <c r="C75" s="251" t="s">
        <v>3982</v>
      </c>
      <c r="D75" s="251" t="s">
        <v>3983</v>
      </c>
      <c r="E75" s="251" t="s">
        <v>3707</v>
      </c>
      <c r="F75" s="251" t="s">
        <v>680</v>
      </c>
      <c r="G75" s="251" t="s">
        <v>681</v>
      </c>
      <c r="H75" s="251" t="s">
        <v>682</v>
      </c>
      <c r="I75" s="251" t="s">
        <v>1168</v>
      </c>
      <c r="J75" s="251" t="s">
        <v>3984</v>
      </c>
    </row>
    <row r="76" spans="1:10">
      <c r="A76" s="385">
        <v>74</v>
      </c>
      <c r="B76" s="251" t="s">
        <v>3985</v>
      </c>
      <c r="C76" s="251" t="s">
        <v>3986</v>
      </c>
      <c r="D76" s="251" t="s">
        <v>3987</v>
      </c>
      <c r="E76" s="251" t="s">
        <v>3707</v>
      </c>
      <c r="F76" s="251" t="s">
        <v>680</v>
      </c>
      <c r="G76" s="251" t="s">
        <v>681</v>
      </c>
      <c r="H76" s="251" t="s">
        <v>682</v>
      </c>
      <c r="I76" s="251" t="s">
        <v>1168</v>
      </c>
      <c r="J76" s="251" t="s">
        <v>3988</v>
      </c>
    </row>
    <row r="77" spans="1:10">
      <c r="A77" s="385">
        <v>75</v>
      </c>
      <c r="B77" s="251" t="s">
        <v>3989</v>
      </c>
      <c r="C77" s="251" t="s">
        <v>3990</v>
      </c>
      <c r="D77" s="251" t="s">
        <v>3991</v>
      </c>
      <c r="E77" s="251" t="s">
        <v>3707</v>
      </c>
      <c r="F77" s="251" t="s">
        <v>680</v>
      </c>
      <c r="G77" s="251" t="s">
        <v>681</v>
      </c>
      <c r="H77" s="251" t="s">
        <v>682</v>
      </c>
      <c r="I77" s="251" t="s">
        <v>1168</v>
      </c>
      <c r="J77" s="251" t="s">
        <v>3992</v>
      </c>
    </row>
    <row r="78" spans="1:10">
      <c r="A78" s="385">
        <v>76</v>
      </c>
      <c r="B78" s="251" t="s">
        <v>3993</v>
      </c>
      <c r="C78" s="251" t="s">
        <v>3994</v>
      </c>
      <c r="D78" s="251" t="s">
        <v>3995</v>
      </c>
      <c r="E78" s="251" t="s">
        <v>3707</v>
      </c>
      <c r="F78" s="251" t="s">
        <v>680</v>
      </c>
      <c r="G78" s="251" t="s">
        <v>681</v>
      </c>
      <c r="H78" s="251" t="s">
        <v>682</v>
      </c>
      <c r="I78" s="251" t="s">
        <v>1168</v>
      </c>
      <c r="J78" s="251" t="s">
        <v>1192</v>
      </c>
    </row>
    <row r="79" spans="1:10">
      <c r="A79" s="385">
        <v>77</v>
      </c>
      <c r="B79" s="251" t="s">
        <v>3996</v>
      </c>
      <c r="C79" s="251" t="s">
        <v>3997</v>
      </c>
      <c r="D79" s="251" t="s">
        <v>3998</v>
      </c>
      <c r="E79" s="251" t="s">
        <v>3707</v>
      </c>
      <c r="F79" s="251" t="s">
        <v>680</v>
      </c>
      <c r="G79" s="251" t="s">
        <v>681</v>
      </c>
      <c r="H79" s="251" t="s">
        <v>682</v>
      </c>
      <c r="I79" s="251" t="s">
        <v>1168</v>
      </c>
      <c r="J79" s="251" t="s">
        <v>3999</v>
      </c>
    </row>
    <row r="80" spans="1:10">
      <c r="A80" s="385">
        <v>78</v>
      </c>
      <c r="B80" s="251" t="s">
        <v>4000</v>
      </c>
      <c r="C80" s="251" t="s">
        <v>4001</v>
      </c>
      <c r="D80" s="251" t="s">
        <v>4002</v>
      </c>
      <c r="E80" s="251" t="s">
        <v>3707</v>
      </c>
      <c r="F80" s="251" t="s">
        <v>680</v>
      </c>
      <c r="G80" s="251" t="s">
        <v>681</v>
      </c>
      <c r="H80" s="251" t="s">
        <v>682</v>
      </c>
      <c r="I80" s="251" t="s">
        <v>1168</v>
      </c>
      <c r="J80" s="251" t="s">
        <v>4003</v>
      </c>
    </row>
    <row r="81" spans="1:10">
      <c r="A81" s="385">
        <v>79</v>
      </c>
      <c r="B81" s="251" t="s">
        <v>4004</v>
      </c>
      <c r="C81" s="251"/>
      <c r="D81" s="251" t="s">
        <v>4005</v>
      </c>
      <c r="E81" s="251" t="s">
        <v>3707</v>
      </c>
      <c r="F81" s="251" t="s">
        <v>680</v>
      </c>
      <c r="G81" s="251" t="s">
        <v>681</v>
      </c>
      <c r="H81" s="251" t="s">
        <v>682</v>
      </c>
      <c r="I81" s="251" t="s">
        <v>1168</v>
      </c>
      <c r="J81" s="251" t="s">
        <v>4006</v>
      </c>
    </row>
    <row r="82" spans="1:10">
      <c r="A82" s="385">
        <v>80</v>
      </c>
      <c r="B82" s="251" t="s">
        <v>4007</v>
      </c>
      <c r="C82" s="251" t="s">
        <v>4008</v>
      </c>
      <c r="D82" s="251" t="s">
        <v>4009</v>
      </c>
      <c r="E82" s="251" t="s">
        <v>3707</v>
      </c>
      <c r="F82" s="251" t="s">
        <v>680</v>
      </c>
      <c r="G82" s="251" t="s">
        <v>681</v>
      </c>
      <c r="H82" s="251" t="s">
        <v>682</v>
      </c>
      <c r="I82" s="251" t="s">
        <v>1245</v>
      </c>
      <c r="J82" s="251" t="s">
        <v>4010</v>
      </c>
    </row>
    <row r="83" spans="1:10">
      <c r="A83" s="385">
        <v>81</v>
      </c>
      <c r="B83" s="251" t="s">
        <v>4011</v>
      </c>
      <c r="C83" s="251" t="s">
        <v>4012</v>
      </c>
      <c r="D83" s="251" t="s">
        <v>4013</v>
      </c>
      <c r="E83" s="251" t="s">
        <v>3707</v>
      </c>
      <c r="F83" s="251" t="s">
        <v>680</v>
      </c>
      <c r="G83" s="251" t="s">
        <v>681</v>
      </c>
      <c r="H83" s="251" t="s">
        <v>682</v>
      </c>
      <c r="I83" s="251" t="s">
        <v>1245</v>
      </c>
      <c r="J83" s="251" t="s">
        <v>4014</v>
      </c>
    </row>
    <row r="84" spans="1:10">
      <c r="A84" s="385">
        <v>82</v>
      </c>
      <c r="B84" s="251" t="s">
        <v>4015</v>
      </c>
      <c r="C84" s="251" t="s">
        <v>4016</v>
      </c>
      <c r="D84" s="251" t="s">
        <v>4017</v>
      </c>
      <c r="E84" s="251" t="s">
        <v>3707</v>
      </c>
      <c r="F84" s="251" t="s">
        <v>680</v>
      </c>
      <c r="G84" s="251" t="s">
        <v>681</v>
      </c>
      <c r="H84" s="251" t="s">
        <v>682</v>
      </c>
      <c r="I84" s="251" t="s">
        <v>1245</v>
      </c>
      <c r="J84" s="251" t="s">
        <v>4018</v>
      </c>
    </row>
    <row r="85" spans="1:10">
      <c r="A85" s="385">
        <v>83</v>
      </c>
      <c r="B85" s="251" t="s">
        <v>4019</v>
      </c>
      <c r="C85" s="251" t="s">
        <v>4020</v>
      </c>
      <c r="D85" s="251" t="s">
        <v>4021</v>
      </c>
      <c r="E85" s="251" t="s">
        <v>3707</v>
      </c>
      <c r="F85" s="251" t="s">
        <v>680</v>
      </c>
      <c r="G85" s="251" t="s">
        <v>681</v>
      </c>
      <c r="H85" s="251" t="s">
        <v>682</v>
      </c>
      <c r="I85" s="251" t="s">
        <v>1245</v>
      </c>
      <c r="J85" s="251" t="s">
        <v>4022</v>
      </c>
    </row>
    <row r="86" spans="1:10">
      <c r="A86" s="385">
        <v>84</v>
      </c>
      <c r="B86" s="251" t="s">
        <v>4023</v>
      </c>
      <c r="C86" s="251" t="s">
        <v>4024</v>
      </c>
      <c r="D86" s="251" t="s">
        <v>4025</v>
      </c>
      <c r="E86" s="251" t="s">
        <v>3707</v>
      </c>
      <c r="F86" s="251" t="s">
        <v>680</v>
      </c>
      <c r="G86" s="251" t="s">
        <v>681</v>
      </c>
      <c r="H86" s="251" t="s">
        <v>682</v>
      </c>
      <c r="I86" s="251" t="s">
        <v>1245</v>
      </c>
      <c r="J86" s="251" t="s">
        <v>696</v>
      </c>
    </row>
    <row r="87" spans="1:10">
      <c r="A87" s="385">
        <v>85</v>
      </c>
      <c r="B87" s="251" t="s">
        <v>4026</v>
      </c>
      <c r="C87" s="251" t="s">
        <v>4027</v>
      </c>
      <c r="D87" s="251" t="s">
        <v>4028</v>
      </c>
      <c r="E87" s="251" t="s">
        <v>3707</v>
      </c>
      <c r="F87" s="251" t="s">
        <v>680</v>
      </c>
      <c r="G87" s="251" t="s">
        <v>681</v>
      </c>
      <c r="H87" s="251" t="s">
        <v>682</v>
      </c>
      <c r="I87" s="251" t="s">
        <v>1245</v>
      </c>
      <c r="J87" s="251" t="s">
        <v>4029</v>
      </c>
    </row>
    <row r="88" spans="1:10">
      <c r="A88" s="385">
        <v>86</v>
      </c>
      <c r="B88" s="251" t="s">
        <v>4030</v>
      </c>
      <c r="C88" s="251" t="s">
        <v>4031</v>
      </c>
      <c r="D88" s="251" t="s">
        <v>4032</v>
      </c>
      <c r="E88" s="251" t="s">
        <v>3707</v>
      </c>
      <c r="F88" s="251" t="s">
        <v>680</v>
      </c>
      <c r="G88" s="251" t="s">
        <v>681</v>
      </c>
      <c r="H88" s="251" t="s">
        <v>682</v>
      </c>
      <c r="I88" s="251" t="s">
        <v>1245</v>
      </c>
      <c r="J88" s="251" t="s">
        <v>4033</v>
      </c>
    </row>
    <row r="89" spans="1:10">
      <c r="A89" s="385">
        <v>87</v>
      </c>
      <c r="B89" s="251" t="s">
        <v>4034</v>
      </c>
      <c r="C89" s="251" t="s">
        <v>4035</v>
      </c>
      <c r="D89" s="251" t="s">
        <v>4036</v>
      </c>
      <c r="E89" s="251" t="s">
        <v>3707</v>
      </c>
      <c r="F89" s="251" t="s">
        <v>680</v>
      </c>
      <c r="G89" s="251" t="s">
        <v>681</v>
      </c>
      <c r="H89" s="251" t="s">
        <v>682</v>
      </c>
      <c r="I89" s="251" t="s">
        <v>1245</v>
      </c>
      <c r="J89" s="251" t="s">
        <v>696</v>
      </c>
    </row>
    <row r="90" spans="1:10">
      <c r="A90" s="385">
        <v>88</v>
      </c>
      <c r="B90" s="251" t="s">
        <v>4037</v>
      </c>
      <c r="C90" s="251" t="s">
        <v>4038</v>
      </c>
      <c r="D90" s="251" t="s">
        <v>4039</v>
      </c>
      <c r="E90" s="251" t="s">
        <v>3707</v>
      </c>
      <c r="F90" s="251" t="s">
        <v>680</v>
      </c>
      <c r="G90" s="251" t="s">
        <v>681</v>
      </c>
      <c r="H90" s="251" t="s">
        <v>682</v>
      </c>
      <c r="I90" s="251" t="s">
        <v>1245</v>
      </c>
      <c r="J90" s="251" t="s">
        <v>4040</v>
      </c>
    </row>
    <row r="91" spans="1:10">
      <c r="A91" s="385">
        <v>89</v>
      </c>
      <c r="B91" s="251" t="s">
        <v>4041</v>
      </c>
      <c r="C91" s="251" t="s">
        <v>4042</v>
      </c>
      <c r="D91" s="251" t="s">
        <v>4043</v>
      </c>
      <c r="E91" s="251" t="s">
        <v>3707</v>
      </c>
      <c r="F91" s="251" t="s">
        <v>680</v>
      </c>
      <c r="G91" s="251" t="s">
        <v>681</v>
      </c>
      <c r="H91" s="251" t="s">
        <v>682</v>
      </c>
      <c r="I91" s="251" t="s">
        <v>1245</v>
      </c>
      <c r="J91" s="251" t="s">
        <v>4044</v>
      </c>
    </row>
    <row r="92" spans="1:10">
      <c r="A92" s="385">
        <v>90</v>
      </c>
      <c r="B92" s="251" t="s">
        <v>4045</v>
      </c>
      <c r="C92" s="251" t="s">
        <v>4046</v>
      </c>
      <c r="D92" s="251" t="s">
        <v>4047</v>
      </c>
      <c r="E92" s="251" t="s">
        <v>3707</v>
      </c>
      <c r="F92" s="251" t="s">
        <v>680</v>
      </c>
      <c r="G92" s="251" t="s">
        <v>681</v>
      </c>
      <c r="H92" s="251" t="s">
        <v>682</v>
      </c>
      <c r="I92" s="251" t="s">
        <v>1245</v>
      </c>
      <c r="J92" s="251" t="s">
        <v>4048</v>
      </c>
    </row>
    <row r="93" spans="1:10">
      <c r="A93" s="385">
        <v>91</v>
      </c>
      <c r="B93" s="251" t="s">
        <v>4049</v>
      </c>
      <c r="C93" s="251" t="s">
        <v>4050</v>
      </c>
      <c r="D93" s="251" t="s">
        <v>4051</v>
      </c>
      <c r="E93" s="251" t="s">
        <v>3707</v>
      </c>
      <c r="F93" s="251" t="s">
        <v>680</v>
      </c>
      <c r="G93" s="251" t="s">
        <v>681</v>
      </c>
      <c r="H93" s="251" t="s">
        <v>682</v>
      </c>
      <c r="I93" s="251" t="s">
        <v>1245</v>
      </c>
      <c r="J93" s="251" t="s">
        <v>4052</v>
      </c>
    </row>
    <row r="94" spans="1:10">
      <c r="A94" s="385">
        <v>92</v>
      </c>
      <c r="B94" s="251" t="s">
        <v>4053</v>
      </c>
      <c r="C94" s="251" t="s">
        <v>4054</v>
      </c>
      <c r="D94" s="251" t="s">
        <v>4055</v>
      </c>
      <c r="E94" s="251" t="s">
        <v>3707</v>
      </c>
      <c r="F94" s="251" t="s">
        <v>680</v>
      </c>
      <c r="G94" s="251" t="s">
        <v>681</v>
      </c>
      <c r="H94" s="251" t="s">
        <v>682</v>
      </c>
      <c r="I94" s="251" t="s">
        <v>1346</v>
      </c>
      <c r="J94" s="251" t="s">
        <v>4056</v>
      </c>
    </row>
    <row r="95" spans="1:10">
      <c r="A95" s="385">
        <v>93</v>
      </c>
      <c r="B95" s="251" t="s">
        <v>4057</v>
      </c>
      <c r="C95" s="251" t="s">
        <v>4058</v>
      </c>
      <c r="D95" s="251" t="s">
        <v>4059</v>
      </c>
      <c r="E95" s="251" t="s">
        <v>3707</v>
      </c>
      <c r="F95" s="251" t="s">
        <v>680</v>
      </c>
      <c r="G95" s="251" t="s">
        <v>681</v>
      </c>
      <c r="H95" s="251" t="s">
        <v>682</v>
      </c>
      <c r="I95" s="251" t="s">
        <v>1346</v>
      </c>
      <c r="J95" s="251" t="s">
        <v>4060</v>
      </c>
    </row>
    <row r="96" spans="1:10">
      <c r="A96" s="385">
        <v>94</v>
      </c>
      <c r="B96" s="251" t="s">
        <v>4061</v>
      </c>
      <c r="C96" s="251" t="s">
        <v>4062</v>
      </c>
      <c r="D96" s="251" t="s">
        <v>4063</v>
      </c>
      <c r="E96" s="251" t="s">
        <v>3707</v>
      </c>
      <c r="F96" s="251" t="s">
        <v>680</v>
      </c>
      <c r="G96" s="251" t="s">
        <v>681</v>
      </c>
      <c r="H96" s="251" t="s">
        <v>682</v>
      </c>
      <c r="I96" s="251" t="s">
        <v>1346</v>
      </c>
      <c r="J96" s="251" t="s">
        <v>4064</v>
      </c>
    </row>
    <row r="97" spans="1:10">
      <c r="A97" s="385">
        <v>95</v>
      </c>
      <c r="B97" s="251" t="s">
        <v>4065</v>
      </c>
      <c r="C97" s="251" t="s">
        <v>4066</v>
      </c>
      <c r="D97" s="251" t="s">
        <v>4067</v>
      </c>
      <c r="E97" s="251" t="s">
        <v>3707</v>
      </c>
      <c r="F97" s="251" t="s">
        <v>680</v>
      </c>
      <c r="G97" s="251" t="s">
        <v>681</v>
      </c>
      <c r="H97" s="251" t="s">
        <v>682</v>
      </c>
      <c r="I97" s="251" t="s">
        <v>1346</v>
      </c>
      <c r="J97" s="251" t="s">
        <v>4068</v>
      </c>
    </row>
    <row r="98" spans="1:10">
      <c r="A98" s="385">
        <v>96</v>
      </c>
      <c r="B98" s="251" t="s">
        <v>4069</v>
      </c>
      <c r="C98" s="251" t="s">
        <v>4070</v>
      </c>
      <c r="D98" s="251" t="s">
        <v>4071</v>
      </c>
      <c r="E98" s="251" t="s">
        <v>3707</v>
      </c>
      <c r="F98" s="251" t="s">
        <v>680</v>
      </c>
      <c r="G98" s="251" t="s">
        <v>681</v>
      </c>
      <c r="H98" s="251" t="s">
        <v>682</v>
      </c>
      <c r="I98" s="251" t="s">
        <v>1346</v>
      </c>
      <c r="J98" s="251" t="s">
        <v>4072</v>
      </c>
    </row>
    <row r="99" spans="1:10">
      <c r="A99" s="385">
        <v>97</v>
      </c>
      <c r="B99" s="251" t="s">
        <v>4073</v>
      </c>
      <c r="C99" s="251" t="s">
        <v>4074</v>
      </c>
      <c r="D99" s="251" t="s">
        <v>3898</v>
      </c>
      <c r="E99" s="251" t="s">
        <v>3707</v>
      </c>
      <c r="F99" s="251" t="s">
        <v>680</v>
      </c>
      <c r="G99" s="251" t="s">
        <v>681</v>
      </c>
      <c r="H99" s="251" t="s">
        <v>682</v>
      </c>
      <c r="I99" s="251" t="s">
        <v>1346</v>
      </c>
      <c r="J99" s="251" t="s">
        <v>4075</v>
      </c>
    </row>
    <row r="100" spans="1:10">
      <c r="A100" s="385">
        <v>98</v>
      </c>
      <c r="B100" s="251" t="s">
        <v>4076</v>
      </c>
      <c r="C100" s="251" t="s">
        <v>4077</v>
      </c>
      <c r="D100" s="251" t="s">
        <v>4078</v>
      </c>
      <c r="E100" s="251" t="s">
        <v>3707</v>
      </c>
      <c r="F100" s="251" t="s">
        <v>680</v>
      </c>
      <c r="G100" s="251" t="s">
        <v>681</v>
      </c>
      <c r="H100" s="251" t="s">
        <v>682</v>
      </c>
      <c r="I100" s="251" t="s">
        <v>1346</v>
      </c>
      <c r="J100" s="251" t="s">
        <v>4079</v>
      </c>
    </row>
    <row r="101" spans="1:10">
      <c r="A101" s="385">
        <v>99</v>
      </c>
      <c r="B101" s="251" t="s">
        <v>4080</v>
      </c>
      <c r="C101" s="251" t="s">
        <v>4081</v>
      </c>
      <c r="D101" s="251" t="s">
        <v>4082</v>
      </c>
      <c r="E101" s="251" t="s">
        <v>3707</v>
      </c>
      <c r="F101" s="251" t="s">
        <v>680</v>
      </c>
      <c r="G101" s="251" t="s">
        <v>681</v>
      </c>
      <c r="H101" s="251" t="s">
        <v>682</v>
      </c>
      <c r="I101" s="251" t="s">
        <v>1346</v>
      </c>
      <c r="J101" s="251" t="s">
        <v>4083</v>
      </c>
    </row>
    <row r="102" spans="1:10">
      <c r="A102" s="385">
        <v>100</v>
      </c>
      <c r="B102" s="251" t="s">
        <v>4084</v>
      </c>
      <c r="C102" s="251" t="s">
        <v>4085</v>
      </c>
      <c r="D102" s="251" t="s">
        <v>4086</v>
      </c>
      <c r="E102" s="251" t="s">
        <v>3707</v>
      </c>
      <c r="F102" s="251" t="s">
        <v>680</v>
      </c>
      <c r="G102" s="251" t="s">
        <v>681</v>
      </c>
      <c r="H102" s="251" t="s">
        <v>682</v>
      </c>
      <c r="I102" s="251" t="s">
        <v>1346</v>
      </c>
      <c r="J102" s="251" t="s">
        <v>4087</v>
      </c>
    </row>
    <row r="103" spans="1:10">
      <c r="A103" s="385">
        <v>101</v>
      </c>
      <c r="B103" s="251" t="s">
        <v>4088</v>
      </c>
      <c r="C103" s="251" t="s">
        <v>4089</v>
      </c>
      <c r="D103" s="251" t="s">
        <v>3730</v>
      </c>
      <c r="E103" s="251" t="s">
        <v>3707</v>
      </c>
      <c r="F103" s="251" t="s">
        <v>680</v>
      </c>
      <c r="G103" s="251" t="s">
        <v>681</v>
      </c>
      <c r="H103" s="251" t="s">
        <v>682</v>
      </c>
      <c r="I103" s="251" t="s">
        <v>1346</v>
      </c>
      <c r="J103" s="251" t="s">
        <v>1456</v>
      </c>
    </row>
    <row r="104" spans="1:10">
      <c r="A104" s="385">
        <v>102</v>
      </c>
      <c r="B104" s="251" t="s">
        <v>4090</v>
      </c>
      <c r="C104" s="251" t="s">
        <v>4091</v>
      </c>
      <c r="D104" s="251" t="s">
        <v>4092</v>
      </c>
      <c r="E104" s="251" t="s">
        <v>3707</v>
      </c>
      <c r="F104" s="251" t="s">
        <v>680</v>
      </c>
      <c r="G104" s="251" t="s">
        <v>681</v>
      </c>
      <c r="H104" s="251" t="s">
        <v>682</v>
      </c>
      <c r="I104" s="251" t="s">
        <v>1346</v>
      </c>
      <c r="J104" s="251" t="s">
        <v>4093</v>
      </c>
    </row>
    <row r="105" spans="1:10">
      <c r="A105" s="385">
        <v>103</v>
      </c>
      <c r="B105" s="251" t="s">
        <v>4094</v>
      </c>
      <c r="C105" s="251" t="s">
        <v>4095</v>
      </c>
      <c r="D105" s="251" t="s">
        <v>4096</v>
      </c>
      <c r="E105" s="251" t="s">
        <v>3707</v>
      </c>
      <c r="F105" s="251" t="s">
        <v>680</v>
      </c>
      <c r="G105" s="251" t="s">
        <v>681</v>
      </c>
      <c r="H105" s="251" t="s">
        <v>682</v>
      </c>
      <c r="I105" s="251" t="s">
        <v>1346</v>
      </c>
      <c r="J105" s="251" t="s">
        <v>4097</v>
      </c>
    </row>
    <row r="106" spans="1:10">
      <c r="A106" s="385">
        <v>104</v>
      </c>
      <c r="B106" s="251" t="s">
        <v>4098</v>
      </c>
      <c r="C106" s="251" t="s">
        <v>4099</v>
      </c>
      <c r="D106" s="251" t="s">
        <v>4100</v>
      </c>
      <c r="E106" s="251" t="s">
        <v>3707</v>
      </c>
      <c r="F106" s="251" t="s">
        <v>680</v>
      </c>
      <c r="G106" s="251" t="s">
        <v>681</v>
      </c>
      <c r="H106" s="251" t="s">
        <v>682</v>
      </c>
      <c r="I106" s="251" t="s">
        <v>1346</v>
      </c>
      <c r="J106" s="251" t="s">
        <v>4101</v>
      </c>
    </row>
    <row r="107" spans="1:10">
      <c r="A107" s="385">
        <v>105</v>
      </c>
      <c r="B107" s="251" t="s">
        <v>4102</v>
      </c>
      <c r="C107" s="251" t="s">
        <v>4103</v>
      </c>
      <c r="D107" s="251" t="s">
        <v>4104</v>
      </c>
      <c r="E107" s="251" t="s">
        <v>3707</v>
      </c>
      <c r="F107" s="251" t="s">
        <v>680</v>
      </c>
      <c r="G107" s="251" t="s">
        <v>681</v>
      </c>
      <c r="H107" s="251" t="s">
        <v>682</v>
      </c>
      <c r="I107" s="251" t="s">
        <v>1346</v>
      </c>
      <c r="J107" s="251" t="s">
        <v>4105</v>
      </c>
    </row>
    <row r="108" spans="1:10">
      <c r="A108" s="385">
        <v>106</v>
      </c>
      <c r="B108" s="251" t="s">
        <v>4106</v>
      </c>
      <c r="C108" s="251" t="s">
        <v>4107</v>
      </c>
      <c r="D108" s="251" t="s">
        <v>4108</v>
      </c>
      <c r="E108" s="251" t="s">
        <v>3707</v>
      </c>
      <c r="F108" s="251" t="s">
        <v>680</v>
      </c>
      <c r="G108" s="251" t="s">
        <v>681</v>
      </c>
      <c r="H108" s="251" t="s">
        <v>682</v>
      </c>
      <c r="I108" s="251" t="s">
        <v>1346</v>
      </c>
      <c r="J108" s="251" t="s">
        <v>4109</v>
      </c>
    </row>
    <row r="109" spans="1:10">
      <c r="A109" s="385">
        <v>107</v>
      </c>
      <c r="B109" s="251" t="s">
        <v>4110</v>
      </c>
      <c r="C109" s="251" t="s">
        <v>4111</v>
      </c>
      <c r="D109" s="251" t="s">
        <v>4112</v>
      </c>
      <c r="E109" s="251" t="s">
        <v>3707</v>
      </c>
      <c r="F109" s="251" t="s">
        <v>680</v>
      </c>
      <c r="G109" s="251" t="s">
        <v>681</v>
      </c>
      <c r="H109" s="251" t="s">
        <v>682</v>
      </c>
      <c r="I109" s="251" t="s">
        <v>1346</v>
      </c>
      <c r="J109" s="251" t="s">
        <v>4113</v>
      </c>
    </row>
    <row r="110" spans="1:10">
      <c r="A110" s="385">
        <v>108</v>
      </c>
      <c r="B110" s="251" t="s">
        <v>4114</v>
      </c>
      <c r="C110" s="251" t="s">
        <v>4115</v>
      </c>
      <c r="D110" s="251" t="s">
        <v>4116</v>
      </c>
      <c r="E110" s="251" t="s">
        <v>3707</v>
      </c>
      <c r="F110" s="251" t="s">
        <v>680</v>
      </c>
      <c r="G110" s="251" t="s">
        <v>681</v>
      </c>
      <c r="H110" s="251" t="s">
        <v>682</v>
      </c>
      <c r="I110" s="251" t="s">
        <v>1346</v>
      </c>
      <c r="J110" s="251" t="s">
        <v>4117</v>
      </c>
    </row>
    <row r="111" spans="1:10">
      <c r="A111" s="385">
        <v>109</v>
      </c>
      <c r="B111" s="251" t="s">
        <v>4118</v>
      </c>
      <c r="C111" s="251" t="s">
        <v>4119</v>
      </c>
      <c r="D111" s="251" t="s">
        <v>4120</v>
      </c>
      <c r="E111" s="251" t="s">
        <v>3707</v>
      </c>
      <c r="F111" s="251" t="s">
        <v>680</v>
      </c>
      <c r="G111" s="251" t="s">
        <v>681</v>
      </c>
      <c r="H111" s="251" t="s">
        <v>682</v>
      </c>
      <c r="I111" s="251" t="s">
        <v>1471</v>
      </c>
      <c r="J111" s="251" t="s">
        <v>4121</v>
      </c>
    </row>
    <row r="112" spans="1:10">
      <c r="A112" s="385">
        <v>110</v>
      </c>
      <c r="B112" s="251" t="s">
        <v>4122</v>
      </c>
      <c r="C112" s="251" t="s">
        <v>4123</v>
      </c>
      <c r="D112" s="251" t="s">
        <v>4124</v>
      </c>
      <c r="E112" s="251" t="s">
        <v>3707</v>
      </c>
      <c r="F112" s="251" t="s">
        <v>680</v>
      </c>
      <c r="G112" s="251" t="s">
        <v>681</v>
      </c>
      <c r="H112" s="251" t="s">
        <v>682</v>
      </c>
      <c r="I112" s="251" t="s">
        <v>1471</v>
      </c>
      <c r="J112" s="251" t="s">
        <v>4125</v>
      </c>
    </row>
    <row r="113" spans="1:10">
      <c r="A113" s="385">
        <v>111</v>
      </c>
      <c r="B113" s="251" t="s">
        <v>4126</v>
      </c>
      <c r="C113" s="251" t="s">
        <v>4127</v>
      </c>
      <c r="D113" s="251" t="s">
        <v>4128</v>
      </c>
      <c r="E113" s="251" t="s">
        <v>3707</v>
      </c>
      <c r="F113" s="251" t="s">
        <v>680</v>
      </c>
      <c r="G113" s="251" t="s">
        <v>681</v>
      </c>
      <c r="H113" s="251" t="s">
        <v>682</v>
      </c>
      <c r="I113" s="251" t="s">
        <v>1471</v>
      </c>
      <c r="J113" s="251" t="s">
        <v>4129</v>
      </c>
    </row>
    <row r="114" spans="1:10">
      <c r="A114" s="385">
        <v>112</v>
      </c>
      <c r="B114" s="251" t="s">
        <v>4130</v>
      </c>
      <c r="C114" s="251" t="s">
        <v>4131</v>
      </c>
      <c r="D114" s="251" t="s">
        <v>4132</v>
      </c>
      <c r="E114" s="251" t="s">
        <v>3707</v>
      </c>
      <c r="F114" s="251" t="s">
        <v>680</v>
      </c>
      <c r="G114" s="251" t="s">
        <v>681</v>
      </c>
      <c r="H114" s="251" t="s">
        <v>682</v>
      </c>
      <c r="I114" s="251" t="s">
        <v>1471</v>
      </c>
      <c r="J114" s="251" t="s">
        <v>4133</v>
      </c>
    </row>
    <row r="115" spans="1:10">
      <c r="A115" s="385">
        <v>113</v>
      </c>
      <c r="B115" s="251" t="s">
        <v>4134</v>
      </c>
      <c r="C115" s="251" t="s">
        <v>4135</v>
      </c>
      <c r="D115" s="251" t="s">
        <v>4136</v>
      </c>
      <c r="E115" s="251" t="s">
        <v>3707</v>
      </c>
      <c r="F115" s="251" t="s">
        <v>680</v>
      </c>
      <c r="G115" s="251" t="s">
        <v>681</v>
      </c>
      <c r="H115" s="251" t="s">
        <v>682</v>
      </c>
      <c r="I115" s="251" t="s">
        <v>1493</v>
      </c>
      <c r="J115" s="251" t="s">
        <v>4137</v>
      </c>
    </row>
    <row r="116" spans="1:10">
      <c r="A116" s="385">
        <v>114</v>
      </c>
      <c r="B116" s="251" t="s">
        <v>4138</v>
      </c>
      <c r="C116" s="251" t="s">
        <v>4139</v>
      </c>
      <c r="D116" s="251" t="s">
        <v>3940</v>
      </c>
      <c r="E116" s="251" t="s">
        <v>3707</v>
      </c>
      <c r="F116" s="251" t="s">
        <v>680</v>
      </c>
      <c r="G116" s="251" t="s">
        <v>681</v>
      </c>
      <c r="H116" s="251" t="s">
        <v>682</v>
      </c>
      <c r="I116" s="251" t="s">
        <v>1493</v>
      </c>
      <c r="J116" s="251" t="s">
        <v>4140</v>
      </c>
    </row>
    <row r="117" spans="1:10">
      <c r="A117" s="385">
        <v>115</v>
      </c>
      <c r="B117" s="251" t="s">
        <v>4141</v>
      </c>
      <c r="C117" s="251" t="s">
        <v>4142</v>
      </c>
      <c r="D117" s="251" t="s">
        <v>4143</v>
      </c>
      <c r="E117" s="251" t="s">
        <v>3707</v>
      </c>
      <c r="F117" s="251" t="s">
        <v>680</v>
      </c>
      <c r="G117" s="251" t="s">
        <v>681</v>
      </c>
      <c r="H117" s="251" t="s">
        <v>682</v>
      </c>
      <c r="I117" s="251" t="s">
        <v>1493</v>
      </c>
      <c r="J117" s="251" t="s">
        <v>4144</v>
      </c>
    </row>
    <row r="118" spans="1:10">
      <c r="A118" s="385">
        <v>116</v>
      </c>
      <c r="B118" s="251" t="s">
        <v>4145</v>
      </c>
      <c r="C118" s="251" t="s">
        <v>4146</v>
      </c>
      <c r="D118" s="251" t="s">
        <v>3933</v>
      </c>
      <c r="E118" s="251" t="s">
        <v>3707</v>
      </c>
      <c r="F118" s="251" t="s">
        <v>680</v>
      </c>
      <c r="G118" s="251" t="s">
        <v>681</v>
      </c>
      <c r="H118" s="251" t="s">
        <v>682</v>
      </c>
      <c r="I118" s="251" t="s">
        <v>1493</v>
      </c>
      <c r="J118" s="251" t="s">
        <v>4147</v>
      </c>
    </row>
    <row r="119" spans="1:10">
      <c r="A119" s="385">
        <v>117</v>
      </c>
      <c r="B119" s="251" t="s">
        <v>4148</v>
      </c>
      <c r="C119" s="251" t="s">
        <v>4149</v>
      </c>
      <c r="D119" s="251" t="s">
        <v>4150</v>
      </c>
      <c r="E119" s="251" t="s">
        <v>3707</v>
      </c>
      <c r="F119" s="251" t="s">
        <v>680</v>
      </c>
      <c r="G119" s="251" t="s">
        <v>681</v>
      </c>
      <c r="H119" s="251" t="s">
        <v>682</v>
      </c>
      <c r="I119" s="251" t="s">
        <v>1493</v>
      </c>
      <c r="J119" s="251" t="s">
        <v>4151</v>
      </c>
    </row>
    <row r="120" spans="1:10">
      <c r="A120" s="385">
        <v>118</v>
      </c>
      <c r="B120" s="251" t="s">
        <v>4152</v>
      </c>
      <c r="C120" s="251" t="s">
        <v>4153</v>
      </c>
      <c r="D120" s="251" t="s">
        <v>4154</v>
      </c>
      <c r="E120" s="251" t="s">
        <v>3707</v>
      </c>
      <c r="F120" s="251" t="s">
        <v>680</v>
      </c>
      <c r="G120" s="251" t="s">
        <v>681</v>
      </c>
      <c r="H120" s="251" t="s">
        <v>682</v>
      </c>
      <c r="I120" s="251" t="s">
        <v>1493</v>
      </c>
      <c r="J120" s="251" t="s">
        <v>4155</v>
      </c>
    </row>
    <row r="121" spans="1:10">
      <c r="A121" s="385">
        <v>119</v>
      </c>
      <c r="B121" s="251" t="s">
        <v>4156</v>
      </c>
      <c r="C121" s="251" t="s">
        <v>4157</v>
      </c>
      <c r="D121" s="251" t="s">
        <v>3929</v>
      </c>
      <c r="E121" s="251" t="s">
        <v>3707</v>
      </c>
      <c r="F121" s="251" t="s">
        <v>680</v>
      </c>
      <c r="G121" s="251" t="s">
        <v>681</v>
      </c>
      <c r="H121" s="251" t="s">
        <v>682</v>
      </c>
      <c r="I121" s="251" t="s">
        <v>1493</v>
      </c>
      <c r="J121" s="251" t="s">
        <v>4158</v>
      </c>
    </row>
    <row r="122" spans="1:10">
      <c r="A122" s="385">
        <v>120</v>
      </c>
      <c r="B122" s="251" t="s">
        <v>4159</v>
      </c>
      <c r="C122" s="251" t="s">
        <v>4160</v>
      </c>
      <c r="D122" s="251" t="s">
        <v>4161</v>
      </c>
      <c r="E122" s="251" t="s">
        <v>3707</v>
      </c>
      <c r="F122" s="251" t="s">
        <v>680</v>
      </c>
      <c r="G122" s="251" t="s">
        <v>681</v>
      </c>
      <c r="H122" s="251" t="s">
        <v>682</v>
      </c>
      <c r="I122" s="251" t="s">
        <v>1493</v>
      </c>
      <c r="J122" s="251" t="s">
        <v>4162</v>
      </c>
    </row>
    <row r="123" spans="1:10">
      <c r="A123" s="385">
        <v>121</v>
      </c>
      <c r="B123" s="251" t="s">
        <v>4163</v>
      </c>
      <c r="C123" s="251" t="s">
        <v>4164</v>
      </c>
      <c r="D123" s="251" t="s">
        <v>4165</v>
      </c>
      <c r="E123" s="251" t="s">
        <v>3707</v>
      </c>
      <c r="F123" s="251" t="s">
        <v>680</v>
      </c>
      <c r="G123" s="251" t="s">
        <v>681</v>
      </c>
      <c r="H123" s="251" t="s">
        <v>682</v>
      </c>
      <c r="I123" s="251" t="s">
        <v>1493</v>
      </c>
      <c r="J123" s="251" t="s">
        <v>4166</v>
      </c>
    </row>
    <row r="124" spans="1:10">
      <c r="A124" s="385">
        <v>122</v>
      </c>
      <c r="B124" s="251" t="s">
        <v>4167</v>
      </c>
      <c r="C124" s="251" t="s">
        <v>4168</v>
      </c>
      <c r="D124" s="251" t="s">
        <v>4169</v>
      </c>
      <c r="E124" s="251" t="s">
        <v>3707</v>
      </c>
      <c r="F124" s="251" t="s">
        <v>680</v>
      </c>
      <c r="G124" s="251" t="s">
        <v>681</v>
      </c>
      <c r="H124" s="251" t="s">
        <v>682</v>
      </c>
      <c r="I124" s="251" t="s">
        <v>1493</v>
      </c>
      <c r="J124" s="251" t="s">
        <v>4170</v>
      </c>
    </row>
    <row r="125" spans="1:10">
      <c r="A125" s="385">
        <v>123</v>
      </c>
      <c r="B125" s="251" t="s">
        <v>4171</v>
      </c>
      <c r="C125" s="251" t="s">
        <v>4172</v>
      </c>
      <c r="D125" s="251" t="s">
        <v>4173</v>
      </c>
      <c r="E125" s="251" t="s">
        <v>3707</v>
      </c>
      <c r="F125" s="251" t="s">
        <v>680</v>
      </c>
      <c r="G125" s="251" t="s">
        <v>681</v>
      </c>
      <c r="H125" s="251" t="s">
        <v>682</v>
      </c>
      <c r="I125" s="251" t="s">
        <v>1493</v>
      </c>
      <c r="J125" s="251" t="s">
        <v>4174</v>
      </c>
    </row>
    <row r="126" spans="1:10">
      <c r="A126" s="385">
        <v>124</v>
      </c>
      <c r="B126" s="251" t="s">
        <v>4175</v>
      </c>
      <c r="C126" s="251" t="s">
        <v>4176</v>
      </c>
      <c r="D126" s="251" t="s">
        <v>4177</v>
      </c>
      <c r="E126" s="251" t="s">
        <v>3707</v>
      </c>
      <c r="F126" s="251" t="s">
        <v>680</v>
      </c>
      <c r="G126" s="251" t="s">
        <v>681</v>
      </c>
      <c r="H126" s="251" t="s">
        <v>682</v>
      </c>
      <c r="I126" s="251" t="s">
        <v>1493</v>
      </c>
      <c r="J126" s="251" t="s">
        <v>1522</v>
      </c>
    </row>
    <row r="127" spans="1:10">
      <c r="A127" s="385">
        <v>125</v>
      </c>
      <c r="B127" s="251" t="s">
        <v>4178</v>
      </c>
      <c r="C127" s="251" t="s">
        <v>4179</v>
      </c>
      <c r="D127" s="251" t="s">
        <v>4180</v>
      </c>
      <c r="E127" s="251" t="s">
        <v>3707</v>
      </c>
      <c r="F127" s="251" t="s">
        <v>680</v>
      </c>
      <c r="G127" s="251" t="s">
        <v>681</v>
      </c>
      <c r="H127" s="251" t="s">
        <v>682</v>
      </c>
      <c r="I127" s="251" t="s">
        <v>1493</v>
      </c>
      <c r="J127" s="251" t="s">
        <v>4181</v>
      </c>
    </row>
    <row r="128" spans="1:10">
      <c r="A128" s="385">
        <v>126</v>
      </c>
      <c r="B128" s="251" t="s">
        <v>4182</v>
      </c>
      <c r="C128" s="251" t="s">
        <v>4183</v>
      </c>
      <c r="D128" s="251" t="s">
        <v>4184</v>
      </c>
      <c r="E128" s="251" t="s">
        <v>3707</v>
      </c>
      <c r="F128" s="251" t="s">
        <v>680</v>
      </c>
      <c r="G128" s="251" t="s">
        <v>681</v>
      </c>
      <c r="H128" s="251" t="s">
        <v>682</v>
      </c>
      <c r="I128" s="251" t="s">
        <v>1493</v>
      </c>
      <c r="J128" s="251" t="s">
        <v>4185</v>
      </c>
    </row>
    <row r="129" spans="1:10">
      <c r="A129" s="385">
        <v>127</v>
      </c>
      <c r="B129" s="251" t="s">
        <v>4186</v>
      </c>
      <c r="C129" s="251" t="s">
        <v>4187</v>
      </c>
      <c r="D129" s="251" t="s">
        <v>4188</v>
      </c>
      <c r="E129" s="251" t="s">
        <v>3707</v>
      </c>
      <c r="F129" s="251" t="s">
        <v>680</v>
      </c>
      <c r="G129" s="251" t="s">
        <v>681</v>
      </c>
      <c r="H129" s="251" t="s">
        <v>682</v>
      </c>
      <c r="I129" s="251" t="s">
        <v>1561</v>
      </c>
      <c r="J129" s="251" t="s">
        <v>4189</v>
      </c>
    </row>
    <row r="130" spans="1:10">
      <c r="A130" s="385">
        <v>128</v>
      </c>
      <c r="B130" s="251" t="s">
        <v>4190</v>
      </c>
      <c r="C130" s="251" t="s">
        <v>4191</v>
      </c>
      <c r="D130" s="251" t="s">
        <v>4192</v>
      </c>
      <c r="E130" s="251" t="s">
        <v>3707</v>
      </c>
      <c r="F130" s="251" t="s">
        <v>680</v>
      </c>
      <c r="G130" s="251" t="s">
        <v>681</v>
      </c>
      <c r="H130" s="251" t="s">
        <v>682</v>
      </c>
      <c r="I130" s="251" t="s">
        <v>1561</v>
      </c>
      <c r="J130" s="251" t="s">
        <v>4193</v>
      </c>
    </row>
    <row r="131" spans="1:10">
      <c r="A131" s="385">
        <v>129</v>
      </c>
      <c r="B131" s="251" t="s">
        <v>4194</v>
      </c>
      <c r="C131" s="251" t="s">
        <v>4195</v>
      </c>
      <c r="D131" s="251" t="s">
        <v>4196</v>
      </c>
      <c r="E131" s="251" t="s">
        <v>3707</v>
      </c>
      <c r="F131" s="251" t="s">
        <v>680</v>
      </c>
      <c r="G131" s="251" t="s">
        <v>681</v>
      </c>
      <c r="H131" s="251" t="s">
        <v>682</v>
      </c>
      <c r="I131" s="251" t="s">
        <v>1561</v>
      </c>
      <c r="J131" s="251" t="s">
        <v>4197</v>
      </c>
    </row>
    <row r="132" spans="1:10">
      <c r="A132" s="385">
        <v>130</v>
      </c>
      <c r="B132" s="251" t="s">
        <v>4198</v>
      </c>
      <c r="C132" s="251" t="s">
        <v>4199</v>
      </c>
      <c r="D132" s="251" t="s">
        <v>4200</v>
      </c>
      <c r="E132" s="251" t="s">
        <v>3707</v>
      </c>
      <c r="F132" s="251" t="s">
        <v>680</v>
      </c>
      <c r="G132" s="251" t="s">
        <v>681</v>
      </c>
      <c r="H132" s="251" t="s">
        <v>682</v>
      </c>
      <c r="I132" s="251" t="s">
        <v>1561</v>
      </c>
      <c r="J132" s="251" t="s">
        <v>4201</v>
      </c>
    </row>
    <row r="133" spans="1:10">
      <c r="A133" s="385">
        <v>131</v>
      </c>
      <c r="B133" s="251" t="s">
        <v>4202</v>
      </c>
      <c r="C133" s="251" t="s">
        <v>4203</v>
      </c>
      <c r="D133" s="251" t="s">
        <v>4204</v>
      </c>
      <c r="E133" s="251" t="s">
        <v>3707</v>
      </c>
      <c r="F133" s="251" t="s">
        <v>680</v>
      </c>
      <c r="G133" s="251" t="s">
        <v>681</v>
      </c>
      <c r="H133" s="251" t="s">
        <v>682</v>
      </c>
      <c r="I133" s="251" t="s">
        <v>1588</v>
      </c>
      <c r="J133" s="251" t="s">
        <v>4205</v>
      </c>
    </row>
    <row r="134" spans="1:10">
      <c r="A134" s="385">
        <v>132</v>
      </c>
      <c r="B134" s="251" t="s">
        <v>4206</v>
      </c>
      <c r="C134" s="251" t="s">
        <v>4207</v>
      </c>
      <c r="D134" s="251" t="s">
        <v>4208</v>
      </c>
      <c r="E134" s="251" t="s">
        <v>3707</v>
      </c>
      <c r="F134" s="251" t="s">
        <v>680</v>
      </c>
      <c r="G134" s="251" t="s">
        <v>681</v>
      </c>
      <c r="H134" s="251" t="s">
        <v>682</v>
      </c>
      <c r="I134" s="251" t="s">
        <v>1588</v>
      </c>
      <c r="J134" s="251" t="s">
        <v>4209</v>
      </c>
    </row>
    <row r="135" spans="1:10">
      <c r="A135" s="385">
        <v>133</v>
      </c>
      <c r="B135" s="251" t="s">
        <v>4210</v>
      </c>
      <c r="C135" s="251" t="s">
        <v>4211</v>
      </c>
      <c r="D135" s="251" t="s">
        <v>4212</v>
      </c>
      <c r="E135" s="251" t="s">
        <v>3707</v>
      </c>
      <c r="F135" s="251" t="s">
        <v>680</v>
      </c>
      <c r="G135" s="251" t="s">
        <v>681</v>
      </c>
      <c r="H135" s="251" t="s">
        <v>682</v>
      </c>
      <c r="I135" s="251" t="s">
        <v>1588</v>
      </c>
      <c r="J135" s="251" t="s">
        <v>4213</v>
      </c>
    </row>
    <row r="136" spans="1:10">
      <c r="A136" s="385">
        <v>134</v>
      </c>
      <c r="B136" s="251" t="s">
        <v>4214</v>
      </c>
      <c r="C136" s="251" t="s">
        <v>4215</v>
      </c>
      <c r="D136" s="251" t="s">
        <v>4216</v>
      </c>
      <c r="E136" s="251" t="s">
        <v>3707</v>
      </c>
      <c r="F136" s="251" t="s">
        <v>680</v>
      </c>
      <c r="G136" s="251" t="s">
        <v>681</v>
      </c>
      <c r="H136" s="251" t="s">
        <v>682</v>
      </c>
      <c r="I136" s="251" t="s">
        <v>1588</v>
      </c>
      <c r="J136" s="251" t="s">
        <v>4217</v>
      </c>
    </row>
    <row r="137" spans="1:10">
      <c r="A137" s="385">
        <v>135</v>
      </c>
      <c r="B137" s="251" t="s">
        <v>4218</v>
      </c>
      <c r="C137" s="251" t="s">
        <v>4219</v>
      </c>
      <c r="D137" s="251" t="s">
        <v>4220</v>
      </c>
      <c r="E137" s="251" t="s">
        <v>3707</v>
      </c>
      <c r="F137" s="251" t="s">
        <v>680</v>
      </c>
      <c r="G137" s="251" t="s">
        <v>681</v>
      </c>
      <c r="H137" s="251" t="s">
        <v>682</v>
      </c>
      <c r="I137" s="251" t="s">
        <v>1588</v>
      </c>
      <c r="J137" s="251" t="s">
        <v>4221</v>
      </c>
    </row>
    <row r="138" spans="1:10">
      <c r="A138" s="385">
        <v>136</v>
      </c>
      <c r="B138" s="251" t="s">
        <v>4222</v>
      </c>
      <c r="C138" s="251" t="s">
        <v>4223</v>
      </c>
      <c r="D138" s="251" t="s">
        <v>4224</v>
      </c>
      <c r="E138" s="251" t="s">
        <v>3707</v>
      </c>
      <c r="F138" s="251" t="s">
        <v>680</v>
      </c>
      <c r="G138" s="251" t="s">
        <v>681</v>
      </c>
      <c r="H138" s="251" t="s">
        <v>682</v>
      </c>
      <c r="I138" s="251" t="s">
        <v>1588</v>
      </c>
      <c r="J138" s="251" t="s">
        <v>4225</v>
      </c>
    </row>
    <row r="139" spans="1:10">
      <c r="A139" s="385">
        <v>137</v>
      </c>
      <c r="B139" s="251" t="s">
        <v>4226</v>
      </c>
      <c r="C139" s="251" t="s">
        <v>4227</v>
      </c>
      <c r="D139" s="251" t="s">
        <v>4228</v>
      </c>
      <c r="E139" s="251" t="s">
        <v>3707</v>
      </c>
      <c r="F139" s="251" t="s">
        <v>680</v>
      </c>
      <c r="G139" s="251" t="s">
        <v>681</v>
      </c>
      <c r="H139" s="251" t="s">
        <v>682</v>
      </c>
      <c r="I139" s="251" t="s">
        <v>1588</v>
      </c>
      <c r="J139" s="251" t="s">
        <v>4229</v>
      </c>
    </row>
    <row r="140" spans="1:10">
      <c r="A140" s="385">
        <v>138</v>
      </c>
      <c r="B140" s="251" t="s">
        <v>4230</v>
      </c>
      <c r="C140" s="251" t="s">
        <v>4231</v>
      </c>
      <c r="D140" s="251" t="s">
        <v>4232</v>
      </c>
      <c r="E140" s="251" t="s">
        <v>3707</v>
      </c>
      <c r="F140" s="251" t="s">
        <v>680</v>
      </c>
      <c r="G140" s="251" t="s">
        <v>681</v>
      </c>
      <c r="H140" s="251" t="s">
        <v>682</v>
      </c>
      <c r="I140" s="251" t="s">
        <v>1588</v>
      </c>
      <c r="J140" s="251" t="s">
        <v>4233</v>
      </c>
    </row>
    <row r="141" spans="1:10">
      <c r="A141" s="385">
        <v>139</v>
      </c>
      <c r="B141" s="251" t="s">
        <v>4234</v>
      </c>
      <c r="C141" s="251" t="s">
        <v>4235</v>
      </c>
      <c r="D141" s="251" t="s">
        <v>4236</v>
      </c>
      <c r="E141" s="251" t="s">
        <v>3707</v>
      </c>
      <c r="F141" s="251" t="s">
        <v>680</v>
      </c>
      <c r="G141" s="251" t="s">
        <v>681</v>
      </c>
      <c r="H141" s="251" t="s">
        <v>682</v>
      </c>
      <c r="I141" s="251" t="s">
        <v>1588</v>
      </c>
      <c r="J141" s="251" t="s">
        <v>4237</v>
      </c>
    </row>
    <row r="142" spans="1:10">
      <c r="A142" s="385">
        <v>140</v>
      </c>
      <c r="B142" s="251" t="s">
        <v>4238</v>
      </c>
      <c r="C142" s="251" t="s">
        <v>4239</v>
      </c>
      <c r="D142" s="251" t="s">
        <v>4240</v>
      </c>
      <c r="E142" s="251" t="s">
        <v>3707</v>
      </c>
      <c r="F142" s="251" t="s">
        <v>680</v>
      </c>
      <c r="G142" s="251" t="s">
        <v>681</v>
      </c>
      <c r="H142" s="251" t="s">
        <v>682</v>
      </c>
      <c r="I142" s="251" t="s">
        <v>1588</v>
      </c>
      <c r="J142" s="251" t="s">
        <v>4241</v>
      </c>
    </row>
    <row r="143" spans="1:10">
      <c r="A143" s="385">
        <v>141</v>
      </c>
      <c r="B143" s="251" t="s">
        <v>4242</v>
      </c>
      <c r="C143" s="251" t="s">
        <v>4243</v>
      </c>
      <c r="D143" s="251" t="s">
        <v>3730</v>
      </c>
      <c r="E143" s="251" t="s">
        <v>3707</v>
      </c>
      <c r="F143" s="251" t="s">
        <v>680</v>
      </c>
      <c r="G143" s="251" t="s">
        <v>681</v>
      </c>
      <c r="H143" s="251" t="s">
        <v>682</v>
      </c>
      <c r="I143" s="251" t="s">
        <v>1588</v>
      </c>
      <c r="J143" s="251" t="s">
        <v>4244</v>
      </c>
    </row>
    <row r="144" spans="1:10">
      <c r="A144" s="385">
        <v>142</v>
      </c>
      <c r="B144" s="251" t="s">
        <v>4245</v>
      </c>
      <c r="C144" s="251" t="s">
        <v>4246</v>
      </c>
      <c r="D144" s="251" t="s">
        <v>4247</v>
      </c>
      <c r="E144" s="251" t="s">
        <v>3707</v>
      </c>
      <c r="F144" s="251" t="s">
        <v>680</v>
      </c>
      <c r="G144" s="251" t="s">
        <v>681</v>
      </c>
      <c r="H144" s="251" t="s">
        <v>682</v>
      </c>
      <c r="I144" s="251" t="s">
        <v>1588</v>
      </c>
      <c r="J144" s="251" t="s">
        <v>4248</v>
      </c>
    </row>
    <row r="145" spans="1:10">
      <c r="A145" s="385">
        <v>143</v>
      </c>
      <c r="B145" s="251" t="s">
        <v>4249</v>
      </c>
      <c r="C145" s="251" t="s">
        <v>4250</v>
      </c>
      <c r="D145" s="251" t="s">
        <v>4251</v>
      </c>
      <c r="E145" s="251" t="s">
        <v>3707</v>
      </c>
      <c r="F145" s="251" t="s">
        <v>680</v>
      </c>
      <c r="G145" s="251" t="s">
        <v>681</v>
      </c>
      <c r="H145" s="251" t="s">
        <v>682</v>
      </c>
      <c r="I145" s="251" t="s">
        <v>1588</v>
      </c>
      <c r="J145" s="251" t="s">
        <v>4252</v>
      </c>
    </row>
    <row r="146" spans="1:10">
      <c r="A146" s="385">
        <v>144</v>
      </c>
      <c r="B146" s="251" t="s">
        <v>4253</v>
      </c>
      <c r="C146" s="251" t="s">
        <v>4254</v>
      </c>
      <c r="D146" s="251" t="s">
        <v>4255</v>
      </c>
      <c r="E146" s="251" t="s">
        <v>3707</v>
      </c>
      <c r="F146" s="251" t="s">
        <v>3092</v>
      </c>
      <c r="G146" s="251" t="s">
        <v>681</v>
      </c>
      <c r="H146" s="251" t="s">
        <v>682</v>
      </c>
      <c r="I146" s="251" t="s">
        <v>1689</v>
      </c>
      <c r="J146" s="251" t="s">
        <v>4256</v>
      </c>
    </row>
    <row r="147" spans="1:10">
      <c r="A147" s="385">
        <v>145</v>
      </c>
      <c r="B147" s="251" t="s">
        <v>4257</v>
      </c>
      <c r="C147" s="251" t="s">
        <v>4258</v>
      </c>
      <c r="D147" s="251" t="s">
        <v>4259</v>
      </c>
      <c r="E147" s="251" t="s">
        <v>3707</v>
      </c>
      <c r="F147" s="251" t="s">
        <v>680</v>
      </c>
      <c r="G147" s="251" t="s">
        <v>681</v>
      </c>
      <c r="H147" s="251" t="s">
        <v>682</v>
      </c>
      <c r="I147" s="251" t="s">
        <v>1689</v>
      </c>
      <c r="J147" s="251" t="s">
        <v>4260</v>
      </c>
    </row>
    <row r="148" spans="1:10">
      <c r="A148" s="385">
        <v>146</v>
      </c>
      <c r="B148" s="251" t="s">
        <v>4261</v>
      </c>
      <c r="C148" s="251" t="s">
        <v>4262</v>
      </c>
      <c r="D148" s="251" t="s">
        <v>3730</v>
      </c>
      <c r="E148" s="251" t="s">
        <v>3707</v>
      </c>
      <c r="F148" s="251" t="s">
        <v>680</v>
      </c>
      <c r="G148" s="251" t="s">
        <v>681</v>
      </c>
      <c r="H148" s="251" t="s">
        <v>682</v>
      </c>
      <c r="I148" s="251" t="s">
        <v>1689</v>
      </c>
      <c r="J148" s="251" t="s">
        <v>4263</v>
      </c>
    </row>
    <row r="149" spans="1:10">
      <c r="A149" s="385">
        <v>147</v>
      </c>
      <c r="B149" s="251" t="s">
        <v>4264</v>
      </c>
      <c r="C149" s="251" t="s">
        <v>4265</v>
      </c>
      <c r="D149" s="251" t="s">
        <v>4266</v>
      </c>
      <c r="E149" s="251" t="s">
        <v>3707</v>
      </c>
      <c r="F149" s="251" t="s">
        <v>680</v>
      </c>
      <c r="G149" s="251" t="s">
        <v>681</v>
      </c>
      <c r="H149" s="251" t="s">
        <v>682</v>
      </c>
      <c r="I149" s="251" t="s">
        <v>1689</v>
      </c>
      <c r="J149" s="251" t="s">
        <v>1752</v>
      </c>
    </row>
    <row r="150" spans="1:10">
      <c r="A150" s="385">
        <v>148</v>
      </c>
      <c r="B150" s="251" t="s">
        <v>4267</v>
      </c>
      <c r="C150" s="251" t="s">
        <v>4268</v>
      </c>
      <c r="D150" s="251" t="s">
        <v>4269</v>
      </c>
      <c r="E150" s="251" t="s">
        <v>3707</v>
      </c>
      <c r="F150" s="251" t="s">
        <v>680</v>
      </c>
      <c r="G150" s="251" t="s">
        <v>681</v>
      </c>
      <c r="H150" s="251" t="s">
        <v>682</v>
      </c>
      <c r="I150" s="251" t="s">
        <v>1689</v>
      </c>
      <c r="J150" s="251" t="s">
        <v>4270</v>
      </c>
    </row>
    <row r="151" spans="1:10">
      <c r="A151" s="385">
        <v>149</v>
      </c>
      <c r="B151" s="251" t="s">
        <v>4271</v>
      </c>
      <c r="C151" s="251" t="s">
        <v>4272</v>
      </c>
      <c r="D151" s="251" t="s">
        <v>3858</v>
      </c>
      <c r="E151" s="251" t="s">
        <v>3707</v>
      </c>
      <c r="F151" s="251" t="s">
        <v>680</v>
      </c>
      <c r="G151" s="251" t="s">
        <v>681</v>
      </c>
      <c r="H151" s="251" t="s">
        <v>682</v>
      </c>
      <c r="I151" s="251" t="s">
        <v>1689</v>
      </c>
      <c r="J151" s="251" t="s">
        <v>4273</v>
      </c>
    </row>
    <row r="152" spans="1:10">
      <c r="A152" s="385">
        <v>150</v>
      </c>
      <c r="B152" s="251" t="s">
        <v>4274</v>
      </c>
      <c r="C152" s="251" t="s">
        <v>4275</v>
      </c>
      <c r="D152" s="251" t="s">
        <v>4276</v>
      </c>
      <c r="E152" s="251" t="s">
        <v>3707</v>
      </c>
      <c r="F152" s="251" t="s">
        <v>680</v>
      </c>
      <c r="G152" s="251" t="s">
        <v>681</v>
      </c>
      <c r="H152" s="251" t="s">
        <v>682</v>
      </c>
      <c r="I152" s="251" t="s">
        <v>1689</v>
      </c>
      <c r="J152" s="251" t="s">
        <v>4277</v>
      </c>
    </row>
    <row r="153" spans="1:10">
      <c r="A153" s="385">
        <v>151</v>
      </c>
      <c r="B153" s="251" t="s">
        <v>4278</v>
      </c>
      <c r="C153" s="251" t="s">
        <v>4279</v>
      </c>
      <c r="D153" s="251" t="s">
        <v>4017</v>
      </c>
      <c r="E153" s="251" t="s">
        <v>3707</v>
      </c>
      <c r="F153" s="251" t="s">
        <v>680</v>
      </c>
      <c r="G153" s="251" t="s">
        <v>681</v>
      </c>
      <c r="H153" s="251" t="s">
        <v>682</v>
      </c>
      <c r="I153" s="251" t="s">
        <v>1689</v>
      </c>
      <c r="J153" s="251" t="s">
        <v>4280</v>
      </c>
    </row>
    <row r="154" spans="1:10">
      <c r="A154" s="385">
        <v>152</v>
      </c>
      <c r="B154" s="251" t="s">
        <v>4281</v>
      </c>
      <c r="C154" s="251" t="s">
        <v>4282</v>
      </c>
      <c r="D154" s="251" t="s">
        <v>4283</v>
      </c>
      <c r="E154" s="251" t="s">
        <v>3707</v>
      </c>
      <c r="F154" s="251" t="s">
        <v>680</v>
      </c>
      <c r="G154" s="251" t="s">
        <v>681</v>
      </c>
      <c r="H154" s="251" t="s">
        <v>682</v>
      </c>
      <c r="I154" s="251" t="s">
        <v>1689</v>
      </c>
      <c r="J154" s="251" t="s">
        <v>4284</v>
      </c>
    </row>
    <row r="155" spans="1:10">
      <c r="A155" s="385">
        <v>153</v>
      </c>
      <c r="B155" s="251" t="s">
        <v>4285</v>
      </c>
      <c r="C155" s="251" t="s">
        <v>4286</v>
      </c>
      <c r="D155" s="251" t="s">
        <v>4287</v>
      </c>
      <c r="E155" s="251" t="s">
        <v>3707</v>
      </c>
      <c r="F155" s="251" t="s">
        <v>680</v>
      </c>
      <c r="G155" s="251" t="s">
        <v>681</v>
      </c>
      <c r="H155" s="251" t="s">
        <v>682</v>
      </c>
      <c r="I155" s="251" t="s">
        <v>1689</v>
      </c>
      <c r="J155" s="251" t="s">
        <v>4288</v>
      </c>
    </row>
    <row r="156" spans="1:10">
      <c r="A156" s="385">
        <v>154</v>
      </c>
      <c r="B156" s="251" t="s">
        <v>4289</v>
      </c>
      <c r="C156" s="251" t="s">
        <v>4290</v>
      </c>
      <c r="D156" s="251" t="s">
        <v>3991</v>
      </c>
      <c r="E156" s="251" t="s">
        <v>3707</v>
      </c>
      <c r="F156" s="251" t="s">
        <v>680</v>
      </c>
      <c r="G156" s="251" t="s">
        <v>681</v>
      </c>
      <c r="H156" s="251" t="s">
        <v>682</v>
      </c>
      <c r="I156" s="251" t="s">
        <v>1689</v>
      </c>
      <c r="J156" s="251" t="s">
        <v>4291</v>
      </c>
    </row>
    <row r="157" spans="1:10">
      <c r="A157" s="385">
        <v>155</v>
      </c>
      <c r="B157" s="251" t="s">
        <v>4292</v>
      </c>
      <c r="C157" s="251" t="s">
        <v>4293</v>
      </c>
      <c r="D157" s="251" t="s">
        <v>4294</v>
      </c>
      <c r="E157" s="251" t="s">
        <v>3707</v>
      </c>
      <c r="F157" s="251" t="s">
        <v>680</v>
      </c>
      <c r="G157" s="251" t="s">
        <v>681</v>
      </c>
      <c r="H157" s="251" t="s">
        <v>682</v>
      </c>
      <c r="I157" s="251" t="s">
        <v>1689</v>
      </c>
      <c r="J157" s="251" t="s">
        <v>4295</v>
      </c>
    </row>
    <row r="158" spans="1:10">
      <c r="A158" s="385">
        <v>156</v>
      </c>
      <c r="B158" s="251" t="s">
        <v>4296</v>
      </c>
      <c r="C158" s="251" t="s">
        <v>4297</v>
      </c>
      <c r="D158" s="251" t="s">
        <v>4298</v>
      </c>
      <c r="E158" s="251" t="s">
        <v>3707</v>
      </c>
      <c r="F158" s="251" t="s">
        <v>680</v>
      </c>
      <c r="G158" s="251" t="s">
        <v>681</v>
      </c>
      <c r="H158" s="251" t="s">
        <v>682</v>
      </c>
      <c r="I158" s="251" t="s">
        <v>1689</v>
      </c>
      <c r="J158" s="251" t="s">
        <v>4299</v>
      </c>
    </row>
    <row r="159" spans="1:10">
      <c r="A159" s="385">
        <v>157</v>
      </c>
      <c r="B159" s="251" t="s">
        <v>4300</v>
      </c>
      <c r="C159" s="251" t="s">
        <v>4301</v>
      </c>
      <c r="D159" s="251" t="s">
        <v>4302</v>
      </c>
      <c r="E159" s="251" t="s">
        <v>3707</v>
      </c>
      <c r="F159" s="251" t="s">
        <v>680</v>
      </c>
      <c r="G159" s="251" t="s">
        <v>681</v>
      </c>
      <c r="H159" s="251" t="s">
        <v>682</v>
      </c>
      <c r="I159" s="251" t="s">
        <v>1689</v>
      </c>
      <c r="J159" s="251" t="s">
        <v>4303</v>
      </c>
    </row>
    <row r="160" spans="1:10">
      <c r="A160" s="385">
        <v>158</v>
      </c>
      <c r="B160" s="251" t="s">
        <v>4304</v>
      </c>
      <c r="C160" s="251" t="s">
        <v>4305</v>
      </c>
      <c r="D160" s="251" t="s">
        <v>4306</v>
      </c>
      <c r="E160" s="251" t="s">
        <v>3707</v>
      </c>
      <c r="F160" s="251" t="s">
        <v>680</v>
      </c>
      <c r="G160" s="251" t="s">
        <v>681</v>
      </c>
      <c r="H160" s="251" t="s">
        <v>682</v>
      </c>
      <c r="I160" s="251" t="s">
        <v>1689</v>
      </c>
      <c r="J160" s="251" t="s">
        <v>4307</v>
      </c>
    </row>
    <row r="161" spans="1:10">
      <c r="A161" s="385">
        <v>159</v>
      </c>
      <c r="B161" s="251" t="s">
        <v>4308</v>
      </c>
      <c r="C161" s="251" t="s">
        <v>4309</v>
      </c>
      <c r="D161" s="251" t="s">
        <v>4310</v>
      </c>
      <c r="E161" s="251" t="s">
        <v>3707</v>
      </c>
      <c r="F161" s="251" t="s">
        <v>680</v>
      </c>
      <c r="G161" s="251" t="s">
        <v>681</v>
      </c>
      <c r="H161" s="251" t="s">
        <v>682</v>
      </c>
      <c r="I161" s="251" t="s">
        <v>1689</v>
      </c>
      <c r="J161" s="251" t="s">
        <v>4311</v>
      </c>
    </row>
    <row r="162" spans="1:10">
      <c r="A162" s="385">
        <v>160</v>
      </c>
      <c r="B162" s="251" t="s">
        <v>4312</v>
      </c>
      <c r="C162" s="251"/>
      <c r="D162" s="251" t="s">
        <v>4313</v>
      </c>
      <c r="E162" s="251" t="s">
        <v>3707</v>
      </c>
      <c r="F162" s="251" t="s">
        <v>680</v>
      </c>
      <c r="G162" s="251" t="s">
        <v>681</v>
      </c>
      <c r="H162" s="251" t="s">
        <v>682</v>
      </c>
      <c r="I162" s="251" t="s">
        <v>1689</v>
      </c>
      <c r="J162" s="251" t="s">
        <v>4314</v>
      </c>
    </row>
    <row r="163" spans="1:10">
      <c r="A163" s="385">
        <v>161</v>
      </c>
      <c r="B163" s="251" t="s">
        <v>4315</v>
      </c>
      <c r="C163" s="251" t="s">
        <v>4316</v>
      </c>
      <c r="D163" s="251" t="s">
        <v>4317</v>
      </c>
      <c r="E163" s="251" t="s">
        <v>3707</v>
      </c>
      <c r="F163" s="251" t="s">
        <v>680</v>
      </c>
      <c r="G163" s="251" t="s">
        <v>681</v>
      </c>
      <c r="H163" s="251" t="s">
        <v>682</v>
      </c>
      <c r="I163" s="251" t="s">
        <v>1798</v>
      </c>
      <c r="J163" s="251" t="s">
        <v>4318</v>
      </c>
    </row>
    <row r="164" spans="1:10">
      <c r="A164" s="385">
        <v>162</v>
      </c>
      <c r="B164" s="251" t="s">
        <v>4319</v>
      </c>
      <c r="C164" s="251" t="s">
        <v>4320</v>
      </c>
      <c r="D164" s="251" t="s">
        <v>4321</v>
      </c>
      <c r="E164" s="251" t="s">
        <v>3707</v>
      </c>
      <c r="F164" s="251" t="s">
        <v>680</v>
      </c>
      <c r="G164" s="251" t="s">
        <v>681</v>
      </c>
      <c r="H164" s="251" t="s">
        <v>682</v>
      </c>
      <c r="I164" s="251" t="s">
        <v>1798</v>
      </c>
      <c r="J164" s="251" t="s">
        <v>696</v>
      </c>
    </row>
    <row r="165" spans="1:10">
      <c r="A165" s="385">
        <v>163</v>
      </c>
      <c r="B165" s="251" t="s">
        <v>4322</v>
      </c>
      <c r="C165" s="251" t="s">
        <v>4323</v>
      </c>
      <c r="D165" s="251" t="s">
        <v>4324</v>
      </c>
      <c r="E165" s="251" t="s">
        <v>3707</v>
      </c>
      <c r="F165" s="251" t="s">
        <v>680</v>
      </c>
      <c r="G165" s="251" t="s">
        <v>681</v>
      </c>
      <c r="H165" s="251" t="s">
        <v>682</v>
      </c>
      <c r="I165" s="251" t="s">
        <v>1798</v>
      </c>
      <c r="J165" s="251" t="s">
        <v>3193</v>
      </c>
    </row>
    <row r="166" spans="1:10">
      <c r="A166" s="385">
        <v>164</v>
      </c>
      <c r="B166" s="251" t="s">
        <v>4325</v>
      </c>
      <c r="C166" s="251" t="s">
        <v>4326</v>
      </c>
      <c r="D166" s="251" t="s">
        <v>4327</v>
      </c>
      <c r="E166" s="251" t="s">
        <v>3707</v>
      </c>
      <c r="F166" s="251" t="s">
        <v>680</v>
      </c>
      <c r="G166" s="251" t="s">
        <v>681</v>
      </c>
      <c r="H166" s="251" t="s">
        <v>682</v>
      </c>
      <c r="I166" s="251" t="s">
        <v>1798</v>
      </c>
      <c r="J166" s="251" t="s">
        <v>3280</v>
      </c>
    </row>
    <row r="167" spans="1:10">
      <c r="A167" s="385">
        <v>165</v>
      </c>
      <c r="B167" s="251" t="s">
        <v>4328</v>
      </c>
      <c r="C167" s="251" t="s">
        <v>4329</v>
      </c>
      <c r="D167" s="251" t="s">
        <v>4330</v>
      </c>
      <c r="E167" s="251" t="s">
        <v>3707</v>
      </c>
      <c r="F167" s="251" t="s">
        <v>680</v>
      </c>
      <c r="G167" s="251" t="s">
        <v>681</v>
      </c>
      <c r="H167" s="251" t="s">
        <v>682</v>
      </c>
      <c r="I167" s="251" t="s">
        <v>1798</v>
      </c>
      <c r="J167" s="251" t="s">
        <v>4331</v>
      </c>
    </row>
    <row r="168" spans="1:10">
      <c r="A168" s="385">
        <v>166</v>
      </c>
      <c r="B168" s="251" t="s">
        <v>4332</v>
      </c>
      <c r="C168" s="251" t="s">
        <v>4333</v>
      </c>
      <c r="D168" s="251" t="s">
        <v>4334</v>
      </c>
      <c r="E168" s="251" t="s">
        <v>3707</v>
      </c>
      <c r="F168" s="251" t="s">
        <v>680</v>
      </c>
      <c r="G168" s="251" t="s">
        <v>681</v>
      </c>
      <c r="H168" s="251" t="s">
        <v>682</v>
      </c>
      <c r="I168" s="251" t="s">
        <v>1798</v>
      </c>
      <c r="J168" s="251" t="s">
        <v>3312</v>
      </c>
    </row>
    <row r="169" spans="1:10">
      <c r="A169" s="385">
        <v>167</v>
      </c>
      <c r="B169" s="251" t="s">
        <v>4335</v>
      </c>
      <c r="C169" s="251" t="s">
        <v>4336</v>
      </c>
      <c r="D169" s="251" t="s">
        <v>4337</v>
      </c>
      <c r="E169" s="251" t="s">
        <v>3707</v>
      </c>
      <c r="F169" s="251" t="s">
        <v>680</v>
      </c>
      <c r="G169" s="251" t="s">
        <v>681</v>
      </c>
      <c r="H169" s="251" t="s">
        <v>682</v>
      </c>
      <c r="I169" s="251" t="s">
        <v>1798</v>
      </c>
      <c r="J169" s="251" t="s">
        <v>4338</v>
      </c>
    </row>
    <row r="170" spans="1:10">
      <c r="A170" s="385">
        <v>168</v>
      </c>
      <c r="B170" s="251" t="s">
        <v>4339</v>
      </c>
      <c r="C170" s="251" t="s">
        <v>4340</v>
      </c>
      <c r="D170" s="251" t="s">
        <v>4341</v>
      </c>
      <c r="E170" s="251" t="s">
        <v>3707</v>
      </c>
      <c r="F170" s="251" t="s">
        <v>680</v>
      </c>
      <c r="G170" s="251" t="s">
        <v>681</v>
      </c>
      <c r="H170" s="251" t="s">
        <v>682</v>
      </c>
      <c r="I170" s="251" t="s">
        <v>1798</v>
      </c>
      <c r="J170" s="251" t="s">
        <v>4342</v>
      </c>
    </row>
    <row r="171" spans="1:10">
      <c r="A171" s="385">
        <v>169</v>
      </c>
      <c r="B171" s="251" t="s">
        <v>4343</v>
      </c>
      <c r="C171" s="251" t="s">
        <v>4344</v>
      </c>
      <c r="D171" s="251" t="s">
        <v>4345</v>
      </c>
      <c r="E171" s="251" t="s">
        <v>3707</v>
      </c>
      <c r="F171" s="251" t="s">
        <v>680</v>
      </c>
      <c r="G171" s="251" t="s">
        <v>681</v>
      </c>
      <c r="H171" s="251" t="s">
        <v>682</v>
      </c>
      <c r="I171" s="251" t="s">
        <v>1798</v>
      </c>
      <c r="J171" s="251" t="s">
        <v>4346</v>
      </c>
    </row>
    <row r="172" spans="1:10">
      <c r="A172" s="385">
        <v>170</v>
      </c>
      <c r="B172" s="251" t="s">
        <v>4347</v>
      </c>
      <c r="C172" s="251" t="s">
        <v>4348</v>
      </c>
      <c r="D172" s="251" t="s">
        <v>4349</v>
      </c>
      <c r="E172" s="251" t="s">
        <v>3707</v>
      </c>
      <c r="F172" s="251" t="s">
        <v>680</v>
      </c>
      <c r="G172" s="251" t="s">
        <v>681</v>
      </c>
      <c r="H172" s="251" t="s">
        <v>682</v>
      </c>
      <c r="I172" s="251" t="s">
        <v>1798</v>
      </c>
      <c r="J172" s="251" t="s">
        <v>4350</v>
      </c>
    </row>
    <row r="173" spans="1:10">
      <c r="A173" s="385">
        <v>171</v>
      </c>
      <c r="B173" s="251" t="s">
        <v>4351</v>
      </c>
      <c r="C173" s="251" t="s">
        <v>4352</v>
      </c>
      <c r="D173" s="251" t="s">
        <v>4353</v>
      </c>
      <c r="E173" s="251" t="s">
        <v>3707</v>
      </c>
      <c r="F173" s="251" t="s">
        <v>680</v>
      </c>
      <c r="G173" s="251" t="s">
        <v>681</v>
      </c>
      <c r="H173" s="251" t="s">
        <v>682</v>
      </c>
      <c r="I173" s="251" t="s">
        <v>1798</v>
      </c>
      <c r="J173" s="251" t="s">
        <v>4354</v>
      </c>
    </row>
    <row r="174" spans="1:10">
      <c r="A174" s="385">
        <v>172</v>
      </c>
      <c r="B174" s="251" t="s">
        <v>4355</v>
      </c>
      <c r="C174" s="251" t="s">
        <v>4356</v>
      </c>
      <c r="D174" s="251" t="s">
        <v>4357</v>
      </c>
      <c r="E174" s="251" t="s">
        <v>3707</v>
      </c>
      <c r="F174" s="251" t="s">
        <v>680</v>
      </c>
      <c r="G174" s="251" t="s">
        <v>681</v>
      </c>
      <c r="H174" s="251" t="s">
        <v>682</v>
      </c>
      <c r="I174" s="251" t="s">
        <v>1798</v>
      </c>
      <c r="J174" s="251" t="s">
        <v>4358</v>
      </c>
    </row>
    <row r="175" spans="1:10">
      <c r="A175" s="385">
        <v>173</v>
      </c>
      <c r="B175" s="251" t="s">
        <v>4359</v>
      </c>
      <c r="C175" s="251" t="s">
        <v>4360</v>
      </c>
      <c r="D175" s="251" t="s">
        <v>4361</v>
      </c>
      <c r="E175" s="251" t="s">
        <v>3707</v>
      </c>
      <c r="F175" s="251" t="s">
        <v>3092</v>
      </c>
      <c r="G175" s="251" t="s">
        <v>681</v>
      </c>
      <c r="H175" s="251" t="s">
        <v>682</v>
      </c>
      <c r="I175" s="251" t="s">
        <v>1764</v>
      </c>
      <c r="J175" s="251" t="s">
        <v>4362</v>
      </c>
    </row>
    <row r="176" spans="1:10">
      <c r="A176" s="385">
        <v>174</v>
      </c>
      <c r="B176" s="251" t="s">
        <v>4363</v>
      </c>
      <c r="C176" s="251" t="s">
        <v>4364</v>
      </c>
      <c r="D176" s="251" t="s">
        <v>4365</v>
      </c>
      <c r="E176" s="251" t="s">
        <v>3707</v>
      </c>
      <c r="F176" s="251" t="s">
        <v>680</v>
      </c>
      <c r="G176" s="251" t="s">
        <v>681</v>
      </c>
      <c r="H176" s="251" t="s">
        <v>682</v>
      </c>
      <c r="I176" s="251" t="s">
        <v>1764</v>
      </c>
      <c r="J176" s="251" t="s">
        <v>4366</v>
      </c>
    </row>
    <row r="177" spans="1:10">
      <c r="A177" s="385">
        <v>175</v>
      </c>
      <c r="B177" s="251" t="s">
        <v>4367</v>
      </c>
      <c r="C177" s="251" t="s">
        <v>4368</v>
      </c>
      <c r="D177" s="251" t="s">
        <v>4369</v>
      </c>
      <c r="E177" s="251" t="s">
        <v>3707</v>
      </c>
      <c r="F177" s="251" t="s">
        <v>680</v>
      </c>
      <c r="G177" s="251" t="s">
        <v>681</v>
      </c>
      <c r="H177" s="251" t="s">
        <v>682</v>
      </c>
      <c r="I177" s="251" t="s">
        <v>1764</v>
      </c>
      <c r="J177" s="251" t="s">
        <v>4370</v>
      </c>
    </row>
    <row r="178" spans="1:10">
      <c r="A178" s="385">
        <v>176</v>
      </c>
      <c r="B178" s="251" t="s">
        <v>4371</v>
      </c>
      <c r="C178" s="251" t="s">
        <v>4372</v>
      </c>
      <c r="D178" s="251" t="s">
        <v>4373</v>
      </c>
      <c r="E178" s="251" t="s">
        <v>3707</v>
      </c>
      <c r="F178" s="251" t="s">
        <v>680</v>
      </c>
      <c r="G178" s="251" t="s">
        <v>681</v>
      </c>
      <c r="H178" s="251" t="s">
        <v>682</v>
      </c>
      <c r="I178" s="251" t="s">
        <v>1764</v>
      </c>
      <c r="J178" s="251" t="s">
        <v>4374</v>
      </c>
    </row>
    <row r="179" spans="1:10">
      <c r="A179" s="385">
        <v>177</v>
      </c>
      <c r="B179" s="251" t="s">
        <v>4375</v>
      </c>
      <c r="C179" s="251" t="s">
        <v>4376</v>
      </c>
      <c r="D179" s="251" t="s">
        <v>4377</v>
      </c>
      <c r="E179" s="251" t="s">
        <v>3707</v>
      </c>
      <c r="F179" s="251" t="s">
        <v>680</v>
      </c>
      <c r="G179" s="251" t="s">
        <v>681</v>
      </c>
      <c r="H179" s="251" t="s">
        <v>682</v>
      </c>
      <c r="I179" s="251" t="s">
        <v>1764</v>
      </c>
      <c r="J179" s="251" t="s">
        <v>1786</v>
      </c>
    </row>
    <row r="180" spans="1:10">
      <c r="A180" s="385">
        <v>178</v>
      </c>
      <c r="B180" s="251" t="s">
        <v>4378</v>
      </c>
      <c r="C180" s="251" t="s">
        <v>4379</v>
      </c>
      <c r="D180" s="251" t="s">
        <v>4380</v>
      </c>
      <c r="E180" s="251" t="s">
        <v>3707</v>
      </c>
      <c r="F180" s="251" t="s">
        <v>680</v>
      </c>
      <c r="G180" s="251" t="s">
        <v>681</v>
      </c>
      <c r="H180" s="251" t="s">
        <v>682</v>
      </c>
      <c r="I180" s="251" t="s">
        <v>1764</v>
      </c>
      <c r="J180" s="251" t="s">
        <v>4381</v>
      </c>
    </row>
    <row r="181" spans="1:10">
      <c r="A181" s="385">
        <v>179</v>
      </c>
      <c r="B181" s="251" t="s">
        <v>4382</v>
      </c>
      <c r="C181" s="251" t="s">
        <v>4383</v>
      </c>
      <c r="D181" s="251" t="s">
        <v>4384</v>
      </c>
      <c r="E181" s="251" t="s">
        <v>3707</v>
      </c>
      <c r="F181" s="251" t="s">
        <v>680</v>
      </c>
      <c r="G181" s="251" t="s">
        <v>681</v>
      </c>
      <c r="H181" s="251" t="s">
        <v>682</v>
      </c>
      <c r="I181" s="251" t="s">
        <v>1902</v>
      </c>
      <c r="J181" s="251" t="s">
        <v>4385</v>
      </c>
    </row>
    <row r="182" spans="1:10">
      <c r="A182" s="385">
        <v>180</v>
      </c>
      <c r="B182" s="251" t="s">
        <v>4386</v>
      </c>
      <c r="C182" s="251" t="s">
        <v>4387</v>
      </c>
      <c r="D182" s="251" t="s">
        <v>4169</v>
      </c>
      <c r="E182" s="251" t="s">
        <v>3707</v>
      </c>
      <c r="F182" s="251" t="s">
        <v>680</v>
      </c>
      <c r="G182" s="251" t="s">
        <v>681</v>
      </c>
      <c r="H182" s="251" t="s">
        <v>682</v>
      </c>
      <c r="I182" s="251" t="s">
        <v>1902</v>
      </c>
      <c r="J182" s="251" t="s">
        <v>4388</v>
      </c>
    </row>
    <row r="183" spans="1:10">
      <c r="A183" s="385">
        <v>181</v>
      </c>
      <c r="B183" s="251" t="s">
        <v>4389</v>
      </c>
      <c r="C183" s="251" t="s">
        <v>4390</v>
      </c>
      <c r="D183" s="251" t="s">
        <v>4391</v>
      </c>
      <c r="E183" s="251" t="s">
        <v>3707</v>
      </c>
      <c r="F183" s="251" t="s">
        <v>680</v>
      </c>
      <c r="G183" s="251" t="s">
        <v>681</v>
      </c>
      <c r="H183" s="251" t="s">
        <v>682</v>
      </c>
      <c r="I183" s="251" t="s">
        <v>1902</v>
      </c>
      <c r="J183" s="251" t="s">
        <v>4392</v>
      </c>
    </row>
    <row r="184" spans="1:10">
      <c r="A184" s="385">
        <v>182</v>
      </c>
      <c r="B184" s="251" t="s">
        <v>4393</v>
      </c>
      <c r="C184" s="251" t="s">
        <v>4394</v>
      </c>
      <c r="D184" s="251" t="s">
        <v>4395</v>
      </c>
      <c r="E184" s="251" t="s">
        <v>3707</v>
      </c>
      <c r="F184" s="251" t="s">
        <v>680</v>
      </c>
      <c r="G184" s="251" t="s">
        <v>681</v>
      </c>
      <c r="H184" s="251" t="s">
        <v>682</v>
      </c>
      <c r="I184" s="251" t="s">
        <v>1902</v>
      </c>
      <c r="J184" s="251" t="s">
        <v>4396</v>
      </c>
    </row>
    <row r="185" spans="1:10">
      <c r="A185" s="385">
        <v>183</v>
      </c>
      <c r="B185" s="251" t="s">
        <v>4397</v>
      </c>
      <c r="C185" s="251" t="s">
        <v>4398</v>
      </c>
      <c r="D185" s="251" t="s">
        <v>4399</v>
      </c>
      <c r="E185" s="251" t="s">
        <v>3707</v>
      </c>
      <c r="F185" s="251" t="s">
        <v>680</v>
      </c>
      <c r="G185" s="251" t="s">
        <v>681</v>
      </c>
      <c r="H185" s="251" t="s">
        <v>682</v>
      </c>
      <c r="I185" s="251" t="s">
        <v>1902</v>
      </c>
      <c r="J185" s="251" t="s">
        <v>4400</v>
      </c>
    </row>
    <row r="186" spans="1:10">
      <c r="A186" s="385">
        <v>184</v>
      </c>
      <c r="B186" s="251" t="s">
        <v>4401</v>
      </c>
      <c r="C186" s="251" t="s">
        <v>4402</v>
      </c>
      <c r="D186" s="251" t="s">
        <v>3730</v>
      </c>
      <c r="E186" s="251" t="s">
        <v>3707</v>
      </c>
      <c r="F186" s="251" t="s">
        <v>680</v>
      </c>
      <c r="G186" s="251" t="s">
        <v>681</v>
      </c>
      <c r="H186" s="251" t="s">
        <v>682</v>
      </c>
      <c r="I186" s="251" t="s">
        <v>1902</v>
      </c>
      <c r="J186" s="251" t="s">
        <v>4403</v>
      </c>
    </row>
    <row r="187" spans="1:10">
      <c r="A187" s="385">
        <v>185</v>
      </c>
      <c r="B187" s="251" t="s">
        <v>4404</v>
      </c>
      <c r="C187" s="251" t="s">
        <v>4405</v>
      </c>
      <c r="D187" s="251" t="s">
        <v>4406</v>
      </c>
      <c r="E187" s="251" t="s">
        <v>3707</v>
      </c>
      <c r="F187" s="251" t="s">
        <v>680</v>
      </c>
      <c r="G187" s="251" t="s">
        <v>681</v>
      </c>
      <c r="H187" s="251" t="s">
        <v>682</v>
      </c>
      <c r="I187" s="251" t="s">
        <v>1902</v>
      </c>
      <c r="J187" s="251" t="s">
        <v>4407</v>
      </c>
    </row>
    <row r="188" spans="1:10">
      <c r="A188" s="385">
        <v>186</v>
      </c>
      <c r="B188" s="251" t="s">
        <v>4408</v>
      </c>
      <c r="C188" s="251" t="s">
        <v>4409</v>
      </c>
      <c r="D188" s="251" t="s">
        <v>4410</v>
      </c>
      <c r="E188" s="251" t="s">
        <v>3707</v>
      </c>
      <c r="F188" s="251" t="s">
        <v>680</v>
      </c>
      <c r="G188" s="251" t="s">
        <v>681</v>
      </c>
      <c r="H188" s="251" t="s">
        <v>682</v>
      </c>
      <c r="I188" s="251" t="s">
        <v>1902</v>
      </c>
      <c r="J188" s="251" t="s">
        <v>4411</v>
      </c>
    </row>
    <row r="189" spans="1:10">
      <c r="A189" s="385">
        <v>187</v>
      </c>
      <c r="B189" s="251" t="s">
        <v>4412</v>
      </c>
      <c r="C189" s="251" t="s">
        <v>4413</v>
      </c>
      <c r="D189" s="251" t="s">
        <v>4414</v>
      </c>
      <c r="E189" s="251" t="s">
        <v>3707</v>
      </c>
      <c r="F189" s="251" t="s">
        <v>680</v>
      </c>
      <c r="G189" s="251" t="s">
        <v>681</v>
      </c>
      <c r="H189" s="251" t="s">
        <v>682</v>
      </c>
      <c r="I189" s="251" t="s">
        <v>1962</v>
      </c>
      <c r="J189" s="251" t="s">
        <v>4415</v>
      </c>
    </row>
    <row r="190" spans="1:10">
      <c r="A190" s="385">
        <v>188</v>
      </c>
      <c r="B190" s="251" t="s">
        <v>4416</v>
      </c>
      <c r="C190" s="251" t="s">
        <v>4417</v>
      </c>
      <c r="D190" s="251" t="s">
        <v>3730</v>
      </c>
      <c r="E190" s="251" t="s">
        <v>3707</v>
      </c>
      <c r="F190" s="251" t="s">
        <v>680</v>
      </c>
      <c r="G190" s="251" t="s">
        <v>681</v>
      </c>
      <c r="H190" s="251" t="s">
        <v>682</v>
      </c>
      <c r="I190" s="251" t="s">
        <v>1962</v>
      </c>
      <c r="J190" s="251" t="s">
        <v>1966</v>
      </c>
    </row>
    <row r="191" spans="1:10">
      <c r="A191" s="385">
        <v>189</v>
      </c>
      <c r="B191" s="251" t="s">
        <v>4418</v>
      </c>
      <c r="C191" s="251" t="s">
        <v>4419</v>
      </c>
      <c r="D191" s="251" t="s">
        <v>4017</v>
      </c>
      <c r="E191" s="251" t="s">
        <v>3707</v>
      </c>
      <c r="F191" s="251" t="s">
        <v>680</v>
      </c>
      <c r="G191" s="251" t="s">
        <v>681</v>
      </c>
      <c r="H191" s="251" t="s">
        <v>682</v>
      </c>
      <c r="I191" s="251" t="s">
        <v>1962</v>
      </c>
      <c r="J191" s="251" t="s">
        <v>4420</v>
      </c>
    </row>
    <row r="192" spans="1:10">
      <c r="A192" s="385">
        <v>190</v>
      </c>
      <c r="B192" s="251" t="s">
        <v>4421</v>
      </c>
      <c r="C192" s="251" t="s">
        <v>4422</v>
      </c>
      <c r="D192" s="251" t="s">
        <v>4423</v>
      </c>
      <c r="E192" s="251" t="s">
        <v>3707</v>
      </c>
      <c r="F192" s="251" t="s">
        <v>680</v>
      </c>
      <c r="G192" s="251" t="s">
        <v>681</v>
      </c>
      <c r="H192" s="251" t="s">
        <v>682</v>
      </c>
      <c r="I192" s="251" t="s">
        <v>1962</v>
      </c>
      <c r="J192" s="251" t="s">
        <v>4424</v>
      </c>
    </row>
    <row r="193" spans="1:10">
      <c r="A193" s="385">
        <v>191</v>
      </c>
      <c r="B193" s="251" t="s">
        <v>4425</v>
      </c>
      <c r="C193" s="251" t="s">
        <v>4426</v>
      </c>
      <c r="D193" s="251" t="s">
        <v>3718</v>
      </c>
      <c r="E193" s="251" t="s">
        <v>3707</v>
      </c>
      <c r="F193" s="251" t="s">
        <v>680</v>
      </c>
      <c r="G193" s="251" t="s">
        <v>681</v>
      </c>
      <c r="H193" s="251" t="s">
        <v>682</v>
      </c>
      <c r="I193" s="251" t="s">
        <v>1962</v>
      </c>
      <c r="J193" s="251" t="s">
        <v>4427</v>
      </c>
    </row>
    <row r="194" spans="1:10">
      <c r="A194" s="385">
        <v>192</v>
      </c>
      <c r="B194" s="251" t="s">
        <v>4428</v>
      </c>
      <c r="C194" s="251" t="s">
        <v>4429</v>
      </c>
      <c r="D194" s="251" t="s">
        <v>4430</v>
      </c>
      <c r="E194" s="251" t="s">
        <v>3707</v>
      </c>
      <c r="F194" s="251" t="s">
        <v>680</v>
      </c>
      <c r="G194" s="251" t="s">
        <v>681</v>
      </c>
      <c r="H194" s="251" t="s">
        <v>682</v>
      </c>
      <c r="I194" s="251" t="s">
        <v>1962</v>
      </c>
      <c r="J194" s="251" t="s">
        <v>4431</v>
      </c>
    </row>
    <row r="195" spans="1:10">
      <c r="A195" s="385">
        <v>193</v>
      </c>
      <c r="B195" s="251" t="s">
        <v>4432</v>
      </c>
      <c r="C195" s="251" t="s">
        <v>4433</v>
      </c>
      <c r="D195" s="251" t="s">
        <v>4434</v>
      </c>
      <c r="E195" s="251" t="s">
        <v>3707</v>
      </c>
      <c r="F195" s="251" t="s">
        <v>680</v>
      </c>
      <c r="G195" s="251" t="s">
        <v>681</v>
      </c>
      <c r="H195" s="251" t="s">
        <v>682</v>
      </c>
      <c r="I195" s="251" t="s">
        <v>1962</v>
      </c>
      <c r="J195" s="251" t="s">
        <v>4435</v>
      </c>
    </row>
    <row r="196" spans="1:10">
      <c r="A196" s="385">
        <v>194</v>
      </c>
      <c r="B196" s="251" t="s">
        <v>4436</v>
      </c>
      <c r="C196" s="251" t="s">
        <v>4437</v>
      </c>
      <c r="D196" s="251" t="s">
        <v>4438</v>
      </c>
      <c r="E196" s="251" t="s">
        <v>3707</v>
      </c>
      <c r="F196" s="251" t="s">
        <v>680</v>
      </c>
      <c r="G196" s="251" t="s">
        <v>681</v>
      </c>
      <c r="H196" s="251" t="s">
        <v>682</v>
      </c>
      <c r="I196" s="251" t="s">
        <v>1962</v>
      </c>
      <c r="J196" s="251" t="s">
        <v>1540</v>
      </c>
    </row>
    <row r="197" spans="1:10">
      <c r="A197" s="385">
        <v>195</v>
      </c>
      <c r="B197" s="251" t="s">
        <v>4439</v>
      </c>
      <c r="C197" s="251" t="s">
        <v>4440</v>
      </c>
      <c r="D197" s="251" t="s">
        <v>4441</v>
      </c>
      <c r="E197" s="251" t="s">
        <v>3707</v>
      </c>
      <c r="F197" s="251" t="s">
        <v>680</v>
      </c>
      <c r="G197" s="251" t="s">
        <v>681</v>
      </c>
      <c r="H197" s="251" t="s">
        <v>682</v>
      </c>
      <c r="I197" s="251" t="s">
        <v>1962</v>
      </c>
      <c r="J197" s="251" t="s">
        <v>4442</v>
      </c>
    </row>
    <row r="198" spans="1:10">
      <c r="A198" s="385">
        <v>196</v>
      </c>
      <c r="B198" s="251" t="s">
        <v>4443</v>
      </c>
      <c r="C198" s="251" t="s">
        <v>4444</v>
      </c>
      <c r="D198" s="251" t="s">
        <v>3742</v>
      </c>
      <c r="E198" s="251" t="s">
        <v>3707</v>
      </c>
      <c r="F198" s="251" t="s">
        <v>680</v>
      </c>
      <c r="G198" s="251" t="s">
        <v>681</v>
      </c>
      <c r="H198" s="251" t="s">
        <v>682</v>
      </c>
      <c r="I198" s="251" t="s">
        <v>1999</v>
      </c>
      <c r="J198" s="251" t="s">
        <v>4445</v>
      </c>
    </row>
    <row r="199" spans="1:10">
      <c r="A199" s="385">
        <v>197</v>
      </c>
      <c r="B199" s="251" t="s">
        <v>4446</v>
      </c>
      <c r="C199" s="251" t="s">
        <v>4447</v>
      </c>
      <c r="D199" s="251" t="s">
        <v>4025</v>
      </c>
      <c r="E199" s="251" t="s">
        <v>3707</v>
      </c>
      <c r="F199" s="251" t="s">
        <v>680</v>
      </c>
      <c r="G199" s="251" t="s">
        <v>681</v>
      </c>
      <c r="H199" s="251" t="s">
        <v>682</v>
      </c>
      <c r="I199" s="251" t="s">
        <v>1999</v>
      </c>
      <c r="J199" s="251" t="s">
        <v>4448</v>
      </c>
    </row>
    <row r="200" spans="1:10">
      <c r="A200" s="385">
        <v>198</v>
      </c>
      <c r="B200" s="251" t="s">
        <v>4449</v>
      </c>
      <c r="C200" s="251" t="s">
        <v>4450</v>
      </c>
      <c r="D200" s="251" t="s">
        <v>4451</v>
      </c>
      <c r="E200" s="251" t="s">
        <v>3707</v>
      </c>
      <c r="F200" s="251" t="s">
        <v>680</v>
      </c>
      <c r="G200" s="251" t="s">
        <v>681</v>
      </c>
      <c r="H200" s="251" t="s">
        <v>682</v>
      </c>
      <c r="I200" s="251" t="s">
        <v>1999</v>
      </c>
      <c r="J200" s="251" t="s">
        <v>4452</v>
      </c>
    </row>
    <row r="201" spans="1:10">
      <c r="A201" s="385">
        <v>199</v>
      </c>
      <c r="B201" s="251" t="s">
        <v>4453</v>
      </c>
      <c r="C201" s="251" t="s">
        <v>4454</v>
      </c>
      <c r="D201" s="251" t="s">
        <v>4455</v>
      </c>
      <c r="E201" s="251" t="s">
        <v>3707</v>
      </c>
      <c r="F201" s="251" t="s">
        <v>680</v>
      </c>
      <c r="G201" s="251" t="s">
        <v>681</v>
      </c>
      <c r="H201" s="251" t="s">
        <v>682</v>
      </c>
      <c r="I201" s="251" t="s">
        <v>1999</v>
      </c>
      <c r="J201" s="251" t="s">
        <v>4456</v>
      </c>
    </row>
    <row r="202" spans="1:10">
      <c r="A202" s="385">
        <v>200</v>
      </c>
      <c r="B202" s="251" t="s">
        <v>4457</v>
      </c>
      <c r="C202" s="251" t="s">
        <v>4458</v>
      </c>
      <c r="D202" s="251" t="s">
        <v>4459</v>
      </c>
      <c r="E202" s="251" t="s">
        <v>3707</v>
      </c>
      <c r="F202" s="251" t="s">
        <v>680</v>
      </c>
      <c r="G202" s="251" t="s">
        <v>681</v>
      </c>
      <c r="H202" s="251" t="s">
        <v>682</v>
      </c>
      <c r="I202" s="251" t="s">
        <v>1999</v>
      </c>
      <c r="J202" s="251" t="s">
        <v>4460</v>
      </c>
    </row>
    <row r="203" spans="1:10">
      <c r="A203" s="385">
        <v>201</v>
      </c>
      <c r="B203" s="251" t="s">
        <v>4461</v>
      </c>
      <c r="C203" s="251" t="s">
        <v>4462</v>
      </c>
      <c r="D203" s="251" t="s">
        <v>4463</v>
      </c>
      <c r="E203" s="251" t="s">
        <v>3707</v>
      </c>
      <c r="F203" s="251" t="s">
        <v>680</v>
      </c>
      <c r="G203" s="251" t="s">
        <v>681</v>
      </c>
      <c r="H203" s="251" t="s">
        <v>682</v>
      </c>
      <c r="I203" s="251" t="s">
        <v>1999</v>
      </c>
      <c r="J203" s="251" t="s">
        <v>4464</v>
      </c>
    </row>
    <row r="204" spans="1:10">
      <c r="A204" s="385">
        <v>202</v>
      </c>
      <c r="B204" s="251" t="s">
        <v>4465</v>
      </c>
      <c r="C204" s="251" t="s">
        <v>4466</v>
      </c>
      <c r="D204" s="251" t="s">
        <v>4467</v>
      </c>
      <c r="E204" s="251" t="s">
        <v>3707</v>
      </c>
      <c r="F204" s="251" t="s">
        <v>680</v>
      </c>
      <c r="G204" s="251" t="s">
        <v>681</v>
      </c>
      <c r="H204" s="251" t="s">
        <v>682</v>
      </c>
      <c r="I204" s="251" t="s">
        <v>1999</v>
      </c>
      <c r="J204" s="251" t="s">
        <v>4468</v>
      </c>
    </row>
    <row r="205" spans="1:10">
      <c r="A205" s="385">
        <v>203</v>
      </c>
      <c r="B205" s="251" t="s">
        <v>4469</v>
      </c>
      <c r="C205" s="251" t="s">
        <v>4470</v>
      </c>
      <c r="D205" s="251" t="s">
        <v>3858</v>
      </c>
      <c r="E205" s="251" t="s">
        <v>3707</v>
      </c>
      <c r="F205" s="251" t="s">
        <v>680</v>
      </c>
      <c r="G205" s="251" t="s">
        <v>681</v>
      </c>
      <c r="H205" s="251" t="s">
        <v>682</v>
      </c>
      <c r="I205" s="251" t="s">
        <v>1999</v>
      </c>
      <c r="J205" s="251" t="s">
        <v>4471</v>
      </c>
    </row>
    <row r="206" spans="1:10">
      <c r="A206" s="385">
        <v>204</v>
      </c>
      <c r="B206" s="251" t="s">
        <v>4472</v>
      </c>
      <c r="C206" s="251" t="s">
        <v>4473</v>
      </c>
      <c r="D206" s="251" t="s">
        <v>4474</v>
      </c>
      <c r="E206" s="251" t="s">
        <v>3707</v>
      </c>
      <c r="F206" s="251" t="s">
        <v>680</v>
      </c>
      <c r="G206" s="251" t="s">
        <v>681</v>
      </c>
      <c r="H206" s="251" t="s">
        <v>682</v>
      </c>
      <c r="I206" s="251" t="s">
        <v>1999</v>
      </c>
      <c r="J206" s="251" t="s">
        <v>4475</v>
      </c>
    </row>
    <row r="207" spans="1:10">
      <c r="A207" s="385">
        <v>205</v>
      </c>
      <c r="B207" s="251" t="s">
        <v>4476</v>
      </c>
      <c r="C207" s="251" t="s">
        <v>4477</v>
      </c>
      <c r="D207" s="251" t="s">
        <v>3730</v>
      </c>
      <c r="E207" s="251" t="s">
        <v>3707</v>
      </c>
      <c r="F207" s="251" t="s">
        <v>680</v>
      </c>
      <c r="G207" s="251" t="s">
        <v>681</v>
      </c>
      <c r="H207" s="251" t="s">
        <v>682</v>
      </c>
      <c r="I207" s="251" t="s">
        <v>1999</v>
      </c>
      <c r="J207" s="251" t="s">
        <v>4478</v>
      </c>
    </row>
    <row r="208" spans="1:10">
      <c r="A208" s="385">
        <v>206</v>
      </c>
      <c r="B208" s="251" t="s">
        <v>4479</v>
      </c>
      <c r="C208" s="251" t="s">
        <v>4480</v>
      </c>
      <c r="D208" s="251" t="s">
        <v>4481</v>
      </c>
      <c r="E208" s="251" t="s">
        <v>3707</v>
      </c>
      <c r="F208" s="251" t="s">
        <v>680</v>
      </c>
      <c r="G208" s="251" t="s">
        <v>681</v>
      </c>
      <c r="H208" s="251" t="s">
        <v>682</v>
      </c>
      <c r="I208" s="251" t="s">
        <v>1999</v>
      </c>
      <c r="J208" s="251" t="s">
        <v>4482</v>
      </c>
    </row>
    <row r="209" spans="1:10">
      <c r="A209" s="385">
        <v>207</v>
      </c>
      <c r="B209" s="251" t="s">
        <v>4483</v>
      </c>
      <c r="C209" s="251" t="s">
        <v>4484</v>
      </c>
      <c r="D209" s="251" t="s">
        <v>4485</v>
      </c>
      <c r="E209" s="251" t="s">
        <v>3707</v>
      </c>
      <c r="F209" s="251" t="s">
        <v>680</v>
      </c>
      <c r="G209" s="251" t="s">
        <v>681</v>
      </c>
      <c r="H209" s="251" t="s">
        <v>682</v>
      </c>
      <c r="I209" s="251" t="s">
        <v>1999</v>
      </c>
      <c r="J209" s="251" t="s">
        <v>4486</v>
      </c>
    </row>
    <row r="210" spans="1:10">
      <c r="A210" s="385">
        <v>208</v>
      </c>
      <c r="B210" s="251" t="s">
        <v>4487</v>
      </c>
      <c r="C210" s="251" t="s">
        <v>4488</v>
      </c>
      <c r="D210" s="251" t="s">
        <v>4489</v>
      </c>
      <c r="E210" s="251" t="s">
        <v>3707</v>
      </c>
      <c r="F210" s="251" t="s">
        <v>680</v>
      </c>
      <c r="G210" s="251" t="s">
        <v>681</v>
      </c>
      <c r="H210" s="251" t="s">
        <v>682</v>
      </c>
      <c r="I210" s="251" t="s">
        <v>1999</v>
      </c>
      <c r="J210" s="251" t="s">
        <v>4490</v>
      </c>
    </row>
    <row r="211" spans="1:10">
      <c r="A211" s="385">
        <v>209</v>
      </c>
      <c r="B211" s="251" t="s">
        <v>4491</v>
      </c>
      <c r="C211" s="251" t="s">
        <v>4492</v>
      </c>
      <c r="D211" s="251" t="s">
        <v>3858</v>
      </c>
      <c r="E211" s="251" t="s">
        <v>3707</v>
      </c>
      <c r="F211" s="251" t="s">
        <v>680</v>
      </c>
      <c r="G211" s="251" t="s">
        <v>681</v>
      </c>
      <c r="H211" s="251" t="s">
        <v>682</v>
      </c>
      <c r="I211" s="251" t="s">
        <v>1999</v>
      </c>
      <c r="J211" s="251" t="s">
        <v>4493</v>
      </c>
    </row>
    <row r="212" spans="1:10">
      <c r="A212" s="385">
        <v>210</v>
      </c>
      <c r="B212" s="251" t="s">
        <v>4494</v>
      </c>
      <c r="C212" s="251" t="s">
        <v>4495</v>
      </c>
      <c r="D212" s="251" t="s">
        <v>4496</v>
      </c>
      <c r="E212" s="251" t="s">
        <v>3707</v>
      </c>
      <c r="F212" s="251" t="s">
        <v>680</v>
      </c>
      <c r="G212" s="251" t="s">
        <v>681</v>
      </c>
      <c r="H212" s="251" t="s">
        <v>682</v>
      </c>
      <c r="I212" s="251" t="s">
        <v>1999</v>
      </c>
      <c r="J212" s="251" t="s">
        <v>4497</v>
      </c>
    </row>
    <row r="213" spans="1:10">
      <c r="A213" s="385">
        <v>211</v>
      </c>
      <c r="B213" s="251" t="s">
        <v>4498</v>
      </c>
      <c r="C213" s="251" t="s">
        <v>4499</v>
      </c>
      <c r="D213" s="251" t="s">
        <v>4500</v>
      </c>
      <c r="E213" s="251" t="s">
        <v>3707</v>
      </c>
      <c r="F213" s="251" t="s">
        <v>680</v>
      </c>
      <c r="G213" s="251" t="s">
        <v>681</v>
      </c>
      <c r="H213" s="251" t="s">
        <v>682</v>
      </c>
      <c r="I213" s="251" t="s">
        <v>1999</v>
      </c>
      <c r="J213" s="251" t="s">
        <v>1999</v>
      </c>
    </row>
    <row r="214" spans="1:10">
      <c r="A214" s="385">
        <v>212</v>
      </c>
      <c r="B214" s="251" t="s">
        <v>4501</v>
      </c>
      <c r="C214" s="251" t="s">
        <v>4502</v>
      </c>
      <c r="D214" s="251" t="s">
        <v>4503</v>
      </c>
      <c r="E214" s="251" t="s">
        <v>3707</v>
      </c>
      <c r="F214" s="251" t="s">
        <v>680</v>
      </c>
      <c r="G214" s="251" t="s">
        <v>681</v>
      </c>
      <c r="H214" s="251" t="s">
        <v>682</v>
      </c>
      <c r="I214" s="251" t="s">
        <v>1999</v>
      </c>
      <c r="J214" s="251" t="s">
        <v>3597</v>
      </c>
    </row>
    <row r="215" spans="1:10">
      <c r="A215" s="385">
        <v>213</v>
      </c>
      <c r="B215" s="251" t="s">
        <v>4504</v>
      </c>
      <c r="C215" s="251" t="s">
        <v>4505</v>
      </c>
      <c r="D215" s="251" t="s">
        <v>4506</v>
      </c>
      <c r="E215" s="251" t="s">
        <v>3707</v>
      </c>
      <c r="F215" s="251" t="s">
        <v>3092</v>
      </c>
      <c r="G215" s="251" t="s">
        <v>681</v>
      </c>
      <c r="H215" s="251" t="s">
        <v>682</v>
      </c>
      <c r="I215" s="251" t="s">
        <v>2133</v>
      </c>
      <c r="J215" s="251" t="s">
        <v>4507</v>
      </c>
    </row>
    <row r="216" spans="1:10">
      <c r="A216" s="385">
        <v>214</v>
      </c>
      <c r="B216" s="251" t="s">
        <v>4508</v>
      </c>
      <c r="C216" s="251" t="s">
        <v>4509</v>
      </c>
      <c r="D216" s="251" t="s">
        <v>4510</v>
      </c>
      <c r="E216" s="251" t="s">
        <v>3707</v>
      </c>
      <c r="F216" s="251" t="s">
        <v>680</v>
      </c>
      <c r="G216" s="251" t="s">
        <v>681</v>
      </c>
      <c r="H216" s="251" t="s">
        <v>682</v>
      </c>
      <c r="I216" s="251" t="s">
        <v>2133</v>
      </c>
      <c r="J216" s="251" t="s">
        <v>4511</v>
      </c>
    </row>
    <row r="217" spans="1:10">
      <c r="A217" s="385">
        <v>215</v>
      </c>
      <c r="B217" s="251" t="s">
        <v>4512</v>
      </c>
      <c r="C217" s="251" t="s">
        <v>4513</v>
      </c>
      <c r="D217" s="251" t="s">
        <v>4514</v>
      </c>
      <c r="E217" s="251" t="s">
        <v>3707</v>
      </c>
      <c r="F217" s="251" t="s">
        <v>680</v>
      </c>
      <c r="G217" s="251" t="s">
        <v>681</v>
      </c>
      <c r="H217" s="251" t="s">
        <v>682</v>
      </c>
      <c r="I217" s="251" t="s">
        <v>2133</v>
      </c>
      <c r="J217" s="251" t="s">
        <v>4515</v>
      </c>
    </row>
    <row r="218" spans="1:10">
      <c r="A218" s="385">
        <v>216</v>
      </c>
      <c r="B218" s="251" t="s">
        <v>4516</v>
      </c>
      <c r="C218" s="251" t="s">
        <v>4517</v>
      </c>
      <c r="D218" s="251" t="s">
        <v>4518</v>
      </c>
      <c r="E218" s="251" t="s">
        <v>3707</v>
      </c>
      <c r="F218" s="251" t="s">
        <v>680</v>
      </c>
      <c r="G218" s="251" t="s">
        <v>681</v>
      </c>
      <c r="H218" s="251" t="s">
        <v>682</v>
      </c>
      <c r="I218" s="251" t="s">
        <v>2133</v>
      </c>
      <c r="J218" s="251" t="s">
        <v>4519</v>
      </c>
    </row>
    <row r="219" spans="1:10">
      <c r="A219" s="385">
        <v>217</v>
      </c>
      <c r="B219" s="251" t="s">
        <v>4520</v>
      </c>
      <c r="C219" s="251" t="s">
        <v>4521</v>
      </c>
      <c r="D219" s="251" t="s">
        <v>3991</v>
      </c>
      <c r="E219" s="251" t="s">
        <v>3707</v>
      </c>
      <c r="F219" s="251" t="s">
        <v>680</v>
      </c>
      <c r="G219" s="251" t="s">
        <v>681</v>
      </c>
      <c r="H219" s="251" t="s">
        <v>682</v>
      </c>
      <c r="I219" s="251" t="s">
        <v>2211</v>
      </c>
      <c r="J219" s="251" t="s">
        <v>4522</v>
      </c>
    </row>
    <row r="220" spans="1:10">
      <c r="A220" s="385">
        <v>218</v>
      </c>
      <c r="B220" s="251" t="s">
        <v>4523</v>
      </c>
      <c r="C220" s="251" t="s">
        <v>4524</v>
      </c>
      <c r="D220" s="251" t="s">
        <v>3730</v>
      </c>
      <c r="E220" s="251" t="s">
        <v>3707</v>
      </c>
      <c r="F220" s="251" t="s">
        <v>680</v>
      </c>
      <c r="G220" s="251" t="s">
        <v>681</v>
      </c>
      <c r="H220" s="251" t="s">
        <v>682</v>
      </c>
      <c r="I220" s="251" t="s">
        <v>2211</v>
      </c>
      <c r="J220" s="251" t="s">
        <v>4525</v>
      </c>
    </row>
    <row r="221" spans="1:10">
      <c r="A221" s="385">
        <v>219</v>
      </c>
      <c r="B221" s="251" t="s">
        <v>4526</v>
      </c>
      <c r="C221" s="251" t="s">
        <v>4527</v>
      </c>
      <c r="D221" s="251" t="s">
        <v>4528</v>
      </c>
      <c r="E221" s="251" t="s">
        <v>3707</v>
      </c>
      <c r="F221" s="251" t="s">
        <v>680</v>
      </c>
      <c r="G221" s="251" t="s">
        <v>681</v>
      </c>
      <c r="H221" s="251" t="s">
        <v>682</v>
      </c>
      <c r="I221" s="251" t="s">
        <v>2211</v>
      </c>
      <c r="J221" s="251" t="s">
        <v>4529</v>
      </c>
    </row>
    <row r="222" spans="1:10">
      <c r="A222" s="385">
        <v>220</v>
      </c>
      <c r="B222" s="251" t="s">
        <v>4530</v>
      </c>
      <c r="C222" s="251" t="s">
        <v>4531</v>
      </c>
      <c r="D222" s="251" t="s">
        <v>3718</v>
      </c>
      <c r="E222" s="251" t="s">
        <v>3707</v>
      </c>
      <c r="F222" s="251" t="s">
        <v>680</v>
      </c>
      <c r="G222" s="251" t="s">
        <v>681</v>
      </c>
      <c r="H222" s="251" t="s">
        <v>682</v>
      </c>
      <c r="I222" s="251" t="s">
        <v>2211</v>
      </c>
      <c r="J222" s="251" t="s">
        <v>4532</v>
      </c>
    </row>
    <row r="223" spans="1:10">
      <c r="A223" s="385">
        <v>221</v>
      </c>
      <c r="B223" s="251" t="s">
        <v>4533</v>
      </c>
      <c r="C223" s="251" t="s">
        <v>4534</v>
      </c>
      <c r="D223" s="251" t="s">
        <v>4196</v>
      </c>
      <c r="E223" s="251" t="s">
        <v>3707</v>
      </c>
      <c r="F223" s="251" t="s">
        <v>680</v>
      </c>
      <c r="G223" s="251" t="s">
        <v>681</v>
      </c>
      <c r="H223" s="251" t="s">
        <v>682</v>
      </c>
      <c r="I223" s="251" t="s">
        <v>2211</v>
      </c>
      <c r="J223" s="251" t="s">
        <v>4535</v>
      </c>
    </row>
    <row r="224" spans="1:10">
      <c r="A224" s="385">
        <v>222</v>
      </c>
      <c r="B224" s="251" t="s">
        <v>4536</v>
      </c>
      <c r="C224" s="251" t="s">
        <v>4537</v>
      </c>
      <c r="D224" s="251" t="s">
        <v>4538</v>
      </c>
      <c r="E224" s="251" t="s">
        <v>3707</v>
      </c>
      <c r="F224" s="251" t="s">
        <v>680</v>
      </c>
      <c r="G224" s="251" t="s">
        <v>681</v>
      </c>
      <c r="H224" s="251" t="s">
        <v>682</v>
      </c>
      <c r="I224" s="251" t="s">
        <v>2211</v>
      </c>
      <c r="J224" s="251" t="s">
        <v>4539</v>
      </c>
    </row>
  </sheetData>
  <autoFilter ref="B2:J224">
    <sortState ref="B2:J223">
      <sortCondition ref="I1:I223"/>
    </sortState>
  </autoFilter>
  <mergeCells count="1">
    <mergeCell ref="B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>
      <selection activeCell="D9" sqref="D9"/>
    </sheetView>
  </sheetViews>
  <sheetFormatPr defaultColWidth="8.7265625" defaultRowHeight="14.5"/>
  <cols>
    <col min="1" max="1" width="8.7265625" style="249"/>
    <col min="2" max="2" width="15.26953125" style="249" bestFit="1" customWidth="1"/>
    <col min="3" max="3" width="10.54296875" style="249" bestFit="1" customWidth="1"/>
    <col min="4" max="4" width="43.36328125" style="249" customWidth="1"/>
    <col min="5" max="5" width="18.7265625" style="249" bestFit="1" customWidth="1"/>
    <col min="6" max="6" width="8.1796875" style="249" bestFit="1" customWidth="1"/>
    <col min="7" max="7" width="12.81640625" style="249" bestFit="1" customWidth="1"/>
    <col min="8" max="8" width="14" style="249" bestFit="1" customWidth="1"/>
    <col min="9" max="9" width="15.26953125" style="249" bestFit="1" customWidth="1"/>
    <col min="10" max="10" width="110.81640625" style="249" bestFit="1" customWidth="1"/>
    <col min="11" max="11" width="21.1796875" style="249" bestFit="1" customWidth="1"/>
    <col min="12" max="12" width="23.453125" style="249" bestFit="1" customWidth="1"/>
    <col min="13" max="16384" width="8.7265625" style="249"/>
  </cols>
  <sheetData>
    <row r="1" spans="1:12" ht="21">
      <c r="A1" s="497" t="str">
        <f>"DATA LEMBAGA MADRASAH TSANAWIYAH SEBANNYAK "&amp;A136</f>
        <v>DATA LEMBAGA MADRASAH TSANAWIYAH SEBANNYAK 134</v>
      </c>
      <c r="B1" s="497"/>
      <c r="C1" s="497"/>
      <c r="D1" s="497"/>
      <c r="E1" s="497"/>
      <c r="F1" s="497"/>
      <c r="G1" s="497"/>
      <c r="H1" s="497"/>
      <c r="I1" s="497"/>
      <c r="J1" s="497"/>
    </row>
    <row r="2" spans="1:12">
      <c r="A2" s="256" t="s">
        <v>5120</v>
      </c>
      <c r="B2" s="256" t="s">
        <v>667</v>
      </c>
      <c r="C2" s="256" t="s">
        <v>668</v>
      </c>
      <c r="D2" s="256" t="s">
        <v>669</v>
      </c>
      <c r="E2" s="256" t="s">
        <v>670</v>
      </c>
      <c r="F2" s="256" t="s">
        <v>671</v>
      </c>
      <c r="G2" s="256" t="s">
        <v>672</v>
      </c>
      <c r="H2" s="256" t="s">
        <v>673</v>
      </c>
      <c r="I2" s="256" t="s">
        <v>674</v>
      </c>
      <c r="J2" s="256" t="s">
        <v>675</v>
      </c>
      <c r="K2" s="249" t="s">
        <v>4541</v>
      </c>
      <c r="L2" s="249" t="s">
        <v>4542</v>
      </c>
    </row>
    <row r="3" spans="1:12">
      <c r="A3" s="385">
        <v>1</v>
      </c>
      <c r="B3" s="253" t="s">
        <v>4543</v>
      </c>
      <c r="C3" s="253" t="s">
        <v>4544</v>
      </c>
      <c r="D3" s="253" t="s">
        <v>4545</v>
      </c>
      <c r="E3" s="253" t="s">
        <v>4546</v>
      </c>
      <c r="F3" s="253" t="s">
        <v>680</v>
      </c>
      <c r="G3" s="253" t="s">
        <v>681</v>
      </c>
      <c r="H3" s="253" t="s">
        <v>682</v>
      </c>
      <c r="I3" s="253" t="s">
        <v>683</v>
      </c>
      <c r="J3" s="253" t="s">
        <v>4547</v>
      </c>
      <c r="K3" s="249" t="s">
        <v>4548</v>
      </c>
    </row>
    <row r="4" spans="1:12">
      <c r="A4" s="385">
        <v>2</v>
      </c>
      <c r="B4" s="253" t="s">
        <v>4549</v>
      </c>
      <c r="C4" s="253" t="s">
        <v>4550</v>
      </c>
      <c r="D4" s="253" t="s">
        <v>4551</v>
      </c>
      <c r="E4" s="253" t="s">
        <v>4546</v>
      </c>
      <c r="F4" s="253" t="s">
        <v>680</v>
      </c>
      <c r="G4" s="253" t="s">
        <v>681</v>
      </c>
      <c r="H4" s="253" t="s">
        <v>682</v>
      </c>
      <c r="I4" s="253" t="s">
        <v>683</v>
      </c>
      <c r="J4" s="253" t="s">
        <v>4552</v>
      </c>
      <c r="K4" s="249" t="s">
        <v>4548</v>
      </c>
    </row>
    <row r="5" spans="1:12">
      <c r="A5" s="385">
        <v>3</v>
      </c>
      <c r="B5" s="253" t="s">
        <v>4553</v>
      </c>
      <c r="C5" s="253" t="s">
        <v>4554</v>
      </c>
      <c r="D5" s="253" t="s">
        <v>4555</v>
      </c>
      <c r="E5" s="253" t="s">
        <v>4546</v>
      </c>
      <c r="F5" s="253" t="s">
        <v>680</v>
      </c>
      <c r="G5" s="253" t="s">
        <v>681</v>
      </c>
      <c r="H5" s="253" t="s">
        <v>682</v>
      </c>
      <c r="I5" s="253" t="s">
        <v>683</v>
      </c>
      <c r="J5" s="253" t="s">
        <v>4556</v>
      </c>
      <c r="K5" s="249" t="s">
        <v>4557</v>
      </c>
    </row>
    <row r="6" spans="1:12">
      <c r="A6" s="385">
        <v>4</v>
      </c>
      <c r="B6" s="253" t="s">
        <v>4558</v>
      </c>
      <c r="C6" s="253" t="s">
        <v>4559</v>
      </c>
      <c r="D6" s="253" t="s">
        <v>4560</v>
      </c>
      <c r="E6" s="253" t="s">
        <v>4546</v>
      </c>
      <c r="F6" s="253" t="s">
        <v>680</v>
      </c>
      <c r="G6" s="253" t="s">
        <v>681</v>
      </c>
      <c r="H6" s="253" t="s">
        <v>682</v>
      </c>
      <c r="I6" s="253" t="s">
        <v>683</v>
      </c>
      <c r="J6" s="253" t="s">
        <v>4561</v>
      </c>
      <c r="K6" s="249" t="s">
        <v>4548</v>
      </c>
      <c r="L6" s="249" t="s">
        <v>4562</v>
      </c>
    </row>
    <row r="7" spans="1:12">
      <c r="A7" s="385">
        <v>5</v>
      </c>
      <c r="B7" s="253" t="s">
        <v>4563</v>
      </c>
      <c r="C7" s="253" t="s">
        <v>4564</v>
      </c>
      <c r="D7" s="253" t="s">
        <v>4565</v>
      </c>
      <c r="E7" s="253" t="s">
        <v>4546</v>
      </c>
      <c r="F7" s="253" t="s">
        <v>680</v>
      </c>
      <c r="G7" s="253" t="s">
        <v>681</v>
      </c>
      <c r="H7" s="253" t="s">
        <v>682</v>
      </c>
      <c r="I7" s="253" t="s">
        <v>683</v>
      </c>
      <c r="J7" s="253" t="s">
        <v>1405</v>
      </c>
      <c r="K7" s="249" t="s">
        <v>4548</v>
      </c>
    </row>
    <row r="8" spans="1:12">
      <c r="A8" s="385">
        <v>6</v>
      </c>
      <c r="B8" s="253" t="s">
        <v>4566</v>
      </c>
      <c r="C8" s="253" t="s">
        <v>4567</v>
      </c>
      <c r="D8" s="253" t="s">
        <v>4568</v>
      </c>
      <c r="E8" s="253" t="s">
        <v>4546</v>
      </c>
      <c r="F8" s="253" t="s">
        <v>680</v>
      </c>
      <c r="G8" s="253" t="s">
        <v>681</v>
      </c>
      <c r="H8" s="253" t="s">
        <v>682</v>
      </c>
      <c r="I8" s="253" t="s">
        <v>683</v>
      </c>
      <c r="J8" s="253" t="s">
        <v>4569</v>
      </c>
      <c r="K8" s="249" t="s">
        <v>4548</v>
      </c>
      <c r="L8" s="249" t="s">
        <v>4562</v>
      </c>
    </row>
    <row r="9" spans="1:12">
      <c r="A9" s="385">
        <v>7</v>
      </c>
      <c r="B9" s="253" t="s">
        <v>4570</v>
      </c>
      <c r="C9" s="253" t="s">
        <v>4571</v>
      </c>
      <c r="D9" s="253" t="s">
        <v>4572</v>
      </c>
      <c r="E9" s="253" t="s">
        <v>4546</v>
      </c>
      <c r="F9" s="253" t="s">
        <v>680</v>
      </c>
      <c r="G9" s="253" t="s">
        <v>681</v>
      </c>
      <c r="H9" s="253" t="s">
        <v>682</v>
      </c>
      <c r="I9" s="253" t="s">
        <v>683</v>
      </c>
      <c r="J9" s="253" t="s">
        <v>4573</v>
      </c>
      <c r="K9" s="249" t="s">
        <v>4548</v>
      </c>
      <c r="L9" s="249" t="s">
        <v>4562</v>
      </c>
    </row>
    <row r="10" spans="1:12">
      <c r="A10" s="385">
        <v>8</v>
      </c>
      <c r="B10" s="253" t="s">
        <v>4574</v>
      </c>
      <c r="C10" s="253" t="s">
        <v>4575</v>
      </c>
      <c r="D10" s="253" t="s">
        <v>4576</v>
      </c>
      <c r="E10" s="253" t="s">
        <v>4546</v>
      </c>
      <c r="F10" s="253" t="s">
        <v>680</v>
      </c>
      <c r="G10" s="253" t="s">
        <v>681</v>
      </c>
      <c r="H10" s="253" t="s">
        <v>682</v>
      </c>
      <c r="I10" s="253" t="s">
        <v>736</v>
      </c>
      <c r="J10" s="253" t="s">
        <v>4577</v>
      </c>
      <c r="K10" s="249" t="s">
        <v>4548</v>
      </c>
      <c r="L10" s="249" t="s">
        <v>4562</v>
      </c>
    </row>
    <row r="11" spans="1:12">
      <c r="A11" s="385">
        <v>9</v>
      </c>
      <c r="B11" s="253" t="s">
        <v>4578</v>
      </c>
      <c r="C11" s="253" t="s">
        <v>4579</v>
      </c>
      <c r="D11" s="253" t="s">
        <v>4580</v>
      </c>
      <c r="E11" s="253" t="s">
        <v>4546</v>
      </c>
      <c r="F11" s="253" t="s">
        <v>680</v>
      </c>
      <c r="G11" s="253" t="s">
        <v>681</v>
      </c>
      <c r="H11" s="253" t="s">
        <v>682</v>
      </c>
      <c r="I11" s="253" t="s">
        <v>736</v>
      </c>
      <c r="J11" s="253" t="s">
        <v>4581</v>
      </c>
      <c r="K11" s="249" t="s">
        <v>4548</v>
      </c>
      <c r="L11" s="249" t="s">
        <v>4562</v>
      </c>
    </row>
    <row r="12" spans="1:12">
      <c r="A12" s="385">
        <v>10</v>
      </c>
      <c r="B12" s="253" t="s">
        <v>4582</v>
      </c>
      <c r="C12" s="253" t="s">
        <v>4583</v>
      </c>
      <c r="D12" s="253" t="s">
        <v>4584</v>
      </c>
      <c r="E12" s="253" t="s">
        <v>4546</v>
      </c>
      <c r="F12" s="253" t="s">
        <v>680</v>
      </c>
      <c r="G12" s="253" t="s">
        <v>681</v>
      </c>
      <c r="H12" s="253" t="s">
        <v>682</v>
      </c>
      <c r="I12" s="253" t="s">
        <v>736</v>
      </c>
      <c r="J12" s="253" t="s">
        <v>4585</v>
      </c>
      <c r="K12" s="249" t="s">
        <v>4548</v>
      </c>
      <c r="L12" s="249" t="s">
        <v>4562</v>
      </c>
    </row>
    <row r="13" spans="1:12">
      <c r="A13" s="385">
        <v>11</v>
      </c>
      <c r="B13" s="253" t="s">
        <v>4586</v>
      </c>
      <c r="C13" s="253" t="s">
        <v>4587</v>
      </c>
      <c r="D13" s="253" t="s">
        <v>4588</v>
      </c>
      <c r="E13" s="253" t="s">
        <v>4546</v>
      </c>
      <c r="F13" s="253" t="s">
        <v>680</v>
      </c>
      <c r="G13" s="253" t="s">
        <v>681</v>
      </c>
      <c r="H13" s="253" t="s">
        <v>682</v>
      </c>
      <c r="I13" s="253" t="s">
        <v>736</v>
      </c>
      <c r="J13" s="253" t="s">
        <v>4589</v>
      </c>
      <c r="K13" s="249" t="s">
        <v>4548</v>
      </c>
      <c r="L13" s="249" t="s">
        <v>4562</v>
      </c>
    </row>
    <row r="14" spans="1:12">
      <c r="A14" s="385">
        <v>12</v>
      </c>
      <c r="B14" s="253" t="s">
        <v>4590</v>
      </c>
      <c r="C14" s="253" t="s">
        <v>4591</v>
      </c>
      <c r="D14" s="253" t="s">
        <v>4592</v>
      </c>
      <c r="E14" s="253" t="s">
        <v>4546</v>
      </c>
      <c r="F14" s="253" t="s">
        <v>680</v>
      </c>
      <c r="G14" s="253" t="s">
        <v>681</v>
      </c>
      <c r="H14" s="253" t="s">
        <v>682</v>
      </c>
      <c r="I14" s="253" t="s">
        <v>736</v>
      </c>
      <c r="J14" s="253" t="s">
        <v>4593</v>
      </c>
      <c r="K14" s="249" t="s">
        <v>4548</v>
      </c>
      <c r="L14" s="249" t="s">
        <v>4562</v>
      </c>
    </row>
    <row r="15" spans="1:12">
      <c r="A15" s="385">
        <v>13</v>
      </c>
      <c r="B15" s="253" t="s">
        <v>4594</v>
      </c>
      <c r="C15" s="253" t="s">
        <v>4595</v>
      </c>
      <c r="D15" s="253" t="s">
        <v>4596</v>
      </c>
      <c r="E15" s="253" t="s">
        <v>4546</v>
      </c>
      <c r="F15" s="253" t="s">
        <v>680</v>
      </c>
      <c r="G15" s="253" t="s">
        <v>681</v>
      </c>
      <c r="H15" s="253" t="s">
        <v>682</v>
      </c>
      <c r="I15" s="253" t="s">
        <v>736</v>
      </c>
      <c r="J15" s="253" t="s">
        <v>4597</v>
      </c>
      <c r="K15" s="249" t="s">
        <v>4548</v>
      </c>
      <c r="L15" s="249" t="s">
        <v>4562</v>
      </c>
    </row>
    <row r="16" spans="1:12">
      <c r="A16" s="385">
        <v>14</v>
      </c>
      <c r="B16" s="253" t="s">
        <v>4598</v>
      </c>
      <c r="C16" s="253" t="s">
        <v>4599</v>
      </c>
      <c r="D16" s="253" t="s">
        <v>4600</v>
      </c>
      <c r="E16" s="253" t="s">
        <v>4546</v>
      </c>
      <c r="F16" s="253" t="s">
        <v>680</v>
      </c>
      <c r="G16" s="253" t="s">
        <v>681</v>
      </c>
      <c r="H16" s="253" t="s">
        <v>682</v>
      </c>
      <c r="I16" s="253" t="s">
        <v>736</v>
      </c>
      <c r="J16" s="253" t="s">
        <v>4601</v>
      </c>
      <c r="K16" s="249" t="s">
        <v>4548</v>
      </c>
      <c r="L16" s="249" t="s">
        <v>4562</v>
      </c>
    </row>
    <row r="17" spans="1:12">
      <c r="A17" s="385">
        <v>15</v>
      </c>
      <c r="B17" s="253" t="s">
        <v>4602</v>
      </c>
      <c r="C17" s="253" t="s">
        <v>4603</v>
      </c>
      <c r="D17" s="253" t="s">
        <v>4604</v>
      </c>
      <c r="E17" s="253" t="s">
        <v>4546</v>
      </c>
      <c r="F17" s="253" t="s">
        <v>680</v>
      </c>
      <c r="G17" s="253" t="s">
        <v>681</v>
      </c>
      <c r="H17" s="253" t="s">
        <v>682</v>
      </c>
      <c r="I17" s="253" t="s">
        <v>736</v>
      </c>
      <c r="J17" s="253" t="s">
        <v>4605</v>
      </c>
      <c r="K17" s="249" t="s">
        <v>4548</v>
      </c>
      <c r="L17" s="249" t="s">
        <v>4562</v>
      </c>
    </row>
    <row r="18" spans="1:12">
      <c r="A18" s="385">
        <v>16</v>
      </c>
      <c r="B18" s="253" t="s">
        <v>4606</v>
      </c>
      <c r="C18" s="253" t="s">
        <v>4607</v>
      </c>
      <c r="D18" s="253" t="s">
        <v>4608</v>
      </c>
      <c r="E18" s="253" t="s">
        <v>4546</v>
      </c>
      <c r="F18" s="253" t="s">
        <v>680</v>
      </c>
      <c r="G18" s="253" t="s">
        <v>681</v>
      </c>
      <c r="H18" s="253" t="s">
        <v>682</v>
      </c>
      <c r="I18" s="253" t="s">
        <v>853</v>
      </c>
      <c r="J18" s="253" t="s">
        <v>3809</v>
      </c>
      <c r="K18" s="249" t="s">
        <v>4548</v>
      </c>
    </row>
    <row r="19" spans="1:12">
      <c r="A19" s="385">
        <v>17</v>
      </c>
      <c r="B19" s="253" t="s">
        <v>4609</v>
      </c>
      <c r="C19" s="253" t="s">
        <v>4610</v>
      </c>
      <c r="D19" s="253" t="s">
        <v>4611</v>
      </c>
      <c r="E19" s="253" t="s">
        <v>4546</v>
      </c>
      <c r="F19" s="253" t="s">
        <v>680</v>
      </c>
      <c r="G19" s="253" t="s">
        <v>681</v>
      </c>
      <c r="H19" s="253" t="s">
        <v>682</v>
      </c>
      <c r="I19" s="253" t="s">
        <v>853</v>
      </c>
      <c r="J19" s="253" t="s">
        <v>4612</v>
      </c>
      <c r="K19" s="249" t="s">
        <v>4548</v>
      </c>
      <c r="L19" s="249" t="s">
        <v>4562</v>
      </c>
    </row>
    <row r="20" spans="1:12">
      <c r="A20" s="385">
        <v>18</v>
      </c>
      <c r="B20" s="253" t="s">
        <v>4613</v>
      </c>
      <c r="C20" s="253" t="s">
        <v>4614</v>
      </c>
      <c r="D20" s="253" t="s">
        <v>4615</v>
      </c>
      <c r="E20" s="253" t="s">
        <v>4546</v>
      </c>
      <c r="F20" s="253" t="s">
        <v>680</v>
      </c>
      <c r="G20" s="253" t="s">
        <v>681</v>
      </c>
      <c r="H20" s="253" t="s">
        <v>682</v>
      </c>
      <c r="I20" s="253" t="s">
        <v>853</v>
      </c>
      <c r="J20" s="253" t="s">
        <v>4616</v>
      </c>
      <c r="K20" s="249" t="s">
        <v>4548</v>
      </c>
      <c r="L20" s="249" t="s">
        <v>4562</v>
      </c>
    </row>
    <row r="21" spans="1:12">
      <c r="A21" s="385">
        <v>19</v>
      </c>
      <c r="B21" s="253" t="s">
        <v>4617</v>
      </c>
      <c r="C21" s="253" t="s">
        <v>4618</v>
      </c>
      <c r="D21" s="253" t="s">
        <v>4619</v>
      </c>
      <c r="E21" s="253" t="s">
        <v>4546</v>
      </c>
      <c r="F21" s="253" t="s">
        <v>680</v>
      </c>
      <c r="G21" s="253" t="s">
        <v>681</v>
      </c>
      <c r="H21" s="253" t="s">
        <v>682</v>
      </c>
      <c r="I21" s="253" t="s">
        <v>917</v>
      </c>
      <c r="J21" s="253" t="s">
        <v>2481</v>
      </c>
      <c r="K21" s="249" t="s">
        <v>4548</v>
      </c>
      <c r="L21" s="249" t="s">
        <v>4620</v>
      </c>
    </row>
    <row r="22" spans="1:12">
      <c r="A22" s="385">
        <v>20</v>
      </c>
      <c r="B22" s="253" t="s">
        <v>4621</v>
      </c>
      <c r="C22" s="253" t="s">
        <v>4622</v>
      </c>
      <c r="D22" s="253" t="s">
        <v>4623</v>
      </c>
      <c r="E22" s="253" t="s">
        <v>4546</v>
      </c>
      <c r="F22" s="253" t="s">
        <v>680</v>
      </c>
      <c r="G22" s="253" t="s">
        <v>681</v>
      </c>
      <c r="H22" s="253" t="s">
        <v>682</v>
      </c>
      <c r="I22" s="253" t="s">
        <v>917</v>
      </c>
      <c r="J22" s="253" t="s">
        <v>4624</v>
      </c>
      <c r="K22" s="249" t="s">
        <v>4548</v>
      </c>
      <c r="L22" s="249" t="s">
        <v>4562</v>
      </c>
    </row>
    <row r="23" spans="1:12">
      <c r="A23" s="385">
        <v>21</v>
      </c>
      <c r="B23" s="253" t="s">
        <v>4625</v>
      </c>
      <c r="C23" s="253" t="s">
        <v>4626</v>
      </c>
      <c r="D23" s="253" t="s">
        <v>4627</v>
      </c>
      <c r="E23" s="253" t="s">
        <v>4546</v>
      </c>
      <c r="F23" s="253" t="s">
        <v>680</v>
      </c>
      <c r="G23" s="253" t="s">
        <v>681</v>
      </c>
      <c r="H23" s="253" t="s">
        <v>682</v>
      </c>
      <c r="I23" s="253" t="s">
        <v>926</v>
      </c>
      <c r="J23" s="253" t="s">
        <v>4628</v>
      </c>
      <c r="K23" s="249" t="s">
        <v>4548</v>
      </c>
      <c r="L23" s="249" t="s">
        <v>4562</v>
      </c>
    </row>
    <row r="24" spans="1:12">
      <c r="A24" s="385">
        <v>22</v>
      </c>
      <c r="B24" s="253" t="s">
        <v>4629</v>
      </c>
      <c r="C24" s="253" t="s">
        <v>4630</v>
      </c>
      <c r="D24" s="253" t="s">
        <v>4631</v>
      </c>
      <c r="E24" s="253" t="s">
        <v>4546</v>
      </c>
      <c r="F24" s="253" t="s">
        <v>680</v>
      </c>
      <c r="G24" s="253" t="s">
        <v>681</v>
      </c>
      <c r="H24" s="253" t="s">
        <v>682</v>
      </c>
      <c r="I24" s="253" t="s">
        <v>926</v>
      </c>
      <c r="J24" s="253" t="s">
        <v>4632</v>
      </c>
      <c r="K24" s="249" t="s">
        <v>4548</v>
      </c>
      <c r="L24" s="249" t="s">
        <v>4562</v>
      </c>
    </row>
    <row r="25" spans="1:12">
      <c r="A25" s="385">
        <v>23</v>
      </c>
      <c r="B25" s="253" t="s">
        <v>4633</v>
      </c>
      <c r="C25" s="253" t="s">
        <v>4634</v>
      </c>
      <c r="D25" s="253" t="s">
        <v>4635</v>
      </c>
      <c r="E25" s="253" t="s">
        <v>4546</v>
      </c>
      <c r="F25" s="253" t="s">
        <v>680</v>
      </c>
      <c r="G25" s="253" t="s">
        <v>681</v>
      </c>
      <c r="H25" s="253" t="s">
        <v>682</v>
      </c>
      <c r="I25" s="253" t="s">
        <v>926</v>
      </c>
      <c r="J25" s="253" t="s">
        <v>2604</v>
      </c>
      <c r="K25" s="249" t="s">
        <v>4548</v>
      </c>
      <c r="L25" s="249" t="s">
        <v>4562</v>
      </c>
    </row>
    <row r="26" spans="1:12">
      <c r="A26" s="385">
        <v>24</v>
      </c>
      <c r="B26" s="253" t="s">
        <v>4636</v>
      </c>
      <c r="C26" s="253" t="s">
        <v>4637</v>
      </c>
      <c r="D26" s="253" t="s">
        <v>4638</v>
      </c>
      <c r="E26" s="253" t="s">
        <v>4546</v>
      </c>
      <c r="F26" s="253" t="s">
        <v>680</v>
      </c>
      <c r="G26" s="253" t="s">
        <v>681</v>
      </c>
      <c r="H26" s="253" t="s">
        <v>682</v>
      </c>
      <c r="I26" s="253" t="s">
        <v>926</v>
      </c>
      <c r="J26" s="253" t="s">
        <v>1009</v>
      </c>
      <c r="K26" s="249" t="s">
        <v>4548</v>
      </c>
    </row>
    <row r="27" spans="1:12">
      <c r="A27" s="385">
        <v>25</v>
      </c>
      <c r="B27" s="253" t="s">
        <v>4639</v>
      </c>
      <c r="C27" s="253" t="s">
        <v>4640</v>
      </c>
      <c r="D27" s="253" t="s">
        <v>4641</v>
      </c>
      <c r="E27" s="253" t="s">
        <v>4546</v>
      </c>
      <c r="F27" s="253" t="s">
        <v>680</v>
      </c>
      <c r="G27" s="253" t="s">
        <v>681</v>
      </c>
      <c r="H27" s="253" t="s">
        <v>682</v>
      </c>
      <c r="I27" s="253" t="s">
        <v>926</v>
      </c>
      <c r="J27" s="253" t="s">
        <v>4642</v>
      </c>
      <c r="K27" s="249" t="s">
        <v>4548</v>
      </c>
      <c r="L27" s="249" t="s">
        <v>4562</v>
      </c>
    </row>
    <row r="28" spans="1:12">
      <c r="A28" s="385">
        <v>26</v>
      </c>
      <c r="B28" s="253" t="s">
        <v>4643</v>
      </c>
      <c r="C28" s="253" t="s">
        <v>4644</v>
      </c>
      <c r="D28" s="253" t="s">
        <v>4645</v>
      </c>
      <c r="E28" s="253" t="s">
        <v>4546</v>
      </c>
      <c r="F28" s="253" t="s">
        <v>680</v>
      </c>
      <c r="G28" s="253" t="s">
        <v>681</v>
      </c>
      <c r="H28" s="253" t="s">
        <v>682</v>
      </c>
      <c r="I28" s="253" t="s">
        <v>926</v>
      </c>
      <c r="J28" s="253" t="s">
        <v>3883</v>
      </c>
      <c r="K28" s="249" t="s">
        <v>4548</v>
      </c>
    </row>
    <row r="29" spans="1:12">
      <c r="A29" s="385">
        <v>27</v>
      </c>
      <c r="B29" s="253" t="s">
        <v>4646</v>
      </c>
      <c r="C29" s="253" t="s">
        <v>4647</v>
      </c>
      <c r="D29" s="253" t="s">
        <v>4648</v>
      </c>
      <c r="E29" s="253" t="s">
        <v>4546</v>
      </c>
      <c r="F29" s="253" t="s">
        <v>680</v>
      </c>
      <c r="G29" s="253" t="s">
        <v>681</v>
      </c>
      <c r="H29" s="253" t="s">
        <v>682</v>
      </c>
      <c r="I29" s="253" t="s">
        <v>926</v>
      </c>
      <c r="J29" s="253" t="s">
        <v>4649</v>
      </c>
      <c r="K29" s="249" t="s">
        <v>4548</v>
      </c>
    </row>
    <row r="30" spans="1:12">
      <c r="A30" s="385">
        <v>28</v>
      </c>
      <c r="B30" s="253" t="s">
        <v>4650</v>
      </c>
      <c r="C30" s="253" t="s">
        <v>4651</v>
      </c>
      <c r="D30" s="253" t="s">
        <v>4652</v>
      </c>
      <c r="E30" s="253" t="s">
        <v>4546</v>
      </c>
      <c r="F30" s="253" t="s">
        <v>680</v>
      </c>
      <c r="G30" s="253" t="s">
        <v>681</v>
      </c>
      <c r="H30" s="253" t="s">
        <v>682</v>
      </c>
      <c r="I30" s="253" t="s">
        <v>1055</v>
      </c>
      <c r="J30" s="253" t="s">
        <v>4653</v>
      </c>
      <c r="K30" s="249" t="s">
        <v>4548</v>
      </c>
      <c r="L30" s="249" t="s">
        <v>4562</v>
      </c>
    </row>
    <row r="31" spans="1:12">
      <c r="A31" s="385">
        <v>29</v>
      </c>
      <c r="B31" s="253" t="s">
        <v>4654</v>
      </c>
      <c r="C31" s="253" t="s">
        <v>4655</v>
      </c>
      <c r="D31" s="253" t="s">
        <v>4555</v>
      </c>
      <c r="E31" s="253" t="s">
        <v>4546</v>
      </c>
      <c r="F31" s="253" t="s">
        <v>680</v>
      </c>
      <c r="G31" s="253" t="s">
        <v>681</v>
      </c>
      <c r="H31" s="253" t="s">
        <v>682</v>
      </c>
      <c r="I31" s="253" t="s">
        <v>1055</v>
      </c>
      <c r="J31" s="253" t="s">
        <v>4656</v>
      </c>
      <c r="K31" s="249" t="s">
        <v>4548</v>
      </c>
      <c r="L31" s="249" t="s">
        <v>4562</v>
      </c>
    </row>
    <row r="32" spans="1:12">
      <c r="A32" s="385">
        <v>30</v>
      </c>
      <c r="B32" s="253" t="s">
        <v>4657</v>
      </c>
      <c r="C32" s="253" t="s">
        <v>4658</v>
      </c>
      <c r="D32" s="253" t="s">
        <v>4659</v>
      </c>
      <c r="E32" s="253" t="s">
        <v>4546</v>
      </c>
      <c r="F32" s="253" t="s">
        <v>680</v>
      </c>
      <c r="G32" s="253" t="s">
        <v>681</v>
      </c>
      <c r="H32" s="253" t="s">
        <v>682</v>
      </c>
      <c r="I32" s="253" t="s">
        <v>1055</v>
      </c>
      <c r="J32" s="253" t="s">
        <v>4660</v>
      </c>
      <c r="K32" s="249" t="s">
        <v>4548</v>
      </c>
      <c r="L32" s="249" t="s">
        <v>4562</v>
      </c>
    </row>
    <row r="33" spans="1:12">
      <c r="A33" s="385">
        <v>31</v>
      </c>
      <c r="B33" s="253" t="s">
        <v>4661</v>
      </c>
      <c r="C33" s="253" t="s">
        <v>4662</v>
      </c>
      <c r="D33" s="253" t="s">
        <v>4663</v>
      </c>
      <c r="E33" s="253" t="s">
        <v>4546</v>
      </c>
      <c r="F33" s="253" t="s">
        <v>680</v>
      </c>
      <c r="G33" s="253" t="s">
        <v>681</v>
      </c>
      <c r="H33" s="253" t="s">
        <v>682</v>
      </c>
      <c r="I33" s="253" t="s">
        <v>1055</v>
      </c>
      <c r="J33" s="253" t="s">
        <v>4664</v>
      </c>
      <c r="K33" s="249" t="s">
        <v>4548</v>
      </c>
    </row>
    <row r="34" spans="1:12">
      <c r="A34" s="385">
        <v>32</v>
      </c>
      <c r="B34" s="253" t="s">
        <v>4665</v>
      </c>
      <c r="C34" s="253" t="s">
        <v>4666</v>
      </c>
      <c r="D34" s="253" t="s">
        <v>4667</v>
      </c>
      <c r="E34" s="253" t="s">
        <v>4546</v>
      </c>
      <c r="F34" s="253" t="s">
        <v>680</v>
      </c>
      <c r="G34" s="253" t="s">
        <v>681</v>
      </c>
      <c r="H34" s="253" t="s">
        <v>682</v>
      </c>
      <c r="I34" s="253" t="s">
        <v>1055</v>
      </c>
      <c r="J34" s="253" t="s">
        <v>4668</v>
      </c>
      <c r="K34" s="249" t="s">
        <v>4548</v>
      </c>
      <c r="L34" s="249" t="s">
        <v>4620</v>
      </c>
    </row>
    <row r="35" spans="1:12">
      <c r="A35" s="385">
        <v>33</v>
      </c>
      <c r="B35" s="253" t="s">
        <v>4669</v>
      </c>
      <c r="C35" s="253" t="s">
        <v>4670</v>
      </c>
      <c r="D35" s="253" t="s">
        <v>4671</v>
      </c>
      <c r="E35" s="253" t="s">
        <v>4546</v>
      </c>
      <c r="F35" s="253" t="s">
        <v>680</v>
      </c>
      <c r="G35" s="253" t="s">
        <v>681</v>
      </c>
      <c r="H35" s="253" t="s">
        <v>682</v>
      </c>
      <c r="I35" s="253" t="s">
        <v>1055</v>
      </c>
      <c r="J35" s="253" t="s">
        <v>4672</v>
      </c>
      <c r="K35" s="249" t="s">
        <v>4548</v>
      </c>
      <c r="L35" s="249" t="s">
        <v>4562</v>
      </c>
    </row>
    <row r="36" spans="1:12">
      <c r="A36" s="385">
        <v>34</v>
      </c>
      <c r="B36" s="253" t="s">
        <v>4673</v>
      </c>
      <c r="C36" s="253" t="s">
        <v>4674</v>
      </c>
      <c r="D36" s="253" t="s">
        <v>4675</v>
      </c>
      <c r="E36" s="253" t="s">
        <v>4546</v>
      </c>
      <c r="F36" s="253" t="s">
        <v>680</v>
      </c>
      <c r="G36" s="253" t="s">
        <v>681</v>
      </c>
      <c r="H36" s="253" t="s">
        <v>682</v>
      </c>
      <c r="I36" s="253" t="s">
        <v>1055</v>
      </c>
      <c r="J36" s="253" t="s">
        <v>4676</v>
      </c>
      <c r="K36" s="249" t="s">
        <v>4548</v>
      </c>
      <c r="L36" s="249" t="s">
        <v>4562</v>
      </c>
    </row>
    <row r="37" spans="1:12">
      <c r="A37" s="385">
        <v>35</v>
      </c>
      <c r="B37" s="253" t="s">
        <v>4677</v>
      </c>
      <c r="C37" s="253" t="s">
        <v>4678</v>
      </c>
      <c r="D37" s="253" t="s">
        <v>4679</v>
      </c>
      <c r="E37" s="253" t="s">
        <v>4546</v>
      </c>
      <c r="F37" s="253" t="s">
        <v>680</v>
      </c>
      <c r="G37" s="253" t="s">
        <v>681</v>
      </c>
      <c r="H37" s="253" t="s">
        <v>682</v>
      </c>
      <c r="I37" s="253" t="s">
        <v>1109</v>
      </c>
      <c r="J37" s="253" t="s">
        <v>4680</v>
      </c>
      <c r="K37" s="249" t="s">
        <v>4548</v>
      </c>
      <c r="L37" s="249" t="s">
        <v>4562</v>
      </c>
    </row>
    <row r="38" spans="1:12">
      <c r="A38" s="385">
        <v>36</v>
      </c>
      <c r="B38" s="253" t="s">
        <v>4681</v>
      </c>
      <c r="C38" s="253" t="s">
        <v>4682</v>
      </c>
      <c r="D38" s="253" t="s">
        <v>4683</v>
      </c>
      <c r="E38" s="253" t="s">
        <v>4546</v>
      </c>
      <c r="F38" s="253" t="s">
        <v>680</v>
      </c>
      <c r="G38" s="253" t="s">
        <v>681</v>
      </c>
      <c r="H38" s="253" t="s">
        <v>682</v>
      </c>
      <c r="I38" s="253" t="s">
        <v>1109</v>
      </c>
      <c r="J38" s="253" t="s">
        <v>3941</v>
      </c>
      <c r="K38" s="249" t="s">
        <v>4557</v>
      </c>
      <c r="L38" s="249" t="s">
        <v>4562</v>
      </c>
    </row>
    <row r="39" spans="1:12">
      <c r="A39" s="385">
        <v>37</v>
      </c>
      <c r="B39" s="253" t="s">
        <v>4684</v>
      </c>
      <c r="C39" s="253" t="s">
        <v>4685</v>
      </c>
      <c r="D39" s="253" t="s">
        <v>4686</v>
      </c>
      <c r="E39" s="253" t="s">
        <v>4546</v>
      </c>
      <c r="F39" s="253" t="s">
        <v>680</v>
      </c>
      <c r="G39" s="253" t="s">
        <v>681</v>
      </c>
      <c r="H39" s="253" t="s">
        <v>682</v>
      </c>
      <c r="I39" s="253" t="s">
        <v>1109</v>
      </c>
      <c r="J39" s="253" t="s">
        <v>4687</v>
      </c>
      <c r="K39" s="249" t="s">
        <v>4548</v>
      </c>
    </row>
    <row r="40" spans="1:12">
      <c r="A40" s="385">
        <v>38</v>
      </c>
      <c r="B40" s="253" t="s">
        <v>4688</v>
      </c>
      <c r="C40" s="253" t="s">
        <v>4689</v>
      </c>
      <c r="D40" s="253" t="s">
        <v>4690</v>
      </c>
      <c r="E40" s="253" t="s">
        <v>4546</v>
      </c>
      <c r="F40" s="253" t="s">
        <v>680</v>
      </c>
      <c r="G40" s="253" t="s">
        <v>681</v>
      </c>
      <c r="H40" s="253" t="s">
        <v>682</v>
      </c>
      <c r="I40" s="253" t="s">
        <v>1109</v>
      </c>
      <c r="J40" s="253" t="s">
        <v>4691</v>
      </c>
      <c r="K40" s="249" t="s">
        <v>4557</v>
      </c>
    </row>
    <row r="41" spans="1:12">
      <c r="A41" s="385">
        <v>39</v>
      </c>
      <c r="B41" s="253" t="s">
        <v>4692</v>
      </c>
      <c r="C41" s="253" t="s">
        <v>4693</v>
      </c>
      <c r="D41" s="253" t="s">
        <v>4694</v>
      </c>
      <c r="E41" s="253" t="s">
        <v>4546</v>
      </c>
      <c r="F41" s="253" t="s">
        <v>680</v>
      </c>
      <c r="G41" s="253" t="s">
        <v>681</v>
      </c>
      <c r="H41" s="253" t="s">
        <v>682</v>
      </c>
      <c r="I41" s="253" t="s">
        <v>1168</v>
      </c>
      <c r="J41" s="253" t="s">
        <v>4695</v>
      </c>
      <c r="K41" s="249" t="s">
        <v>4548</v>
      </c>
      <c r="L41" s="249" t="s">
        <v>4562</v>
      </c>
    </row>
    <row r="42" spans="1:12">
      <c r="A42" s="385">
        <v>40</v>
      </c>
      <c r="B42" s="253" t="s">
        <v>4696</v>
      </c>
      <c r="C42" s="253" t="s">
        <v>4697</v>
      </c>
      <c r="D42" s="253" t="s">
        <v>4698</v>
      </c>
      <c r="E42" s="253" t="s">
        <v>4546</v>
      </c>
      <c r="F42" s="253" t="s">
        <v>680</v>
      </c>
      <c r="G42" s="253" t="s">
        <v>681</v>
      </c>
      <c r="H42" s="253" t="s">
        <v>682</v>
      </c>
      <c r="I42" s="253" t="s">
        <v>1168</v>
      </c>
      <c r="J42" s="253" t="s">
        <v>4699</v>
      </c>
      <c r="K42" s="249" t="s">
        <v>4548</v>
      </c>
    </row>
    <row r="43" spans="1:12">
      <c r="A43" s="385">
        <v>41</v>
      </c>
      <c r="B43" s="253" t="s">
        <v>4700</v>
      </c>
      <c r="C43" s="253" t="s">
        <v>4701</v>
      </c>
      <c r="D43" s="253" t="s">
        <v>4702</v>
      </c>
      <c r="E43" s="253" t="s">
        <v>4546</v>
      </c>
      <c r="F43" s="253" t="s">
        <v>680</v>
      </c>
      <c r="G43" s="253" t="s">
        <v>681</v>
      </c>
      <c r="H43" s="253" t="s">
        <v>682</v>
      </c>
      <c r="I43" s="253" t="s">
        <v>1168</v>
      </c>
      <c r="J43" s="253" t="s">
        <v>4703</v>
      </c>
      <c r="K43" s="249" t="s">
        <v>4548</v>
      </c>
      <c r="L43" s="249" t="s">
        <v>4562</v>
      </c>
    </row>
    <row r="44" spans="1:12">
      <c r="A44" s="385">
        <v>42</v>
      </c>
      <c r="B44" s="253" t="s">
        <v>4704</v>
      </c>
      <c r="C44" s="253" t="s">
        <v>4705</v>
      </c>
      <c r="D44" s="253" t="s">
        <v>4706</v>
      </c>
      <c r="E44" s="253" t="s">
        <v>4546</v>
      </c>
      <c r="F44" s="253" t="s">
        <v>680</v>
      </c>
      <c r="G44" s="253" t="s">
        <v>681</v>
      </c>
      <c r="H44" s="253" t="s">
        <v>682</v>
      </c>
      <c r="I44" s="253" t="s">
        <v>1168</v>
      </c>
      <c r="J44" s="253" t="s">
        <v>4707</v>
      </c>
      <c r="K44" s="249" t="s">
        <v>4548</v>
      </c>
      <c r="L44" s="249" t="s">
        <v>4562</v>
      </c>
    </row>
    <row r="45" spans="1:12">
      <c r="A45" s="385">
        <v>43</v>
      </c>
      <c r="B45" s="253" t="s">
        <v>4708</v>
      </c>
      <c r="C45" s="253" t="s">
        <v>4709</v>
      </c>
      <c r="D45" s="253" t="s">
        <v>4710</v>
      </c>
      <c r="E45" s="253" t="s">
        <v>4546</v>
      </c>
      <c r="F45" s="253" t="s">
        <v>680</v>
      </c>
      <c r="G45" s="253" t="s">
        <v>681</v>
      </c>
      <c r="H45" s="253" t="s">
        <v>682</v>
      </c>
      <c r="I45" s="253" t="s">
        <v>1168</v>
      </c>
      <c r="J45" s="253" t="s">
        <v>4711</v>
      </c>
      <c r="K45" s="249" t="s">
        <v>4548</v>
      </c>
      <c r="L45" s="249" t="s">
        <v>4620</v>
      </c>
    </row>
    <row r="46" spans="1:12">
      <c r="A46" s="385">
        <v>44</v>
      </c>
      <c r="B46" s="253" t="s">
        <v>4712</v>
      </c>
      <c r="C46" s="253" t="s">
        <v>4713</v>
      </c>
      <c r="D46" s="253" t="s">
        <v>4714</v>
      </c>
      <c r="E46" s="253" t="s">
        <v>4546</v>
      </c>
      <c r="F46" s="253" t="s">
        <v>680</v>
      </c>
      <c r="G46" s="253" t="s">
        <v>681</v>
      </c>
      <c r="H46" s="253" t="s">
        <v>682</v>
      </c>
      <c r="I46" s="253" t="s">
        <v>1168</v>
      </c>
      <c r="J46" s="253" t="s">
        <v>4715</v>
      </c>
      <c r="K46" s="249" t="s">
        <v>4557</v>
      </c>
      <c r="L46" s="249" t="s">
        <v>4716</v>
      </c>
    </row>
    <row r="47" spans="1:12">
      <c r="A47" s="385">
        <v>45</v>
      </c>
      <c r="B47" s="253" t="s">
        <v>4717</v>
      </c>
      <c r="C47" s="253" t="s">
        <v>4718</v>
      </c>
      <c r="D47" s="253" t="s">
        <v>4719</v>
      </c>
      <c r="E47" s="253" t="s">
        <v>4546</v>
      </c>
      <c r="F47" s="253" t="s">
        <v>680</v>
      </c>
      <c r="G47" s="253" t="s">
        <v>681</v>
      </c>
      <c r="H47" s="253" t="s">
        <v>682</v>
      </c>
      <c r="I47" s="253" t="s">
        <v>1168</v>
      </c>
      <c r="J47" s="253" t="s">
        <v>3961</v>
      </c>
      <c r="K47" s="249" t="s">
        <v>4548</v>
      </c>
      <c r="L47" s="249" t="s">
        <v>4562</v>
      </c>
    </row>
    <row r="48" spans="1:12">
      <c r="A48" s="385">
        <v>46</v>
      </c>
      <c r="B48" s="253" t="s">
        <v>4720</v>
      </c>
      <c r="C48" s="253" t="s">
        <v>4721</v>
      </c>
      <c r="D48" s="253" t="s">
        <v>4722</v>
      </c>
      <c r="E48" s="253" t="s">
        <v>4546</v>
      </c>
      <c r="F48" s="253" t="s">
        <v>680</v>
      </c>
      <c r="G48" s="253" t="s">
        <v>681</v>
      </c>
      <c r="H48" s="253" t="s">
        <v>682</v>
      </c>
      <c r="I48" s="253" t="s">
        <v>1168</v>
      </c>
      <c r="J48" s="253" t="s">
        <v>4723</v>
      </c>
      <c r="K48" s="249" t="s">
        <v>4548</v>
      </c>
    </row>
    <row r="49" spans="1:12">
      <c r="A49" s="385">
        <v>47</v>
      </c>
      <c r="B49" s="253" t="s">
        <v>4724</v>
      </c>
      <c r="C49" s="253" t="s">
        <v>4725</v>
      </c>
      <c r="D49" s="253" t="s">
        <v>4726</v>
      </c>
      <c r="E49" s="253" t="s">
        <v>4546</v>
      </c>
      <c r="F49" s="253" t="s">
        <v>680</v>
      </c>
      <c r="G49" s="253" t="s">
        <v>681</v>
      </c>
      <c r="H49" s="253" t="s">
        <v>682</v>
      </c>
      <c r="I49" s="253" t="s">
        <v>1168</v>
      </c>
      <c r="J49" s="253" t="s">
        <v>4727</v>
      </c>
      <c r="K49" s="249" t="s">
        <v>4548</v>
      </c>
      <c r="L49" s="249" t="s">
        <v>4562</v>
      </c>
    </row>
    <row r="50" spans="1:12">
      <c r="A50" s="385">
        <v>48</v>
      </c>
      <c r="B50" s="253" t="s">
        <v>4728</v>
      </c>
      <c r="C50" s="253" t="s">
        <v>4729</v>
      </c>
      <c r="D50" s="253" t="s">
        <v>4730</v>
      </c>
      <c r="E50" s="253" t="s">
        <v>4546</v>
      </c>
      <c r="F50" s="253" t="s">
        <v>680</v>
      </c>
      <c r="G50" s="253" t="s">
        <v>681</v>
      </c>
      <c r="H50" s="253" t="s">
        <v>682</v>
      </c>
      <c r="I50" s="253" t="s">
        <v>1168</v>
      </c>
      <c r="J50" s="253" t="s">
        <v>4731</v>
      </c>
      <c r="K50" s="249" t="s">
        <v>4548</v>
      </c>
      <c r="L50" s="249" t="s">
        <v>4562</v>
      </c>
    </row>
    <row r="51" spans="1:12">
      <c r="A51" s="385">
        <v>49</v>
      </c>
      <c r="B51" s="253" t="s">
        <v>4732</v>
      </c>
      <c r="C51" s="253" t="s">
        <v>4733</v>
      </c>
      <c r="D51" s="253" t="s">
        <v>4734</v>
      </c>
      <c r="E51" s="253" t="s">
        <v>4546</v>
      </c>
      <c r="F51" s="253" t="s">
        <v>680</v>
      </c>
      <c r="G51" s="253" t="s">
        <v>681</v>
      </c>
      <c r="H51" s="253" t="s">
        <v>682</v>
      </c>
      <c r="I51" s="253" t="s">
        <v>1168</v>
      </c>
      <c r="J51" s="253" t="s">
        <v>4735</v>
      </c>
      <c r="K51" s="249" t="s">
        <v>4557</v>
      </c>
      <c r="L51" s="249" t="s">
        <v>4620</v>
      </c>
    </row>
    <row r="52" spans="1:12">
      <c r="A52" s="385">
        <v>50</v>
      </c>
      <c r="B52" s="253" t="s">
        <v>4736</v>
      </c>
      <c r="C52" s="253" t="s">
        <v>4737</v>
      </c>
      <c r="D52" s="253" t="s">
        <v>4738</v>
      </c>
      <c r="E52" s="253" t="s">
        <v>4546</v>
      </c>
      <c r="F52" s="253" t="s">
        <v>680</v>
      </c>
      <c r="G52" s="253" t="s">
        <v>681</v>
      </c>
      <c r="H52" s="253" t="s">
        <v>682</v>
      </c>
      <c r="I52" s="253" t="s">
        <v>1245</v>
      </c>
      <c r="J52" s="253" t="s">
        <v>4739</v>
      </c>
      <c r="K52" s="249" t="s">
        <v>4548</v>
      </c>
    </row>
    <row r="53" spans="1:12">
      <c r="A53" s="385">
        <v>51</v>
      </c>
      <c r="B53" s="253" t="s">
        <v>4740</v>
      </c>
      <c r="C53" s="253" t="s">
        <v>4741</v>
      </c>
      <c r="D53" s="253" t="s">
        <v>4742</v>
      </c>
      <c r="E53" s="253" t="s">
        <v>4546</v>
      </c>
      <c r="F53" s="253" t="s">
        <v>680</v>
      </c>
      <c r="G53" s="253" t="s">
        <v>681</v>
      </c>
      <c r="H53" s="253" t="s">
        <v>682</v>
      </c>
      <c r="I53" s="253" t="s">
        <v>1245</v>
      </c>
      <c r="J53" s="253" t="s">
        <v>2817</v>
      </c>
      <c r="K53" s="249" t="s">
        <v>4548</v>
      </c>
      <c r="L53" s="249" t="s">
        <v>4562</v>
      </c>
    </row>
    <row r="54" spans="1:12">
      <c r="A54" s="385">
        <v>52</v>
      </c>
      <c r="B54" s="253" t="s">
        <v>4743</v>
      </c>
      <c r="C54" s="253" t="s">
        <v>4744</v>
      </c>
      <c r="D54" s="253" t="s">
        <v>4745</v>
      </c>
      <c r="E54" s="253" t="s">
        <v>4546</v>
      </c>
      <c r="F54" s="253" t="s">
        <v>680</v>
      </c>
      <c r="G54" s="253" t="s">
        <v>681</v>
      </c>
      <c r="H54" s="253" t="s">
        <v>682</v>
      </c>
      <c r="I54" s="253" t="s">
        <v>1245</v>
      </c>
      <c r="J54" s="253" t="s">
        <v>4746</v>
      </c>
      <c r="K54" s="249" t="s">
        <v>4548</v>
      </c>
      <c r="L54" s="249" t="s">
        <v>4562</v>
      </c>
    </row>
    <row r="55" spans="1:12">
      <c r="A55" s="385">
        <v>53</v>
      </c>
      <c r="B55" s="253" t="s">
        <v>4747</v>
      </c>
      <c r="C55" s="253" t="s">
        <v>4748</v>
      </c>
      <c r="D55" s="253" t="s">
        <v>4749</v>
      </c>
      <c r="E55" s="253" t="s">
        <v>4546</v>
      </c>
      <c r="F55" s="253" t="s">
        <v>680</v>
      </c>
      <c r="G55" s="253" t="s">
        <v>681</v>
      </c>
      <c r="H55" s="253" t="s">
        <v>682</v>
      </c>
      <c r="I55" s="253" t="s">
        <v>1245</v>
      </c>
      <c r="J55" s="253" t="s">
        <v>4750</v>
      </c>
      <c r="K55" s="249" t="s">
        <v>4548</v>
      </c>
      <c r="L55" s="249" t="s">
        <v>4562</v>
      </c>
    </row>
    <row r="56" spans="1:12">
      <c r="A56" s="385">
        <v>54</v>
      </c>
      <c r="B56" s="253" t="s">
        <v>4751</v>
      </c>
      <c r="C56" s="253" t="s">
        <v>4752</v>
      </c>
      <c r="D56" s="253" t="s">
        <v>4753</v>
      </c>
      <c r="E56" s="253" t="s">
        <v>4546</v>
      </c>
      <c r="F56" s="253" t="s">
        <v>680</v>
      </c>
      <c r="G56" s="253" t="s">
        <v>681</v>
      </c>
      <c r="H56" s="253" t="s">
        <v>682</v>
      </c>
      <c r="I56" s="253" t="s">
        <v>1245</v>
      </c>
      <c r="J56" s="253" t="s">
        <v>4754</v>
      </c>
      <c r="K56" s="249" t="s">
        <v>4548</v>
      </c>
      <c r="L56" s="249" t="s">
        <v>4562</v>
      </c>
    </row>
    <row r="57" spans="1:12">
      <c r="A57" s="385">
        <v>55</v>
      </c>
      <c r="B57" s="253" t="s">
        <v>4755</v>
      </c>
      <c r="C57" s="253" t="s">
        <v>4756</v>
      </c>
      <c r="D57" s="253" t="s">
        <v>4757</v>
      </c>
      <c r="E57" s="253" t="s">
        <v>4546</v>
      </c>
      <c r="F57" s="253" t="s">
        <v>680</v>
      </c>
      <c r="G57" s="253" t="s">
        <v>681</v>
      </c>
      <c r="H57" s="253" t="s">
        <v>682</v>
      </c>
      <c r="I57" s="253" t="s">
        <v>1245</v>
      </c>
      <c r="J57" s="253" t="s">
        <v>1253</v>
      </c>
      <c r="K57" s="249" t="s">
        <v>4548</v>
      </c>
      <c r="L57" s="249" t="s">
        <v>4562</v>
      </c>
    </row>
    <row r="58" spans="1:12">
      <c r="A58" s="385">
        <v>56</v>
      </c>
      <c r="B58" s="253" t="s">
        <v>4758</v>
      </c>
      <c r="C58" s="253" t="s">
        <v>4759</v>
      </c>
      <c r="D58" s="253" t="s">
        <v>4760</v>
      </c>
      <c r="E58" s="253" t="s">
        <v>4546</v>
      </c>
      <c r="F58" s="253" t="s">
        <v>680</v>
      </c>
      <c r="G58" s="253" t="s">
        <v>681</v>
      </c>
      <c r="H58" s="253" t="s">
        <v>682</v>
      </c>
      <c r="I58" s="253" t="s">
        <v>1245</v>
      </c>
      <c r="J58" s="253" t="s">
        <v>4761</v>
      </c>
      <c r="K58" s="249" t="s">
        <v>4548</v>
      </c>
      <c r="L58" s="249" t="s">
        <v>4562</v>
      </c>
    </row>
    <row r="59" spans="1:12">
      <c r="A59" s="385">
        <v>57</v>
      </c>
      <c r="B59" s="253" t="s">
        <v>4762</v>
      </c>
      <c r="C59" s="253" t="s">
        <v>4763</v>
      </c>
      <c r="D59" s="253" t="s">
        <v>4764</v>
      </c>
      <c r="E59" s="253" t="s">
        <v>4546</v>
      </c>
      <c r="F59" s="253" t="s">
        <v>680</v>
      </c>
      <c r="G59" s="253" t="s">
        <v>681</v>
      </c>
      <c r="H59" s="253" t="s">
        <v>682</v>
      </c>
      <c r="I59" s="253" t="s">
        <v>1245</v>
      </c>
      <c r="J59" s="253" t="s">
        <v>4014</v>
      </c>
      <c r="K59" s="249" t="s">
        <v>4548</v>
      </c>
    </row>
    <row r="60" spans="1:12">
      <c r="A60" s="385">
        <v>58</v>
      </c>
      <c r="B60" s="253" t="s">
        <v>4765</v>
      </c>
      <c r="C60" s="253" t="s">
        <v>4766</v>
      </c>
      <c r="D60" s="253" t="s">
        <v>4767</v>
      </c>
      <c r="E60" s="253" t="s">
        <v>4546</v>
      </c>
      <c r="F60" s="253" t="s">
        <v>680</v>
      </c>
      <c r="G60" s="253" t="s">
        <v>681</v>
      </c>
      <c r="H60" s="253" t="s">
        <v>682</v>
      </c>
      <c r="I60" s="253" t="s">
        <v>1245</v>
      </c>
      <c r="J60" s="253" t="s">
        <v>4768</v>
      </c>
      <c r="K60" s="249" t="s">
        <v>4548</v>
      </c>
      <c r="L60" s="249" t="s">
        <v>4562</v>
      </c>
    </row>
    <row r="61" spans="1:12">
      <c r="A61" s="385">
        <v>59</v>
      </c>
      <c r="B61" s="253" t="s">
        <v>4769</v>
      </c>
      <c r="C61" s="253" t="s">
        <v>4770</v>
      </c>
      <c r="D61" s="253" t="s">
        <v>4771</v>
      </c>
      <c r="E61" s="253" t="s">
        <v>4546</v>
      </c>
      <c r="F61" s="253" t="s">
        <v>680</v>
      </c>
      <c r="G61" s="253" t="s">
        <v>681</v>
      </c>
      <c r="H61" s="253" t="s">
        <v>682</v>
      </c>
      <c r="I61" s="253" t="s">
        <v>1245</v>
      </c>
      <c r="J61" s="253" t="s">
        <v>4772</v>
      </c>
      <c r="K61" s="249" t="s">
        <v>4548</v>
      </c>
      <c r="L61" s="249" t="s">
        <v>4562</v>
      </c>
    </row>
    <row r="62" spans="1:12">
      <c r="A62" s="385">
        <v>60</v>
      </c>
      <c r="B62" s="253" t="s">
        <v>4773</v>
      </c>
      <c r="C62" s="253" t="s">
        <v>4774</v>
      </c>
      <c r="D62" s="253" t="s">
        <v>4775</v>
      </c>
      <c r="E62" s="253" t="s">
        <v>4546</v>
      </c>
      <c r="F62" s="253" t="s">
        <v>680</v>
      </c>
      <c r="G62" s="253" t="s">
        <v>681</v>
      </c>
      <c r="H62" s="253" t="s">
        <v>682</v>
      </c>
      <c r="I62" s="253" t="s">
        <v>1346</v>
      </c>
      <c r="J62" s="253" t="s">
        <v>4776</v>
      </c>
      <c r="K62" s="249" t="s">
        <v>4548</v>
      </c>
      <c r="L62" s="249" t="s">
        <v>4562</v>
      </c>
    </row>
    <row r="63" spans="1:12">
      <c r="A63" s="385">
        <v>61</v>
      </c>
      <c r="B63" s="253" t="s">
        <v>4777</v>
      </c>
      <c r="C63" s="253" t="s">
        <v>4778</v>
      </c>
      <c r="D63" s="253" t="s">
        <v>4779</v>
      </c>
      <c r="E63" s="253" t="s">
        <v>4546</v>
      </c>
      <c r="F63" s="253" t="s">
        <v>680</v>
      </c>
      <c r="G63" s="253" t="s">
        <v>681</v>
      </c>
      <c r="H63" s="253" t="s">
        <v>682</v>
      </c>
      <c r="I63" s="253" t="s">
        <v>1346</v>
      </c>
      <c r="J63" s="253" t="s">
        <v>4780</v>
      </c>
      <c r="K63" s="249" t="s">
        <v>4548</v>
      </c>
      <c r="L63" s="249" t="s">
        <v>4562</v>
      </c>
    </row>
    <row r="64" spans="1:12">
      <c r="A64" s="385">
        <v>62</v>
      </c>
      <c r="B64" s="253" t="s">
        <v>4781</v>
      </c>
      <c r="C64" s="253" t="s">
        <v>4782</v>
      </c>
      <c r="D64" s="253" t="s">
        <v>4742</v>
      </c>
      <c r="E64" s="253" t="s">
        <v>4546</v>
      </c>
      <c r="F64" s="253" t="s">
        <v>680</v>
      </c>
      <c r="G64" s="253" t="s">
        <v>681</v>
      </c>
      <c r="H64" s="253" t="s">
        <v>682</v>
      </c>
      <c r="I64" s="253" t="s">
        <v>1346</v>
      </c>
      <c r="J64" s="253" t="s">
        <v>4783</v>
      </c>
      <c r="K64" s="249" t="s">
        <v>4548</v>
      </c>
      <c r="L64" s="249" t="s">
        <v>4562</v>
      </c>
    </row>
    <row r="65" spans="1:12">
      <c r="A65" s="385">
        <v>63</v>
      </c>
      <c r="B65" s="253" t="s">
        <v>4784</v>
      </c>
      <c r="C65" s="253" t="s">
        <v>4785</v>
      </c>
      <c r="D65" s="253" t="s">
        <v>4786</v>
      </c>
      <c r="E65" s="253" t="s">
        <v>4546</v>
      </c>
      <c r="F65" s="253" t="s">
        <v>680</v>
      </c>
      <c r="G65" s="253" t="s">
        <v>681</v>
      </c>
      <c r="H65" s="253" t="s">
        <v>682</v>
      </c>
      <c r="I65" s="253" t="s">
        <v>1346</v>
      </c>
      <c r="J65" s="253" t="s">
        <v>4787</v>
      </c>
      <c r="K65" s="249" t="s">
        <v>4548</v>
      </c>
      <c r="L65" s="249" t="s">
        <v>4562</v>
      </c>
    </row>
    <row r="66" spans="1:12">
      <c r="A66" s="385">
        <v>64</v>
      </c>
      <c r="B66" s="253" t="s">
        <v>4788</v>
      </c>
      <c r="C66" s="253" t="s">
        <v>4789</v>
      </c>
      <c r="D66" s="253" t="s">
        <v>4790</v>
      </c>
      <c r="E66" s="253" t="s">
        <v>4546</v>
      </c>
      <c r="F66" s="253" t="s">
        <v>680</v>
      </c>
      <c r="G66" s="253" t="s">
        <v>681</v>
      </c>
      <c r="H66" s="253" t="s">
        <v>682</v>
      </c>
      <c r="I66" s="253" t="s">
        <v>1346</v>
      </c>
      <c r="J66" s="253" t="s">
        <v>4791</v>
      </c>
      <c r="K66" s="249" t="s">
        <v>4548</v>
      </c>
      <c r="L66" s="249" t="s">
        <v>4562</v>
      </c>
    </row>
    <row r="67" spans="1:12">
      <c r="A67" s="385">
        <v>65</v>
      </c>
      <c r="B67" s="253" t="s">
        <v>4792</v>
      </c>
      <c r="C67" s="253" t="s">
        <v>4793</v>
      </c>
      <c r="D67" s="253" t="s">
        <v>4794</v>
      </c>
      <c r="E67" s="253" t="s">
        <v>4546</v>
      </c>
      <c r="F67" s="253" t="s">
        <v>680</v>
      </c>
      <c r="G67" s="253" t="s">
        <v>681</v>
      </c>
      <c r="H67" s="253" t="s">
        <v>682</v>
      </c>
      <c r="I67" s="253" t="s">
        <v>1346</v>
      </c>
      <c r="J67" s="253" t="s">
        <v>4795</v>
      </c>
      <c r="K67" s="249" t="s">
        <v>4548</v>
      </c>
      <c r="L67" s="249" t="s">
        <v>4562</v>
      </c>
    </row>
    <row r="68" spans="1:12">
      <c r="A68" s="385">
        <v>66</v>
      </c>
      <c r="B68" s="253" t="s">
        <v>4796</v>
      </c>
      <c r="C68" s="253" t="s">
        <v>4797</v>
      </c>
      <c r="D68" s="253" t="s">
        <v>4798</v>
      </c>
      <c r="E68" s="253" t="s">
        <v>4546</v>
      </c>
      <c r="F68" s="253" t="s">
        <v>680</v>
      </c>
      <c r="G68" s="253" t="s">
        <v>681</v>
      </c>
      <c r="H68" s="253" t="s">
        <v>682</v>
      </c>
      <c r="I68" s="253" t="s">
        <v>1346</v>
      </c>
      <c r="J68" s="253" t="s">
        <v>4799</v>
      </c>
      <c r="K68" s="249" t="s">
        <v>4548</v>
      </c>
      <c r="L68" s="249" t="s">
        <v>4562</v>
      </c>
    </row>
    <row r="69" spans="1:12">
      <c r="A69" s="385">
        <v>67</v>
      </c>
      <c r="B69" s="253" t="s">
        <v>4800</v>
      </c>
      <c r="C69" s="253" t="s">
        <v>4801</v>
      </c>
      <c r="D69" s="253" t="s">
        <v>4802</v>
      </c>
      <c r="E69" s="253" t="s">
        <v>4546</v>
      </c>
      <c r="F69" s="253" t="s">
        <v>680</v>
      </c>
      <c r="G69" s="253" t="s">
        <v>681</v>
      </c>
      <c r="H69" s="253" t="s">
        <v>682</v>
      </c>
      <c r="I69" s="253" t="s">
        <v>1346</v>
      </c>
      <c r="J69" s="253" t="s">
        <v>4803</v>
      </c>
      <c r="K69" s="249" t="s">
        <v>4548</v>
      </c>
      <c r="L69" s="249" t="s">
        <v>4562</v>
      </c>
    </row>
    <row r="70" spans="1:12">
      <c r="A70" s="385">
        <v>68</v>
      </c>
      <c r="B70" s="253" t="s">
        <v>4804</v>
      </c>
      <c r="C70" s="253" t="s">
        <v>4805</v>
      </c>
      <c r="D70" s="253" t="s">
        <v>4806</v>
      </c>
      <c r="E70" s="253" t="s">
        <v>4546</v>
      </c>
      <c r="F70" s="253" t="s">
        <v>680</v>
      </c>
      <c r="G70" s="253" t="s">
        <v>681</v>
      </c>
      <c r="H70" s="253" t="s">
        <v>682</v>
      </c>
      <c r="I70" s="253" t="s">
        <v>1346</v>
      </c>
      <c r="J70" s="253" t="s">
        <v>4807</v>
      </c>
      <c r="K70" s="249" t="s">
        <v>4548</v>
      </c>
    </row>
    <row r="71" spans="1:12">
      <c r="A71" s="385">
        <v>69</v>
      </c>
      <c r="B71" s="253" t="s">
        <v>4808</v>
      </c>
      <c r="C71" s="253" t="s">
        <v>4809</v>
      </c>
      <c r="D71" s="253" t="s">
        <v>4810</v>
      </c>
      <c r="E71" s="253" t="s">
        <v>4546</v>
      </c>
      <c r="F71" s="253" t="s">
        <v>680</v>
      </c>
      <c r="G71" s="253" t="s">
        <v>681</v>
      </c>
      <c r="H71" s="253" t="s">
        <v>682</v>
      </c>
      <c r="I71" s="253" t="s">
        <v>1346</v>
      </c>
      <c r="J71" s="253" t="s">
        <v>1398</v>
      </c>
      <c r="K71" s="249" t="s">
        <v>4548</v>
      </c>
      <c r="L71" s="249" t="s">
        <v>4562</v>
      </c>
    </row>
    <row r="72" spans="1:12">
      <c r="A72" s="385">
        <v>70</v>
      </c>
      <c r="B72" s="253" t="s">
        <v>4811</v>
      </c>
      <c r="C72" s="253" t="s">
        <v>4812</v>
      </c>
      <c r="D72" s="253" t="s">
        <v>4813</v>
      </c>
      <c r="E72" s="253" t="s">
        <v>4546</v>
      </c>
      <c r="F72" s="253" t="s">
        <v>680</v>
      </c>
      <c r="G72" s="253" t="s">
        <v>681</v>
      </c>
      <c r="H72" s="253" t="s">
        <v>682</v>
      </c>
      <c r="I72" s="253" t="s">
        <v>1471</v>
      </c>
      <c r="J72" s="253" t="s">
        <v>4814</v>
      </c>
      <c r="K72" s="249" t="s">
        <v>4557</v>
      </c>
    </row>
    <row r="73" spans="1:12">
      <c r="A73" s="385">
        <v>71</v>
      </c>
      <c r="B73" s="253" t="s">
        <v>4815</v>
      </c>
      <c r="C73" s="253" t="s">
        <v>4816</v>
      </c>
      <c r="D73" s="253" t="s">
        <v>4817</v>
      </c>
      <c r="E73" s="253" t="s">
        <v>4546</v>
      </c>
      <c r="F73" s="253" t="s">
        <v>680</v>
      </c>
      <c r="G73" s="253" t="s">
        <v>681</v>
      </c>
      <c r="H73" s="253" t="s">
        <v>682</v>
      </c>
      <c r="I73" s="253" t="s">
        <v>1493</v>
      </c>
      <c r="J73" s="253" t="s">
        <v>4818</v>
      </c>
      <c r="K73" s="249" t="s">
        <v>4557</v>
      </c>
      <c r="L73" s="249" t="s">
        <v>4562</v>
      </c>
    </row>
    <row r="74" spans="1:12">
      <c r="A74" s="385">
        <v>72</v>
      </c>
      <c r="B74" s="253" t="s">
        <v>4819</v>
      </c>
      <c r="C74" s="253" t="s">
        <v>4820</v>
      </c>
      <c r="D74" s="253" t="s">
        <v>4821</v>
      </c>
      <c r="E74" s="253" t="s">
        <v>4546</v>
      </c>
      <c r="F74" s="253" t="s">
        <v>680</v>
      </c>
      <c r="G74" s="253" t="s">
        <v>681</v>
      </c>
      <c r="H74" s="253" t="s">
        <v>682</v>
      </c>
      <c r="I74" s="253" t="s">
        <v>1493</v>
      </c>
      <c r="J74" s="253" t="s">
        <v>4147</v>
      </c>
      <c r="K74" s="249" t="s">
        <v>4548</v>
      </c>
      <c r="L74" s="249" t="s">
        <v>4562</v>
      </c>
    </row>
    <row r="75" spans="1:12">
      <c r="A75" s="385">
        <v>73</v>
      </c>
      <c r="B75" s="253" t="s">
        <v>4822</v>
      </c>
      <c r="C75" s="253" t="s">
        <v>4823</v>
      </c>
      <c r="D75" s="253" t="s">
        <v>4683</v>
      </c>
      <c r="E75" s="253" t="s">
        <v>4546</v>
      </c>
      <c r="F75" s="253" t="s">
        <v>680</v>
      </c>
      <c r="G75" s="253" t="s">
        <v>681</v>
      </c>
      <c r="H75" s="253" t="s">
        <v>682</v>
      </c>
      <c r="I75" s="253" t="s">
        <v>1493</v>
      </c>
      <c r="J75" s="253" t="s">
        <v>4824</v>
      </c>
      <c r="K75" s="249" t="s">
        <v>4548</v>
      </c>
      <c r="L75" s="249" t="s">
        <v>4562</v>
      </c>
    </row>
    <row r="76" spans="1:12">
      <c r="A76" s="385">
        <v>74</v>
      </c>
      <c r="B76" s="253" t="s">
        <v>4825</v>
      </c>
      <c r="C76" s="253" t="s">
        <v>4826</v>
      </c>
      <c r="D76" s="253" t="s">
        <v>4827</v>
      </c>
      <c r="E76" s="253" t="s">
        <v>4546</v>
      </c>
      <c r="F76" s="253" t="s">
        <v>680</v>
      </c>
      <c r="G76" s="253" t="s">
        <v>681</v>
      </c>
      <c r="H76" s="253" t="s">
        <v>682</v>
      </c>
      <c r="I76" s="253" t="s">
        <v>1493</v>
      </c>
      <c r="J76" s="253" t="s">
        <v>4828</v>
      </c>
      <c r="K76" s="249" t="s">
        <v>4548</v>
      </c>
      <c r="L76" s="249" t="s">
        <v>4562</v>
      </c>
    </row>
    <row r="77" spans="1:12">
      <c r="A77" s="385">
        <v>75</v>
      </c>
      <c r="B77" s="253" t="s">
        <v>4829</v>
      </c>
      <c r="C77" s="253" t="s">
        <v>4830</v>
      </c>
      <c r="D77" s="253" t="s">
        <v>4831</v>
      </c>
      <c r="E77" s="253" t="s">
        <v>4546</v>
      </c>
      <c r="F77" s="253" t="s">
        <v>680</v>
      </c>
      <c r="G77" s="253" t="s">
        <v>681</v>
      </c>
      <c r="H77" s="253" t="s">
        <v>682</v>
      </c>
      <c r="I77" s="253" t="s">
        <v>1493</v>
      </c>
      <c r="J77" s="253" t="s">
        <v>4832</v>
      </c>
      <c r="K77" s="249" t="s">
        <v>4548</v>
      </c>
    </row>
    <row r="78" spans="1:12">
      <c r="A78" s="385">
        <v>76</v>
      </c>
      <c r="B78" s="253" t="s">
        <v>4833</v>
      </c>
      <c r="C78" s="253" t="s">
        <v>4834</v>
      </c>
      <c r="D78" s="253" t="s">
        <v>4835</v>
      </c>
      <c r="E78" s="253" t="s">
        <v>4546</v>
      </c>
      <c r="F78" s="253" t="s">
        <v>680</v>
      </c>
      <c r="G78" s="253" t="s">
        <v>681</v>
      </c>
      <c r="H78" s="253" t="s">
        <v>682</v>
      </c>
      <c r="I78" s="253" t="s">
        <v>1493</v>
      </c>
      <c r="J78" s="253" t="s">
        <v>4836</v>
      </c>
      <c r="K78" s="249" t="s">
        <v>4548</v>
      </c>
      <c r="L78" s="249" t="s">
        <v>4562</v>
      </c>
    </row>
    <row r="79" spans="1:12">
      <c r="A79" s="385">
        <v>77</v>
      </c>
      <c r="B79" s="253" t="s">
        <v>4837</v>
      </c>
      <c r="C79" s="253" t="s">
        <v>4838</v>
      </c>
      <c r="D79" s="253" t="s">
        <v>4839</v>
      </c>
      <c r="E79" s="253" t="s">
        <v>4546</v>
      </c>
      <c r="F79" s="253" t="s">
        <v>680</v>
      </c>
      <c r="G79" s="253" t="s">
        <v>681</v>
      </c>
      <c r="H79" s="253" t="s">
        <v>682</v>
      </c>
      <c r="I79" s="253" t="s">
        <v>1493</v>
      </c>
      <c r="J79" s="253" t="s">
        <v>4840</v>
      </c>
      <c r="K79" s="249" t="s">
        <v>4548</v>
      </c>
      <c r="L79" s="249" t="s">
        <v>4562</v>
      </c>
    </row>
    <row r="80" spans="1:12">
      <c r="A80" s="385">
        <v>78</v>
      </c>
      <c r="B80" s="253" t="s">
        <v>4841</v>
      </c>
      <c r="C80" s="253" t="s">
        <v>4842</v>
      </c>
      <c r="D80" s="253" t="s">
        <v>4843</v>
      </c>
      <c r="E80" s="253" t="s">
        <v>4546</v>
      </c>
      <c r="F80" s="253" t="s">
        <v>680</v>
      </c>
      <c r="G80" s="253" t="s">
        <v>681</v>
      </c>
      <c r="H80" s="253" t="s">
        <v>682</v>
      </c>
      <c r="I80" s="253" t="s">
        <v>1561</v>
      </c>
      <c r="J80" s="253" t="s">
        <v>3077</v>
      </c>
      <c r="K80" s="249" t="s">
        <v>4548</v>
      </c>
      <c r="L80" s="249" t="s">
        <v>4562</v>
      </c>
    </row>
    <row r="81" spans="1:12">
      <c r="A81" s="385">
        <v>79</v>
      </c>
      <c r="B81" s="253" t="s">
        <v>4844</v>
      </c>
      <c r="C81" s="253" t="s">
        <v>4845</v>
      </c>
      <c r="D81" s="253" t="s">
        <v>4846</v>
      </c>
      <c r="E81" s="253" t="s">
        <v>4546</v>
      </c>
      <c r="F81" s="253" t="s">
        <v>680</v>
      </c>
      <c r="G81" s="253" t="s">
        <v>681</v>
      </c>
      <c r="H81" s="253" t="s">
        <v>682</v>
      </c>
      <c r="I81" s="253" t="s">
        <v>1561</v>
      </c>
      <c r="J81" s="253" t="s">
        <v>4847</v>
      </c>
      <c r="K81" s="249" t="s">
        <v>4548</v>
      </c>
      <c r="L81" s="249" t="s">
        <v>4562</v>
      </c>
    </row>
    <row r="82" spans="1:12">
      <c r="A82" s="385">
        <v>80</v>
      </c>
      <c r="B82" s="253" t="s">
        <v>4848</v>
      </c>
      <c r="C82" s="253" t="s">
        <v>4849</v>
      </c>
      <c r="D82" s="253" t="s">
        <v>4850</v>
      </c>
      <c r="E82" s="253" t="s">
        <v>4546</v>
      </c>
      <c r="F82" s="253" t="s">
        <v>680</v>
      </c>
      <c r="G82" s="253" t="s">
        <v>681</v>
      </c>
      <c r="H82" s="253" t="s">
        <v>682</v>
      </c>
      <c r="I82" s="253" t="s">
        <v>1561</v>
      </c>
      <c r="J82" s="253" t="s">
        <v>4851</v>
      </c>
      <c r="K82" s="249" t="s">
        <v>4548</v>
      </c>
      <c r="L82" s="249" t="s">
        <v>4562</v>
      </c>
    </row>
    <row r="83" spans="1:12">
      <c r="A83" s="385">
        <v>81</v>
      </c>
      <c r="B83" s="253" t="s">
        <v>4852</v>
      </c>
      <c r="C83" s="253" t="s">
        <v>4853</v>
      </c>
      <c r="D83" s="253" t="s">
        <v>4854</v>
      </c>
      <c r="E83" s="253" t="s">
        <v>4546</v>
      </c>
      <c r="F83" s="253" t="s">
        <v>680</v>
      </c>
      <c r="G83" s="253" t="s">
        <v>681</v>
      </c>
      <c r="H83" s="253" t="s">
        <v>682</v>
      </c>
      <c r="I83" s="253" t="s">
        <v>1588</v>
      </c>
      <c r="J83" s="253" t="s">
        <v>4855</v>
      </c>
      <c r="K83" s="249" t="s">
        <v>4548</v>
      </c>
      <c r="L83" s="249" t="s">
        <v>4562</v>
      </c>
    </row>
    <row r="84" spans="1:12">
      <c r="A84" s="385">
        <v>82</v>
      </c>
      <c r="B84" s="253" t="s">
        <v>4856</v>
      </c>
      <c r="C84" s="253" t="s">
        <v>4857</v>
      </c>
      <c r="D84" s="253" t="s">
        <v>4858</v>
      </c>
      <c r="E84" s="253" t="s">
        <v>4546</v>
      </c>
      <c r="F84" s="253" t="s">
        <v>680</v>
      </c>
      <c r="G84" s="253" t="s">
        <v>681</v>
      </c>
      <c r="H84" s="253" t="s">
        <v>682</v>
      </c>
      <c r="I84" s="253" t="s">
        <v>1588</v>
      </c>
      <c r="J84" s="253" t="s">
        <v>4859</v>
      </c>
      <c r="K84" s="249" t="s">
        <v>4548</v>
      </c>
    </row>
    <row r="85" spans="1:12">
      <c r="A85" s="385">
        <v>83</v>
      </c>
      <c r="B85" s="253" t="s">
        <v>4860</v>
      </c>
      <c r="C85" s="253" t="s">
        <v>4861</v>
      </c>
      <c r="D85" s="253" t="s">
        <v>4862</v>
      </c>
      <c r="E85" s="253" t="s">
        <v>4546</v>
      </c>
      <c r="F85" s="253" t="s">
        <v>680</v>
      </c>
      <c r="G85" s="253" t="s">
        <v>681</v>
      </c>
      <c r="H85" s="253" t="s">
        <v>682</v>
      </c>
      <c r="I85" s="253" t="s">
        <v>1588</v>
      </c>
      <c r="J85" s="253" t="s">
        <v>3172</v>
      </c>
      <c r="K85" s="249" t="s">
        <v>4548</v>
      </c>
      <c r="L85" s="249" t="s">
        <v>4562</v>
      </c>
    </row>
    <row r="86" spans="1:12">
      <c r="A86" s="385">
        <v>84</v>
      </c>
      <c r="B86" s="253" t="s">
        <v>4863</v>
      </c>
      <c r="C86" s="253" t="s">
        <v>4864</v>
      </c>
      <c r="D86" s="253" t="s">
        <v>4865</v>
      </c>
      <c r="E86" s="253" t="s">
        <v>4546</v>
      </c>
      <c r="F86" s="253" t="s">
        <v>680</v>
      </c>
      <c r="G86" s="253" t="s">
        <v>681</v>
      </c>
      <c r="H86" s="253" t="s">
        <v>682</v>
      </c>
      <c r="I86" s="253" t="s">
        <v>1588</v>
      </c>
      <c r="J86" s="253" t="s">
        <v>4866</v>
      </c>
      <c r="K86" s="249" t="s">
        <v>4548</v>
      </c>
      <c r="L86" s="249" t="s">
        <v>4562</v>
      </c>
    </row>
    <row r="87" spans="1:12">
      <c r="A87" s="385">
        <v>85</v>
      </c>
      <c r="B87" s="253" t="s">
        <v>4867</v>
      </c>
      <c r="C87" s="253" t="s">
        <v>4868</v>
      </c>
      <c r="D87" s="253" t="s">
        <v>4869</v>
      </c>
      <c r="E87" s="253" t="s">
        <v>4546</v>
      </c>
      <c r="F87" s="253" t="s">
        <v>680</v>
      </c>
      <c r="G87" s="253" t="s">
        <v>681</v>
      </c>
      <c r="H87" s="253" t="s">
        <v>682</v>
      </c>
      <c r="I87" s="253" t="s">
        <v>1588</v>
      </c>
      <c r="J87" s="253" t="s">
        <v>1636</v>
      </c>
      <c r="K87" s="249" t="s">
        <v>4548</v>
      </c>
      <c r="L87" s="249" t="s">
        <v>4562</v>
      </c>
    </row>
    <row r="88" spans="1:12">
      <c r="A88" s="385">
        <v>86</v>
      </c>
      <c r="B88" s="253" t="s">
        <v>4870</v>
      </c>
      <c r="C88" s="253" t="s">
        <v>4871</v>
      </c>
      <c r="D88" s="253" t="s">
        <v>4872</v>
      </c>
      <c r="E88" s="253" t="s">
        <v>4546</v>
      </c>
      <c r="F88" s="253" t="s">
        <v>680</v>
      </c>
      <c r="G88" s="253" t="s">
        <v>681</v>
      </c>
      <c r="H88" s="253" t="s">
        <v>682</v>
      </c>
      <c r="I88" s="253" t="s">
        <v>1588</v>
      </c>
      <c r="J88" s="253" t="s">
        <v>4873</v>
      </c>
      <c r="K88" s="249" t="s">
        <v>4548</v>
      </c>
      <c r="L88" s="249" t="s">
        <v>4562</v>
      </c>
    </row>
    <row r="89" spans="1:12">
      <c r="A89" s="385">
        <v>87</v>
      </c>
      <c r="B89" s="253" t="s">
        <v>4874</v>
      </c>
      <c r="C89" s="253" t="s">
        <v>4875</v>
      </c>
      <c r="D89" s="253" t="s">
        <v>4876</v>
      </c>
      <c r="E89" s="253" t="s">
        <v>4546</v>
      </c>
      <c r="F89" s="253" t="s">
        <v>680</v>
      </c>
      <c r="G89" s="253" t="s">
        <v>681</v>
      </c>
      <c r="H89" s="253" t="s">
        <v>682</v>
      </c>
      <c r="I89" s="253" t="s">
        <v>1588</v>
      </c>
      <c r="J89" s="253" t="s">
        <v>696</v>
      </c>
      <c r="K89" s="249" t="s">
        <v>4548</v>
      </c>
      <c r="L89" s="249" t="s">
        <v>4562</v>
      </c>
    </row>
    <row r="90" spans="1:12">
      <c r="A90" s="385">
        <v>88</v>
      </c>
      <c r="B90" s="253" t="s">
        <v>4877</v>
      </c>
      <c r="C90" s="253" t="s">
        <v>4878</v>
      </c>
      <c r="D90" s="253" t="s">
        <v>4879</v>
      </c>
      <c r="E90" s="253" t="s">
        <v>4546</v>
      </c>
      <c r="F90" s="253" t="s">
        <v>680</v>
      </c>
      <c r="G90" s="253" t="s">
        <v>681</v>
      </c>
      <c r="H90" s="253" t="s">
        <v>682</v>
      </c>
      <c r="I90" s="253" t="s">
        <v>1588</v>
      </c>
      <c r="J90" s="253" t="s">
        <v>4880</v>
      </c>
      <c r="K90" s="249" t="s">
        <v>4548</v>
      </c>
      <c r="L90" s="249" t="s">
        <v>4620</v>
      </c>
    </row>
    <row r="91" spans="1:12">
      <c r="A91" s="385">
        <v>89</v>
      </c>
      <c r="B91" s="253" t="s">
        <v>4881</v>
      </c>
      <c r="C91" s="253" t="s">
        <v>4882</v>
      </c>
      <c r="D91" s="253" t="s">
        <v>4883</v>
      </c>
      <c r="E91" s="253" t="s">
        <v>4546</v>
      </c>
      <c r="F91" s="253" t="s">
        <v>3092</v>
      </c>
      <c r="G91" s="253" t="s">
        <v>681</v>
      </c>
      <c r="H91" s="253" t="s">
        <v>682</v>
      </c>
      <c r="I91" s="253" t="s">
        <v>1689</v>
      </c>
      <c r="J91" s="253" t="s">
        <v>4884</v>
      </c>
      <c r="K91" s="249" t="s">
        <v>4548</v>
      </c>
      <c r="L91" s="249" t="s">
        <v>4716</v>
      </c>
    </row>
    <row r="92" spans="1:12">
      <c r="A92" s="385">
        <v>90</v>
      </c>
      <c r="B92" s="253" t="s">
        <v>4885</v>
      </c>
      <c r="C92" s="253" t="s">
        <v>4886</v>
      </c>
      <c r="D92" s="253" t="s">
        <v>4887</v>
      </c>
      <c r="E92" s="253" t="s">
        <v>4546</v>
      </c>
      <c r="F92" s="253" t="s">
        <v>680</v>
      </c>
      <c r="G92" s="253" t="s">
        <v>681</v>
      </c>
      <c r="H92" s="253" t="s">
        <v>682</v>
      </c>
      <c r="I92" s="253" t="s">
        <v>1689</v>
      </c>
      <c r="J92" s="253" t="s">
        <v>4273</v>
      </c>
      <c r="K92" s="249" t="s">
        <v>4548</v>
      </c>
    </row>
    <row r="93" spans="1:12">
      <c r="A93" s="385">
        <v>91</v>
      </c>
      <c r="B93" s="253" t="s">
        <v>4888</v>
      </c>
      <c r="C93" s="253" t="s">
        <v>4889</v>
      </c>
      <c r="D93" s="253" t="s">
        <v>4890</v>
      </c>
      <c r="E93" s="253" t="s">
        <v>4546</v>
      </c>
      <c r="F93" s="253" t="s">
        <v>680</v>
      </c>
      <c r="G93" s="253" t="s">
        <v>681</v>
      </c>
      <c r="H93" s="253" t="s">
        <v>682</v>
      </c>
      <c r="I93" s="253" t="s">
        <v>1689</v>
      </c>
      <c r="J93" s="253" t="s">
        <v>4891</v>
      </c>
      <c r="K93" s="249" t="s">
        <v>4548</v>
      </c>
      <c r="L93" s="249" t="s">
        <v>4620</v>
      </c>
    </row>
    <row r="94" spans="1:12">
      <c r="A94" s="385">
        <v>92</v>
      </c>
      <c r="B94" s="253" t="s">
        <v>4892</v>
      </c>
      <c r="C94" s="253" t="s">
        <v>4893</v>
      </c>
      <c r="D94" s="253" t="s">
        <v>4894</v>
      </c>
      <c r="E94" s="253" t="s">
        <v>4546</v>
      </c>
      <c r="F94" s="253" t="s">
        <v>680</v>
      </c>
      <c r="G94" s="253" t="s">
        <v>681</v>
      </c>
      <c r="H94" s="253" t="s">
        <v>682</v>
      </c>
      <c r="I94" s="253" t="s">
        <v>1689</v>
      </c>
      <c r="J94" s="253" t="s">
        <v>4895</v>
      </c>
      <c r="K94" s="249" t="s">
        <v>4548</v>
      </c>
      <c r="L94" s="249" t="s">
        <v>4562</v>
      </c>
    </row>
    <row r="95" spans="1:12">
      <c r="A95" s="385">
        <v>93</v>
      </c>
      <c r="B95" s="253" t="s">
        <v>4896</v>
      </c>
      <c r="C95" s="253" t="s">
        <v>4897</v>
      </c>
      <c r="D95" s="253" t="s">
        <v>4898</v>
      </c>
      <c r="E95" s="253" t="s">
        <v>4546</v>
      </c>
      <c r="F95" s="253" t="s">
        <v>680</v>
      </c>
      <c r="G95" s="253" t="s">
        <v>681</v>
      </c>
      <c r="H95" s="253" t="s">
        <v>682</v>
      </c>
      <c r="I95" s="253" t="s">
        <v>1689</v>
      </c>
      <c r="J95" s="253" t="s">
        <v>1694</v>
      </c>
      <c r="K95" s="249" t="s">
        <v>4548</v>
      </c>
    </row>
    <row r="96" spans="1:12">
      <c r="A96" s="385">
        <v>94</v>
      </c>
      <c r="B96" s="253" t="s">
        <v>4899</v>
      </c>
      <c r="C96" s="253" t="s">
        <v>4900</v>
      </c>
      <c r="D96" s="253" t="s">
        <v>4901</v>
      </c>
      <c r="E96" s="253" t="s">
        <v>4546</v>
      </c>
      <c r="F96" s="253" t="s">
        <v>680</v>
      </c>
      <c r="G96" s="253" t="s">
        <v>681</v>
      </c>
      <c r="H96" s="253" t="s">
        <v>682</v>
      </c>
      <c r="I96" s="253" t="s">
        <v>1689</v>
      </c>
      <c r="J96" s="253" t="s">
        <v>4902</v>
      </c>
      <c r="K96" s="249" t="s">
        <v>4548</v>
      </c>
      <c r="L96" s="249" t="s">
        <v>4562</v>
      </c>
    </row>
    <row r="97" spans="1:12">
      <c r="A97" s="385">
        <v>95</v>
      </c>
      <c r="B97" s="253" t="s">
        <v>4903</v>
      </c>
      <c r="C97" s="253" t="s">
        <v>4904</v>
      </c>
      <c r="D97" s="253" t="s">
        <v>4905</v>
      </c>
      <c r="E97" s="253" t="s">
        <v>4546</v>
      </c>
      <c r="F97" s="253" t="s">
        <v>680</v>
      </c>
      <c r="G97" s="253" t="s">
        <v>681</v>
      </c>
      <c r="H97" s="253" t="s">
        <v>682</v>
      </c>
      <c r="I97" s="253" t="s">
        <v>1689</v>
      </c>
      <c r="J97" s="253" t="s">
        <v>4906</v>
      </c>
      <c r="K97" s="249" t="s">
        <v>4548</v>
      </c>
      <c r="L97" s="249" t="s">
        <v>4562</v>
      </c>
    </row>
    <row r="98" spans="1:12">
      <c r="A98" s="385">
        <v>96</v>
      </c>
      <c r="B98" s="253" t="s">
        <v>4907</v>
      </c>
      <c r="C98" s="253" t="s">
        <v>4908</v>
      </c>
      <c r="D98" s="253" t="s">
        <v>4909</v>
      </c>
      <c r="E98" s="253" t="s">
        <v>4546</v>
      </c>
      <c r="F98" s="253" t="s">
        <v>680</v>
      </c>
      <c r="G98" s="253" t="s">
        <v>681</v>
      </c>
      <c r="H98" s="253" t="s">
        <v>682</v>
      </c>
      <c r="I98" s="253" t="s">
        <v>1689</v>
      </c>
      <c r="J98" s="253" t="s">
        <v>4910</v>
      </c>
      <c r="K98" s="249" t="s">
        <v>4548</v>
      </c>
    </row>
    <row r="99" spans="1:12">
      <c r="A99" s="385">
        <v>97</v>
      </c>
      <c r="B99" s="253" t="s">
        <v>4911</v>
      </c>
      <c r="C99" s="253" t="s">
        <v>4912</v>
      </c>
      <c r="D99" s="253" t="s">
        <v>4913</v>
      </c>
      <c r="E99" s="253" t="s">
        <v>4546</v>
      </c>
      <c r="F99" s="253" t="s">
        <v>680</v>
      </c>
      <c r="G99" s="253" t="s">
        <v>681</v>
      </c>
      <c r="H99" s="253" t="s">
        <v>682</v>
      </c>
      <c r="I99" s="253" t="s">
        <v>1689</v>
      </c>
      <c r="J99" s="253" t="s">
        <v>4914</v>
      </c>
      <c r="K99" s="249" t="s">
        <v>4548</v>
      </c>
      <c r="L99" s="249" t="s">
        <v>4620</v>
      </c>
    </row>
    <row r="100" spans="1:12">
      <c r="A100" s="385">
        <v>98</v>
      </c>
      <c r="B100" s="253" t="s">
        <v>4915</v>
      </c>
      <c r="C100" s="253" t="s">
        <v>4916</v>
      </c>
      <c r="D100" s="253" t="s">
        <v>4917</v>
      </c>
      <c r="E100" s="253" t="s">
        <v>4546</v>
      </c>
      <c r="F100" s="253" t="s">
        <v>680</v>
      </c>
      <c r="G100" s="253" t="s">
        <v>681</v>
      </c>
      <c r="H100" s="253" t="s">
        <v>682</v>
      </c>
      <c r="I100" s="253" t="s">
        <v>1689</v>
      </c>
      <c r="J100" s="253" t="s">
        <v>4918</v>
      </c>
      <c r="K100" s="249" t="s">
        <v>4548</v>
      </c>
      <c r="L100" s="249" t="s">
        <v>4562</v>
      </c>
    </row>
    <row r="101" spans="1:12">
      <c r="A101" s="385">
        <v>99</v>
      </c>
      <c r="B101" s="253" t="s">
        <v>4919</v>
      </c>
      <c r="C101" s="253" t="s">
        <v>4920</v>
      </c>
      <c r="D101" s="253" t="s">
        <v>4921</v>
      </c>
      <c r="E101" s="253" t="s">
        <v>4546</v>
      </c>
      <c r="F101" s="253" t="s">
        <v>680</v>
      </c>
      <c r="G101" s="253" t="s">
        <v>681</v>
      </c>
      <c r="H101" s="253" t="s">
        <v>682</v>
      </c>
      <c r="I101" s="253" t="s">
        <v>1689</v>
      </c>
      <c r="J101" s="253" t="s">
        <v>4922</v>
      </c>
      <c r="K101" s="249" t="s">
        <v>4548</v>
      </c>
      <c r="L101" s="249" t="s">
        <v>4562</v>
      </c>
    </row>
    <row r="102" spans="1:12">
      <c r="A102" s="385">
        <v>100</v>
      </c>
      <c r="B102" s="253" t="s">
        <v>4923</v>
      </c>
      <c r="C102" s="253" t="s">
        <v>4924</v>
      </c>
      <c r="D102" s="253" t="s">
        <v>4925</v>
      </c>
      <c r="E102" s="253" t="s">
        <v>4546</v>
      </c>
      <c r="F102" s="253" t="s">
        <v>680</v>
      </c>
      <c r="G102" s="253" t="s">
        <v>681</v>
      </c>
      <c r="H102" s="253" t="s">
        <v>682</v>
      </c>
      <c r="I102" s="253" t="s">
        <v>1798</v>
      </c>
      <c r="J102" s="253" t="s">
        <v>4926</v>
      </c>
      <c r="K102" s="249" t="s">
        <v>4548</v>
      </c>
      <c r="L102" s="249" t="s">
        <v>4562</v>
      </c>
    </row>
    <row r="103" spans="1:12">
      <c r="A103" s="385">
        <v>101</v>
      </c>
      <c r="B103" s="253" t="s">
        <v>4927</v>
      </c>
      <c r="C103" s="253" t="s">
        <v>4928</v>
      </c>
      <c r="D103" s="253" t="s">
        <v>4929</v>
      </c>
      <c r="E103" s="253" t="s">
        <v>4546</v>
      </c>
      <c r="F103" s="253" t="s">
        <v>680</v>
      </c>
      <c r="G103" s="253" t="s">
        <v>681</v>
      </c>
      <c r="H103" s="253" t="s">
        <v>682</v>
      </c>
      <c r="I103" s="253" t="s">
        <v>1798</v>
      </c>
      <c r="J103" s="253" t="s">
        <v>4930</v>
      </c>
      <c r="K103" s="249" t="s">
        <v>4548</v>
      </c>
      <c r="L103" s="249" t="s">
        <v>4562</v>
      </c>
    </row>
    <row r="104" spans="1:12">
      <c r="A104" s="385">
        <v>102</v>
      </c>
      <c r="B104" s="253" t="s">
        <v>4931</v>
      </c>
      <c r="C104" s="253" t="s">
        <v>4932</v>
      </c>
      <c r="D104" s="253" t="s">
        <v>4933</v>
      </c>
      <c r="E104" s="253" t="s">
        <v>4546</v>
      </c>
      <c r="F104" s="253" t="s">
        <v>680</v>
      </c>
      <c r="G104" s="253" t="s">
        <v>681</v>
      </c>
      <c r="H104" s="253" t="s">
        <v>682</v>
      </c>
      <c r="I104" s="253" t="s">
        <v>1798</v>
      </c>
      <c r="J104" s="253" t="s">
        <v>4318</v>
      </c>
      <c r="K104" s="249" t="s">
        <v>4548</v>
      </c>
      <c r="L104" s="249" t="s">
        <v>4562</v>
      </c>
    </row>
    <row r="105" spans="1:12">
      <c r="A105" s="385">
        <v>103</v>
      </c>
      <c r="B105" s="253" t="s">
        <v>4934</v>
      </c>
      <c r="C105" s="253" t="s">
        <v>4935</v>
      </c>
      <c r="D105" s="253" t="s">
        <v>4936</v>
      </c>
      <c r="E105" s="253" t="s">
        <v>4546</v>
      </c>
      <c r="F105" s="253" t="s">
        <v>680</v>
      </c>
      <c r="G105" s="253" t="s">
        <v>681</v>
      </c>
      <c r="H105" s="253" t="s">
        <v>682</v>
      </c>
      <c r="I105" s="253" t="s">
        <v>1798</v>
      </c>
      <c r="J105" s="253" t="s">
        <v>4937</v>
      </c>
      <c r="K105" s="249" t="s">
        <v>4548</v>
      </c>
      <c r="L105" s="249" t="s">
        <v>4562</v>
      </c>
    </row>
    <row r="106" spans="1:12">
      <c r="A106" s="385">
        <v>104</v>
      </c>
      <c r="B106" s="253" t="s">
        <v>4938</v>
      </c>
      <c r="C106" s="253" t="s">
        <v>4939</v>
      </c>
      <c r="D106" s="253" t="s">
        <v>4940</v>
      </c>
      <c r="E106" s="253" t="s">
        <v>4546</v>
      </c>
      <c r="F106" s="253" t="s">
        <v>680</v>
      </c>
      <c r="G106" s="253" t="s">
        <v>681</v>
      </c>
      <c r="H106" s="253" t="s">
        <v>682</v>
      </c>
      <c r="I106" s="253" t="s">
        <v>1798</v>
      </c>
      <c r="J106" s="253" t="s">
        <v>4941</v>
      </c>
      <c r="K106" s="249" t="s">
        <v>4548</v>
      </c>
      <c r="L106" s="249" t="s">
        <v>4562</v>
      </c>
    </row>
    <row r="107" spans="1:12">
      <c r="A107" s="385">
        <v>105</v>
      </c>
      <c r="B107" s="253" t="s">
        <v>4942</v>
      </c>
      <c r="C107" s="253" t="s">
        <v>4943</v>
      </c>
      <c r="D107" s="253" t="s">
        <v>4944</v>
      </c>
      <c r="E107" s="253" t="s">
        <v>4546</v>
      </c>
      <c r="F107" s="253" t="s">
        <v>3092</v>
      </c>
      <c r="G107" s="253" t="s">
        <v>681</v>
      </c>
      <c r="H107" s="253" t="s">
        <v>682</v>
      </c>
      <c r="I107" s="253" t="s">
        <v>1764</v>
      </c>
      <c r="J107" s="253" t="s">
        <v>4945</v>
      </c>
      <c r="K107" s="249" t="s">
        <v>4548</v>
      </c>
    </row>
    <row r="108" spans="1:12">
      <c r="A108" s="385">
        <v>106</v>
      </c>
      <c r="B108" s="253" t="s">
        <v>4946</v>
      </c>
      <c r="C108" s="253" t="s">
        <v>4947</v>
      </c>
      <c r="D108" s="253" t="s">
        <v>4948</v>
      </c>
      <c r="E108" s="253" t="s">
        <v>4546</v>
      </c>
      <c r="F108" s="253" t="s">
        <v>680</v>
      </c>
      <c r="G108" s="253" t="s">
        <v>681</v>
      </c>
      <c r="H108" s="253" t="s">
        <v>682</v>
      </c>
      <c r="I108" s="253" t="s">
        <v>1764</v>
      </c>
      <c r="J108" s="253" t="s">
        <v>4949</v>
      </c>
      <c r="K108" s="249" t="s">
        <v>4557</v>
      </c>
      <c r="L108" s="249" t="s">
        <v>4562</v>
      </c>
    </row>
    <row r="109" spans="1:12">
      <c r="A109" s="385">
        <v>107</v>
      </c>
      <c r="B109" s="253" t="s">
        <v>4950</v>
      </c>
      <c r="C109" s="253" t="s">
        <v>4951</v>
      </c>
      <c r="D109" s="253" t="s">
        <v>4952</v>
      </c>
      <c r="E109" s="253" t="s">
        <v>4546</v>
      </c>
      <c r="F109" s="253" t="s">
        <v>680</v>
      </c>
      <c r="G109" s="253" t="s">
        <v>681</v>
      </c>
      <c r="H109" s="253" t="s">
        <v>682</v>
      </c>
      <c r="I109" s="253" t="s">
        <v>1764</v>
      </c>
      <c r="J109" s="253" t="s">
        <v>4953</v>
      </c>
      <c r="K109" s="249" t="s">
        <v>4548</v>
      </c>
      <c r="L109" s="249" t="s">
        <v>4562</v>
      </c>
    </row>
    <row r="110" spans="1:12">
      <c r="A110" s="385">
        <v>108</v>
      </c>
      <c r="B110" s="253" t="s">
        <v>4954</v>
      </c>
      <c r="C110" s="253" t="s">
        <v>4955</v>
      </c>
      <c r="D110" s="253" t="s">
        <v>4956</v>
      </c>
      <c r="E110" s="253" t="s">
        <v>4546</v>
      </c>
      <c r="F110" s="253" t="s">
        <v>680</v>
      </c>
      <c r="G110" s="253" t="s">
        <v>681</v>
      </c>
      <c r="H110" s="253" t="s">
        <v>682</v>
      </c>
      <c r="I110" s="253" t="s">
        <v>1764</v>
      </c>
      <c r="J110" s="253" t="s">
        <v>4957</v>
      </c>
      <c r="K110" s="249" t="s">
        <v>4548</v>
      </c>
      <c r="L110" s="249" t="s">
        <v>4562</v>
      </c>
    </row>
    <row r="111" spans="1:12">
      <c r="A111" s="385">
        <v>109</v>
      </c>
      <c r="B111" s="253" t="s">
        <v>4958</v>
      </c>
      <c r="C111" s="253" t="s">
        <v>4959</v>
      </c>
      <c r="D111" s="253" t="s">
        <v>4960</v>
      </c>
      <c r="E111" s="253" t="s">
        <v>4546</v>
      </c>
      <c r="F111" s="253" t="s">
        <v>680</v>
      </c>
      <c r="G111" s="253" t="s">
        <v>681</v>
      </c>
      <c r="H111" s="253" t="s">
        <v>682</v>
      </c>
      <c r="I111" s="253" t="s">
        <v>1764</v>
      </c>
      <c r="J111" s="253" t="s">
        <v>4961</v>
      </c>
      <c r="K111" s="249" t="s">
        <v>4548</v>
      </c>
    </row>
    <row r="112" spans="1:12">
      <c r="A112" s="385">
        <v>110</v>
      </c>
      <c r="B112" s="253" t="s">
        <v>4962</v>
      </c>
      <c r="C112" s="253" t="s">
        <v>4963</v>
      </c>
      <c r="D112" s="253" t="s">
        <v>4588</v>
      </c>
      <c r="E112" s="253" t="s">
        <v>4546</v>
      </c>
      <c r="F112" s="253" t="s">
        <v>680</v>
      </c>
      <c r="G112" s="253" t="s">
        <v>681</v>
      </c>
      <c r="H112" s="253" t="s">
        <v>682</v>
      </c>
      <c r="I112" s="253" t="s">
        <v>1764</v>
      </c>
      <c r="J112" s="253" t="s">
        <v>4964</v>
      </c>
      <c r="K112" s="249" t="s">
        <v>4548</v>
      </c>
      <c r="L112" s="249" t="s">
        <v>4562</v>
      </c>
    </row>
    <row r="113" spans="1:12">
      <c r="A113" s="385">
        <v>111</v>
      </c>
      <c r="B113" s="253" t="s">
        <v>4965</v>
      </c>
      <c r="C113" s="253" t="s">
        <v>4966</v>
      </c>
      <c r="D113" s="253" t="s">
        <v>4967</v>
      </c>
      <c r="E113" s="253" t="s">
        <v>4546</v>
      </c>
      <c r="F113" s="253" t="s">
        <v>680</v>
      </c>
      <c r="G113" s="253" t="s">
        <v>681</v>
      </c>
      <c r="H113" s="253" t="s">
        <v>682</v>
      </c>
      <c r="I113" s="253" t="s">
        <v>1902</v>
      </c>
      <c r="J113" s="253" t="s">
        <v>4968</v>
      </c>
      <c r="K113" s="249" t="s">
        <v>4548</v>
      </c>
      <c r="L113" s="249" t="s">
        <v>4562</v>
      </c>
    </row>
    <row r="114" spans="1:12">
      <c r="A114" s="385">
        <v>112</v>
      </c>
      <c r="B114" s="253" t="s">
        <v>4969</v>
      </c>
      <c r="C114" s="253" t="s">
        <v>4970</v>
      </c>
      <c r="D114" s="253" t="s">
        <v>4872</v>
      </c>
      <c r="E114" s="253" t="s">
        <v>4546</v>
      </c>
      <c r="F114" s="253" t="s">
        <v>680</v>
      </c>
      <c r="G114" s="253" t="s">
        <v>681</v>
      </c>
      <c r="H114" s="253" t="s">
        <v>682</v>
      </c>
      <c r="I114" s="253" t="s">
        <v>1902</v>
      </c>
      <c r="J114" s="253" t="s">
        <v>4392</v>
      </c>
      <c r="K114" s="249" t="s">
        <v>4548</v>
      </c>
      <c r="L114" s="249" t="s">
        <v>4620</v>
      </c>
    </row>
    <row r="115" spans="1:12">
      <c r="A115" s="385">
        <v>113</v>
      </c>
      <c r="B115" s="253" t="s">
        <v>4971</v>
      </c>
      <c r="C115" s="253" t="s">
        <v>4972</v>
      </c>
      <c r="D115" s="253" t="s">
        <v>4555</v>
      </c>
      <c r="E115" s="253" t="s">
        <v>4546</v>
      </c>
      <c r="F115" s="253" t="s">
        <v>680</v>
      </c>
      <c r="G115" s="253" t="s">
        <v>681</v>
      </c>
      <c r="H115" s="253" t="s">
        <v>682</v>
      </c>
      <c r="I115" s="253" t="s">
        <v>1902</v>
      </c>
      <c r="J115" s="253" t="s">
        <v>4973</v>
      </c>
      <c r="K115" s="249" t="s">
        <v>4548</v>
      </c>
      <c r="L115" s="249" t="s">
        <v>4562</v>
      </c>
    </row>
    <row r="116" spans="1:12">
      <c r="A116" s="385">
        <v>114</v>
      </c>
      <c r="B116" s="253" t="s">
        <v>4974</v>
      </c>
      <c r="C116" s="253" t="s">
        <v>4975</v>
      </c>
      <c r="D116" s="253" t="s">
        <v>4976</v>
      </c>
      <c r="E116" s="253" t="s">
        <v>4546</v>
      </c>
      <c r="F116" s="253" t="s">
        <v>680</v>
      </c>
      <c r="G116" s="253" t="s">
        <v>681</v>
      </c>
      <c r="H116" s="253" t="s">
        <v>682</v>
      </c>
      <c r="I116" s="253" t="s">
        <v>1902</v>
      </c>
      <c r="J116" s="253" t="s">
        <v>4977</v>
      </c>
      <c r="K116" s="249" t="s">
        <v>4548</v>
      </c>
      <c r="L116" s="249" t="s">
        <v>4716</v>
      </c>
    </row>
    <row r="117" spans="1:12">
      <c r="A117" s="385">
        <v>115</v>
      </c>
      <c r="B117" s="253" t="s">
        <v>4978</v>
      </c>
      <c r="C117" s="253" t="s">
        <v>4979</v>
      </c>
      <c r="D117" s="253" t="s">
        <v>4980</v>
      </c>
      <c r="E117" s="253" t="s">
        <v>4546</v>
      </c>
      <c r="F117" s="253" t="s">
        <v>680</v>
      </c>
      <c r="G117" s="253" t="s">
        <v>681</v>
      </c>
      <c r="H117" s="253" t="s">
        <v>682</v>
      </c>
      <c r="I117" s="253" t="s">
        <v>1962</v>
      </c>
      <c r="J117" s="253" t="s">
        <v>696</v>
      </c>
      <c r="K117" s="249" t="s">
        <v>4548</v>
      </c>
      <c r="L117" s="249" t="s">
        <v>4562</v>
      </c>
    </row>
    <row r="118" spans="1:12">
      <c r="A118" s="385">
        <v>116</v>
      </c>
      <c r="B118" s="253" t="s">
        <v>4981</v>
      </c>
      <c r="C118" s="253" t="s">
        <v>4982</v>
      </c>
      <c r="D118" s="253" t="s">
        <v>4983</v>
      </c>
      <c r="E118" s="253" t="s">
        <v>4546</v>
      </c>
      <c r="F118" s="253" t="s">
        <v>680</v>
      </c>
      <c r="G118" s="253" t="s">
        <v>681</v>
      </c>
      <c r="H118" s="253" t="s">
        <v>682</v>
      </c>
      <c r="I118" s="253" t="s">
        <v>1962</v>
      </c>
      <c r="J118" s="253" t="s">
        <v>4984</v>
      </c>
      <c r="K118" s="249" t="s">
        <v>4557</v>
      </c>
      <c r="L118" s="249" t="s">
        <v>4562</v>
      </c>
    </row>
    <row r="119" spans="1:12">
      <c r="A119" s="385">
        <v>117</v>
      </c>
      <c r="B119" s="253" t="s">
        <v>4985</v>
      </c>
      <c r="C119" s="253" t="s">
        <v>4986</v>
      </c>
      <c r="D119" s="253" t="s">
        <v>4987</v>
      </c>
      <c r="E119" s="253" t="s">
        <v>4546</v>
      </c>
      <c r="F119" s="253" t="s">
        <v>680</v>
      </c>
      <c r="G119" s="253" t="s">
        <v>681</v>
      </c>
      <c r="H119" s="253" t="s">
        <v>682</v>
      </c>
      <c r="I119" s="253" t="s">
        <v>1962</v>
      </c>
      <c r="J119" s="253" t="s">
        <v>4988</v>
      </c>
      <c r="K119" s="249" t="s">
        <v>4548</v>
      </c>
      <c r="L119" s="249" t="s">
        <v>4562</v>
      </c>
    </row>
    <row r="120" spans="1:12">
      <c r="A120" s="385">
        <v>118</v>
      </c>
      <c r="B120" s="253" t="s">
        <v>4989</v>
      </c>
      <c r="C120" s="253" t="s">
        <v>4990</v>
      </c>
      <c r="D120" s="253" t="s">
        <v>4991</v>
      </c>
      <c r="E120" s="253" t="s">
        <v>4546</v>
      </c>
      <c r="F120" s="253" t="s">
        <v>680</v>
      </c>
      <c r="G120" s="253" t="s">
        <v>681</v>
      </c>
      <c r="H120" s="253" t="s">
        <v>682</v>
      </c>
      <c r="I120" s="253" t="s">
        <v>1962</v>
      </c>
      <c r="J120" s="253" t="s">
        <v>4992</v>
      </c>
      <c r="K120" s="249" t="s">
        <v>4548</v>
      </c>
      <c r="L120" s="249" t="s">
        <v>4562</v>
      </c>
    </row>
    <row r="121" spans="1:12">
      <c r="A121" s="385">
        <v>119</v>
      </c>
      <c r="B121" s="253" t="s">
        <v>4993</v>
      </c>
      <c r="C121" s="253" t="s">
        <v>4994</v>
      </c>
      <c r="D121" s="253" t="s">
        <v>4995</v>
      </c>
      <c r="E121" s="253" t="s">
        <v>4546</v>
      </c>
      <c r="F121" s="253" t="s">
        <v>680</v>
      </c>
      <c r="G121" s="253" t="s">
        <v>681</v>
      </c>
      <c r="H121" s="253" t="s">
        <v>682</v>
      </c>
      <c r="I121" s="253" t="s">
        <v>1962</v>
      </c>
      <c r="J121" s="253" t="s">
        <v>4996</v>
      </c>
      <c r="K121" s="249" t="s">
        <v>4548</v>
      </c>
      <c r="L121" s="249" t="s">
        <v>4562</v>
      </c>
    </row>
    <row r="122" spans="1:12">
      <c r="A122" s="385">
        <v>120</v>
      </c>
      <c r="B122" s="253" t="s">
        <v>4997</v>
      </c>
      <c r="C122" s="253" t="s">
        <v>4998</v>
      </c>
      <c r="D122" s="253" t="s">
        <v>4999</v>
      </c>
      <c r="E122" s="253" t="s">
        <v>4546</v>
      </c>
      <c r="F122" s="253" t="s">
        <v>680</v>
      </c>
      <c r="G122" s="253" t="s">
        <v>681</v>
      </c>
      <c r="H122" s="253" t="s">
        <v>682</v>
      </c>
      <c r="I122" s="253" t="s">
        <v>1962</v>
      </c>
      <c r="J122" s="253" t="s">
        <v>5000</v>
      </c>
      <c r="K122" s="249" t="s">
        <v>4557</v>
      </c>
    </row>
    <row r="123" spans="1:12">
      <c r="A123" s="385">
        <v>121</v>
      </c>
      <c r="B123" s="253" t="s">
        <v>5001</v>
      </c>
      <c r="C123" s="253" t="s">
        <v>5002</v>
      </c>
      <c r="D123" s="253" t="s">
        <v>5003</v>
      </c>
      <c r="E123" s="253" t="s">
        <v>4546</v>
      </c>
      <c r="F123" s="253" t="s">
        <v>680</v>
      </c>
      <c r="G123" s="253" t="s">
        <v>681</v>
      </c>
      <c r="H123" s="253" t="s">
        <v>682</v>
      </c>
      <c r="I123" s="253" t="s">
        <v>1999</v>
      </c>
      <c r="J123" s="253" t="s">
        <v>2041</v>
      </c>
      <c r="K123" s="249" t="s">
        <v>4548</v>
      </c>
      <c r="L123" s="249" t="s">
        <v>4562</v>
      </c>
    </row>
    <row r="124" spans="1:12">
      <c r="A124" s="385">
        <v>122</v>
      </c>
      <c r="B124" s="253" t="s">
        <v>5004</v>
      </c>
      <c r="C124" s="253" t="s">
        <v>5005</v>
      </c>
      <c r="D124" s="253" t="s">
        <v>5006</v>
      </c>
      <c r="E124" s="253" t="s">
        <v>4546</v>
      </c>
      <c r="F124" s="253" t="s">
        <v>680</v>
      </c>
      <c r="G124" s="253" t="s">
        <v>681</v>
      </c>
      <c r="H124" s="253" t="s">
        <v>682</v>
      </c>
      <c r="I124" s="253" t="s">
        <v>1999</v>
      </c>
      <c r="J124" s="253" t="s">
        <v>3583</v>
      </c>
      <c r="K124" s="249" t="s">
        <v>4548</v>
      </c>
      <c r="L124" s="249" t="s">
        <v>4562</v>
      </c>
    </row>
    <row r="125" spans="1:12">
      <c r="A125" s="385">
        <v>123</v>
      </c>
      <c r="B125" s="253" t="s">
        <v>5007</v>
      </c>
      <c r="C125" s="253" t="s">
        <v>5008</v>
      </c>
      <c r="D125" s="253" t="s">
        <v>5009</v>
      </c>
      <c r="E125" s="253" t="s">
        <v>4546</v>
      </c>
      <c r="F125" s="253" t="s">
        <v>680</v>
      </c>
      <c r="G125" s="253" t="s">
        <v>681</v>
      </c>
      <c r="H125" s="253" t="s">
        <v>682</v>
      </c>
      <c r="I125" s="253" t="s">
        <v>1999</v>
      </c>
      <c r="J125" s="253" t="s">
        <v>5010</v>
      </c>
      <c r="K125" s="249" t="s">
        <v>4557</v>
      </c>
    </row>
    <row r="126" spans="1:12">
      <c r="A126" s="385">
        <v>124</v>
      </c>
      <c r="B126" s="253" t="s">
        <v>5011</v>
      </c>
      <c r="C126" s="253" t="s">
        <v>5012</v>
      </c>
      <c r="D126" s="253" t="s">
        <v>5013</v>
      </c>
      <c r="E126" s="253" t="s">
        <v>4546</v>
      </c>
      <c r="F126" s="253" t="s">
        <v>680</v>
      </c>
      <c r="G126" s="253" t="s">
        <v>681</v>
      </c>
      <c r="H126" s="253" t="s">
        <v>682</v>
      </c>
      <c r="I126" s="253" t="s">
        <v>1999</v>
      </c>
      <c r="J126" s="253" t="s">
        <v>5014</v>
      </c>
      <c r="K126" s="249" t="s">
        <v>4548</v>
      </c>
      <c r="L126" s="249" t="s">
        <v>4562</v>
      </c>
    </row>
    <row r="127" spans="1:12">
      <c r="A127" s="385">
        <v>125</v>
      </c>
      <c r="B127" s="253" t="s">
        <v>5015</v>
      </c>
      <c r="C127" s="253" t="s">
        <v>5016</v>
      </c>
      <c r="D127" s="253" t="s">
        <v>5017</v>
      </c>
      <c r="E127" s="253" t="s">
        <v>4546</v>
      </c>
      <c r="F127" s="253" t="s">
        <v>680</v>
      </c>
      <c r="G127" s="253" t="s">
        <v>681</v>
      </c>
      <c r="H127" s="253" t="s">
        <v>682</v>
      </c>
      <c r="I127" s="253" t="s">
        <v>1999</v>
      </c>
      <c r="J127" s="253" t="s">
        <v>5018</v>
      </c>
      <c r="K127" s="249" t="s">
        <v>4548</v>
      </c>
      <c r="L127" s="249" t="s">
        <v>4562</v>
      </c>
    </row>
    <row r="128" spans="1:12">
      <c r="A128" s="385">
        <v>126</v>
      </c>
      <c r="B128" s="253" t="s">
        <v>5019</v>
      </c>
      <c r="C128" s="253" t="s">
        <v>5020</v>
      </c>
      <c r="D128" s="253" t="s">
        <v>5021</v>
      </c>
      <c r="E128" s="253" t="s">
        <v>4546</v>
      </c>
      <c r="F128" s="253" t="s">
        <v>680</v>
      </c>
      <c r="G128" s="253" t="s">
        <v>681</v>
      </c>
      <c r="H128" s="253" t="s">
        <v>682</v>
      </c>
      <c r="I128" s="253" t="s">
        <v>1999</v>
      </c>
      <c r="J128" s="253" t="s">
        <v>4460</v>
      </c>
      <c r="K128" s="249" t="s">
        <v>4548</v>
      </c>
      <c r="L128" s="249" t="s">
        <v>4562</v>
      </c>
    </row>
    <row r="129" spans="1:12">
      <c r="A129" s="385">
        <v>127</v>
      </c>
      <c r="B129" s="253" t="s">
        <v>5022</v>
      </c>
      <c r="C129" s="253" t="s">
        <v>5023</v>
      </c>
      <c r="D129" s="253" t="s">
        <v>5024</v>
      </c>
      <c r="E129" s="253" t="s">
        <v>4546</v>
      </c>
      <c r="F129" s="253" t="s">
        <v>680</v>
      </c>
      <c r="G129" s="253" t="s">
        <v>681</v>
      </c>
      <c r="H129" s="253" t="s">
        <v>682</v>
      </c>
      <c r="I129" s="253" t="s">
        <v>1999</v>
      </c>
      <c r="J129" s="253" t="s">
        <v>5025</v>
      </c>
      <c r="K129" s="249" t="s">
        <v>4548</v>
      </c>
    </row>
    <row r="130" spans="1:12">
      <c r="A130" s="385">
        <v>128</v>
      </c>
      <c r="B130" s="253" t="s">
        <v>5026</v>
      </c>
      <c r="C130" s="253" t="s">
        <v>5027</v>
      </c>
      <c r="D130" s="253" t="s">
        <v>5028</v>
      </c>
      <c r="E130" s="253" t="s">
        <v>4546</v>
      </c>
      <c r="F130" s="253" t="s">
        <v>680</v>
      </c>
      <c r="G130" s="253" t="s">
        <v>681</v>
      </c>
      <c r="H130" s="253" t="s">
        <v>682</v>
      </c>
      <c r="I130" s="253" t="s">
        <v>1999</v>
      </c>
      <c r="J130" s="253" t="s">
        <v>5029</v>
      </c>
      <c r="K130" s="249" t="s">
        <v>4548</v>
      </c>
      <c r="L130" s="249" t="s">
        <v>4562</v>
      </c>
    </row>
    <row r="131" spans="1:12">
      <c r="A131" s="385">
        <v>129</v>
      </c>
      <c r="B131" s="253" t="s">
        <v>5030</v>
      </c>
      <c r="C131" s="253" t="s">
        <v>5031</v>
      </c>
      <c r="D131" s="253" t="s">
        <v>5032</v>
      </c>
      <c r="E131" s="253" t="s">
        <v>4546</v>
      </c>
      <c r="F131" s="253" t="s">
        <v>680</v>
      </c>
      <c r="G131" s="253" t="s">
        <v>681</v>
      </c>
      <c r="H131" s="253" t="s">
        <v>682</v>
      </c>
      <c r="I131" s="253" t="s">
        <v>1999</v>
      </c>
      <c r="J131" s="253" t="s">
        <v>5033</v>
      </c>
      <c r="K131" s="249" t="s">
        <v>4548</v>
      </c>
    </row>
    <row r="132" spans="1:12">
      <c r="A132" s="385">
        <v>130</v>
      </c>
      <c r="B132" s="253" t="s">
        <v>5034</v>
      </c>
      <c r="C132" s="253" t="s">
        <v>5035</v>
      </c>
      <c r="D132" s="253" t="s">
        <v>5036</v>
      </c>
      <c r="E132" s="253" t="s">
        <v>4546</v>
      </c>
      <c r="F132" s="253" t="s">
        <v>680</v>
      </c>
      <c r="G132" s="253" t="s">
        <v>681</v>
      </c>
      <c r="H132" s="253" t="s">
        <v>682</v>
      </c>
      <c r="I132" s="253" t="s">
        <v>2133</v>
      </c>
      <c r="J132" s="253" t="s">
        <v>5037</v>
      </c>
      <c r="K132" s="249" t="s">
        <v>4557</v>
      </c>
      <c r="L132" s="249" t="s">
        <v>4562</v>
      </c>
    </row>
    <row r="133" spans="1:12">
      <c r="A133" s="385">
        <v>131</v>
      </c>
      <c r="B133" s="253" t="s">
        <v>5038</v>
      </c>
      <c r="C133" s="253" t="s">
        <v>5039</v>
      </c>
      <c r="D133" s="253" t="s">
        <v>5040</v>
      </c>
      <c r="E133" s="253" t="s">
        <v>4546</v>
      </c>
      <c r="F133" s="253" t="s">
        <v>680</v>
      </c>
      <c r="G133" s="253" t="s">
        <v>681</v>
      </c>
      <c r="H133" s="253" t="s">
        <v>682</v>
      </c>
      <c r="I133" s="253" t="s">
        <v>2133</v>
      </c>
      <c r="J133" s="253" t="s">
        <v>5041</v>
      </c>
      <c r="K133" s="249" t="s">
        <v>4548</v>
      </c>
      <c r="L133" s="249" t="s">
        <v>4562</v>
      </c>
    </row>
    <row r="134" spans="1:12">
      <c r="A134" s="385">
        <v>132</v>
      </c>
      <c r="B134" s="253" t="s">
        <v>5042</v>
      </c>
      <c r="C134" s="253" t="s">
        <v>5043</v>
      </c>
      <c r="D134" s="253" t="s">
        <v>5044</v>
      </c>
      <c r="E134" s="253" t="s">
        <v>4546</v>
      </c>
      <c r="F134" s="253" t="s">
        <v>680</v>
      </c>
      <c r="G134" s="253" t="s">
        <v>681</v>
      </c>
      <c r="H134" s="253" t="s">
        <v>682</v>
      </c>
      <c r="I134" s="253" t="s">
        <v>2211</v>
      </c>
      <c r="J134" s="253" t="s">
        <v>2215</v>
      </c>
      <c r="K134" s="249" t="s">
        <v>4557</v>
      </c>
      <c r="L134" s="249" t="s">
        <v>4562</v>
      </c>
    </row>
    <row r="135" spans="1:12">
      <c r="A135" s="385">
        <v>133</v>
      </c>
      <c r="B135" s="253" t="s">
        <v>5045</v>
      </c>
      <c r="C135" s="253" t="s">
        <v>5046</v>
      </c>
      <c r="D135" s="253" t="s">
        <v>5047</v>
      </c>
      <c r="E135" s="253" t="s">
        <v>4546</v>
      </c>
      <c r="F135" s="253" t="s">
        <v>680</v>
      </c>
      <c r="G135" s="253" t="s">
        <v>681</v>
      </c>
      <c r="H135" s="253" t="s">
        <v>682</v>
      </c>
      <c r="I135" s="253" t="s">
        <v>2211</v>
      </c>
      <c r="J135" s="253" t="s">
        <v>5048</v>
      </c>
      <c r="K135" s="249" t="s">
        <v>4548</v>
      </c>
      <c r="L135" s="249" t="s">
        <v>4562</v>
      </c>
    </row>
    <row r="136" spans="1:12">
      <c r="A136" s="385">
        <v>134</v>
      </c>
      <c r="B136" s="253" t="s">
        <v>5049</v>
      </c>
      <c r="C136" s="253"/>
      <c r="D136" s="253" t="s">
        <v>5050</v>
      </c>
      <c r="E136" s="253" t="s">
        <v>4546</v>
      </c>
      <c r="F136" s="253" t="s">
        <v>680</v>
      </c>
      <c r="G136" s="253" t="s">
        <v>681</v>
      </c>
      <c r="H136" s="253" t="s">
        <v>682</v>
      </c>
      <c r="I136" s="253"/>
      <c r="J136" s="253" t="s">
        <v>5051</v>
      </c>
      <c r="K136" s="249" t="s">
        <v>4557</v>
      </c>
    </row>
  </sheetData>
  <autoFilter ref="B2:J136">
    <sortState ref="B2:J135">
      <sortCondition ref="I1:I135"/>
    </sortState>
  </autoFilter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551"/>
  <sheetViews>
    <sheetView zoomScale="90" zoomScaleNormal="90" workbookViewId="0">
      <pane xSplit="7" ySplit="4" topLeftCell="J16" activePane="bottomRight" state="frozen"/>
      <selection pane="topRight" activeCell="G1" sqref="G1"/>
      <selection pane="bottomLeft" activeCell="A5" sqref="A5"/>
      <selection pane="bottomRight" activeCell="L5" sqref="L5"/>
    </sheetView>
  </sheetViews>
  <sheetFormatPr defaultRowHeight="14.5"/>
  <cols>
    <col min="1" max="1" width="5" style="1" customWidth="1"/>
    <col min="2" max="2" width="21.54296875" style="1" hidden="1" customWidth="1"/>
    <col min="3" max="3" width="30.26953125" style="102" customWidth="1"/>
    <col min="4" max="4" width="6.453125" style="102" customWidth="1"/>
    <col min="5" max="6" width="5.1796875" style="60" customWidth="1"/>
    <col min="7" max="7" width="19.453125" style="3" customWidth="1"/>
    <col min="8" max="8" width="9.7265625" style="1" customWidth="1"/>
    <col min="9" max="9" width="32" style="185" customWidth="1"/>
    <col min="10" max="10" width="30.453125" style="185" customWidth="1"/>
    <col min="11" max="11" width="19.1796875" style="185" customWidth="1"/>
    <col min="12" max="12" width="7.26953125" customWidth="1"/>
    <col min="13" max="13" width="10.1796875" customWidth="1"/>
    <col min="14" max="14" width="21.453125" customWidth="1"/>
    <col min="15" max="15" width="48.7265625" customWidth="1"/>
    <col min="16" max="16" width="12.81640625" customWidth="1"/>
    <col min="17" max="17" width="30.26953125" customWidth="1"/>
  </cols>
  <sheetData>
    <row r="2" spans="1:17" ht="21" customHeight="1">
      <c r="B2" s="494"/>
      <c r="C2" s="495" t="str">
        <f>A62&amp;" Pengawas RA/MI "</f>
        <v xml:space="preserve">58 Pengawas RA/MI </v>
      </c>
      <c r="D2" s="494"/>
      <c r="E2" s="500" t="s">
        <v>5161</v>
      </c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17">
      <c r="B3" s="47"/>
      <c r="C3" s="54"/>
      <c r="D3" s="54"/>
      <c r="E3" s="61"/>
      <c r="F3" s="61"/>
      <c r="G3" s="48"/>
      <c r="H3" s="183"/>
      <c r="I3" s="239"/>
      <c r="J3" s="239"/>
      <c r="K3" s="184"/>
      <c r="L3" s="49"/>
      <c r="M3" s="49"/>
      <c r="N3" s="49"/>
      <c r="O3" s="49"/>
      <c r="P3" s="49"/>
    </row>
    <row r="4" spans="1:17" ht="38.25" customHeight="1">
      <c r="A4" s="4" t="s">
        <v>131</v>
      </c>
      <c r="B4" s="88" t="s">
        <v>133</v>
      </c>
      <c r="C4" s="100" t="s">
        <v>132</v>
      </c>
      <c r="D4" s="247" t="s">
        <v>665</v>
      </c>
      <c r="E4" s="62" t="s">
        <v>2</v>
      </c>
      <c r="F4" s="62"/>
      <c r="G4" s="4" t="s">
        <v>603</v>
      </c>
      <c r="H4" s="4" t="s">
        <v>600</v>
      </c>
      <c r="I4" s="4" t="s">
        <v>5107</v>
      </c>
      <c r="J4" s="276" t="s">
        <v>5141</v>
      </c>
      <c r="K4" s="4" t="s">
        <v>661</v>
      </c>
      <c r="L4" s="4" t="s">
        <v>660</v>
      </c>
      <c r="M4" s="4" t="s">
        <v>5058</v>
      </c>
      <c r="N4" s="4" t="s">
        <v>662</v>
      </c>
      <c r="O4" s="4" t="s">
        <v>606</v>
      </c>
      <c r="P4" s="4" t="s">
        <v>674</v>
      </c>
      <c r="Q4" s="100" t="s">
        <v>132</v>
      </c>
    </row>
    <row r="5" spans="1:17" s="164" customFormat="1" ht="29.15" customHeight="1">
      <c r="A5" s="399">
        <v>1</v>
      </c>
      <c r="B5" s="400" t="s">
        <v>112</v>
      </c>
      <c r="C5" s="401" t="s">
        <v>89</v>
      </c>
      <c r="D5" s="402" t="s">
        <v>663</v>
      </c>
      <c r="E5" s="403" t="s">
        <v>49</v>
      </c>
      <c r="F5" s="403"/>
      <c r="G5" s="404">
        <v>45474</v>
      </c>
      <c r="H5" s="399" t="s">
        <v>316</v>
      </c>
      <c r="I5" s="405" t="s">
        <v>186</v>
      </c>
      <c r="J5" s="421" t="s">
        <v>5145</v>
      </c>
      <c r="K5" s="406">
        <v>24673</v>
      </c>
      <c r="L5" s="407">
        <f t="shared" ref="L5:L36" ca="1" si="0">DATEDIF(K5,TODAY(),"Y")</f>
        <v>57</v>
      </c>
      <c r="M5" s="407">
        <v>58</v>
      </c>
      <c r="N5" s="408" t="str">
        <f t="shared" ref="N5:N36" si="1">TEXT(EDATE(K5,12*M5),"DD MMMM YYYY")</f>
        <v>20 Juli 2025</v>
      </c>
      <c r="O5" s="409" t="s">
        <v>607</v>
      </c>
      <c r="P5" s="410" t="s">
        <v>5084</v>
      </c>
      <c r="Q5" s="411" t="s">
        <v>278</v>
      </c>
    </row>
    <row r="6" spans="1:17" s="164" customFormat="1" ht="29.15" customHeight="1">
      <c r="A6" s="399">
        <v>2</v>
      </c>
      <c r="B6" s="412" t="s">
        <v>18</v>
      </c>
      <c r="C6" s="413" t="s">
        <v>6</v>
      </c>
      <c r="D6" s="414" t="s">
        <v>663</v>
      </c>
      <c r="E6" s="415" t="s">
        <v>125</v>
      </c>
      <c r="F6" s="415"/>
      <c r="G6" s="404">
        <v>44197</v>
      </c>
      <c r="H6" s="399" t="s">
        <v>316</v>
      </c>
      <c r="I6" s="416" t="s">
        <v>184</v>
      </c>
      <c r="J6" s="421" t="s">
        <v>5145</v>
      </c>
      <c r="K6" s="406">
        <v>25759</v>
      </c>
      <c r="L6" s="417">
        <f t="shared" ca="1" si="0"/>
        <v>54</v>
      </c>
      <c r="M6" s="417">
        <v>60</v>
      </c>
      <c r="N6" s="418" t="str">
        <f t="shared" si="1"/>
        <v>10 Juli 2030</v>
      </c>
      <c r="O6" s="419" t="s">
        <v>608</v>
      </c>
      <c r="P6" s="410" t="s">
        <v>5086</v>
      </c>
      <c r="Q6" s="420" t="s">
        <v>255</v>
      </c>
    </row>
    <row r="7" spans="1:17" s="164" customFormat="1" ht="29.15" customHeight="1">
      <c r="A7" s="399">
        <v>3</v>
      </c>
      <c r="B7" s="412" t="s">
        <v>19</v>
      </c>
      <c r="C7" s="413" t="s">
        <v>7</v>
      </c>
      <c r="D7" s="414" t="s">
        <v>663</v>
      </c>
      <c r="E7" s="415" t="s">
        <v>48</v>
      </c>
      <c r="F7" s="415"/>
      <c r="G7" s="404" t="s">
        <v>5055</v>
      </c>
      <c r="H7" s="399" t="s">
        <v>316</v>
      </c>
      <c r="I7" s="421" t="s">
        <v>5109</v>
      </c>
      <c r="J7" s="421" t="s">
        <v>5145</v>
      </c>
      <c r="K7" s="406">
        <v>26527</v>
      </c>
      <c r="L7" s="417">
        <f t="shared" ca="1" si="0"/>
        <v>52</v>
      </c>
      <c r="M7" s="417">
        <v>60</v>
      </c>
      <c r="N7" s="418" t="str">
        <f t="shared" si="1"/>
        <v>16 Agustus 2032</v>
      </c>
      <c r="O7" s="423" t="s">
        <v>609</v>
      </c>
      <c r="P7" s="410" t="s">
        <v>5086</v>
      </c>
      <c r="Q7" s="420" t="s">
        <v>254</v>
      </c>
    </row>
    <row r="8" spans="1:17" s="164" customFormat="1" ht="29.15" customHeight="1">
      <c r="A8" s="399">
        <v>4</v>
      </c>
      <c r="B8" s="424" t="s">
        <v>46</v>
      </c>
      <c r="C8" s="425" t="s">
        <v>154</v>
      </c>
      <c r="D8" s="426" t="s">
        <v>663</v>
      </c>
      <c r="E8" s="427" t="s">
        <v>48</v>
      </c>
      <c r="F8" s="427"/>
      <c r="G8" s="404">
        <v>42430</v>
      </c>
      <c r="H8" s="399" t="s">
        <v>316</v>
      </c>
      <c r="I8" s="428" t="s">
        <v>187</v>
      </c>
      <c r="J8" s="421" t="s">
        <v>5145</v>
      </c>
      <c r="K8" s="406">
        <v>26730</v>
      </c>
      <c r="L8" s="417">
        <f t="shared" ca="1" si="0"/>
        <v>51</v>
      </c>
      <c r="M8" s="417">
        <v>60</v>
      </c>
      <c r="N8" s="418" t="str">
        <f t="shared" si="1"/>
        <v>07 Maret 2033</v>
      </c>
      <c r="O8" s="428" t="s">
        <v>611</v>
      </c>
      <c r="P8" s="410" t="s">
        <v>5086</v>
      </c>
      <c r="Q8" s="425" t="s">
        <v>258</v>
      </c>
    </row>
    <row r="9" spans="1:17" s="164" customFormat="1" ht="29.15" customHeight="1">
      <c r="A9" s="399">
        <v>5</v>
      </c>
      <c r="B9" s="412" t="s">
        <v>27</v>
      </c>
      <c r="C9" s="413" t="s">
        <v>11</v>
      </c>
      <c r="D9" s="414" t="s">
        <v>663</v>
      </c>
      <c r="E9" s="427" t="s">
        <v>52</v>
      </c>
      <c r="F9" s="427"/>
      <c r="G9" s="404">
        <v>45474</v>
      </c>
      <c r="H9" s="399" t="s">
        <v>316</v>
      </c>
      <c r="I9" s="405" t="s">
        <v>184</v>
      </c>
      <c r="J9" s="421" t="s">
        <v>5145</v>
      </c>
      <c r="K9" s="406">
        <v>27929</v>
      </c>
      <c r="L9" s="417">
        <f t="shared" ca="1" si="0"/>
        <v>48</v>
      </c>
      <c r="M9" s="417">
        <v>60</v>
      </c>
      <c r="N9" s="418" t="str">
        <f t="shared" si="1"/>
        <v>18 Juni 2036</v>
      </c>
      <c r="O9" s="409" t="s">
        <v>612</v>
      </c>
      <c r="P9" s="410" t="s">
        <v>5085</v>
      </c>
      <c r="Q9" s="420" t="s">
        <v>598</v>
      </c>
    </row>
    <row r="10" spans="1:17" s="164" customFormat="1" ht="29.15" customHeight="1">
      <c r="A10" s="399">
        <v>6</v>
      </c>
      <c r="B10" s="429" t="s">
        <v>99</v>
      </c>
      <c r="C10" s="430" t="s">
        <v>122</v>
      </c>
      <c r="D10" s="431" t="s">
        <v>663</v>
      </c>
      <c r="E10" s="403" t="s">
        <v>49</v>
      </c>
      <c r="F10" s="403"/>
      <c r="G10" s="404">
        <v>45474</v>
      </c>
      <c r="H10" s="399" t="s">
        <v>316</v>
      </c>
      <c r="I10" s="428" t="s">
        <v>192</v>
      </c>
      <c r="J10" s="421" t="s">
        <v>5145</v>
      </c>
      <c r="K10" s="406">
        <v>28707</v>
      </c>
      <c r="L10" s="417">
        <f t="shared" ca="1" si="0"/>
        <v>46</v>
      </c>
      <c r="M10" s="417">
        <v>60</v>
      </c>
      <c r="N10" s="418" t="str">
        <f t="shared" si="1"/>
        <v>05 Agustus 2038</v>
      </c>
      <c r="O10" s="428" t="s">
        <v>613</v>
      </c>
      <c r="P10" s="410" t="s">
        <v>5088</v>
      </c>
      <c r="Q10" s="430" t="s">
        <v>289</v>
      </c>
    </row>
    <row r="11" spans="1:17" s="164" customFormat="1" ht="29.15" customHeight="1">
      <c r="A11" s="399">
        <v>7</v>
      </c>
      <c r="B11" s="429" t="s">
        <v>129</v>
      </c>
      <c r="C11" s="432" t="s">
        <v>145</v>
      </c>
      <c r="D11" s="431" t="s">
        <v>663</v>
      </c>
      <c r="E11" s="431" t="s">
        <v>49</v>
      </c>
      <c r="F11" s="431"/>
      <c r="G11" s="433">
        <v>43556</v>
      </c>
      <c r="H11" s="399" t="s">
        <v>316</v>
      </c>
      <c r="I11" s="428" t="s">
        <v>182</v>
      </c>
      <c r="J11" s="421" t="s">
        <v>5145</v>
      </c>
      <c r="K11" s="406">
        <v>24816</v>
      </c>
      <c r="L11" s="407">
        <f t="shared" ca="1" si="0"/>
        <v>57</v>
      </c>
      <c r="M11" s="407">
        <v>58</v>
      </c>
      <c r="N11" s="408" t="str">
        <f t="shared" si="1"/>
        <v>10 Desember 2025</v>
      </c>
      <c r="O11" s="428" t="s">
        <v>614</v>
      </c>
      <c r="P11" s="410" t="s">
        <v>5089</v>
      </c>
      <c r="Q11" s="430" t="s">
        <v>261</v>
      </c>
    </row>
    <row r="12" spans="1:17" s="164" customFormat="1" ht="29.15" customHeight="1">
      <c r="A12" s="399">
        <v>8</v>
      </c>
      <c r="B12" s="412" t="s">
        <v>114</v>
      </c>
      <c r="C12" s="413" t="s">
        <v>126</v>
      </c>
      <c r="D12" s="414" t="s">
        <v>664</v>
      </c>
      <c r="E12" s="403" t="s">
        <v>49</v>
      </c>
      <c r="F12" s="403"/>
      <c r="G12" s="434">
        <v>44868</v>
      </c>
      <c r="H12" s="399" t="s">
        <v>316</v>
      </c>
      <c r="I12" s="435" t="s">
        <v>187</v>
      </c>
      <c r="J12" s="421" t="s">
        <v>5144</v>
      </c>
      <c r="K12" s="406">
        <v>30410</v>
      </c>
      <c r="L12" s="417">
        <f t="shared" ca="1" si="0"/>
        <v>41</v>
      </c>
      <c r="M12" s="417">
        <v>60</v>
      </c>
      <c r="N12" s="418" t="str">
        <f t="shared" si="1"/>
        <v>04 April 2043</v>
      </c>
      <c r="O12" s="436" t="s">
        <v>5060</v>
      </c>
      <c r="P12" s="410" t="s">
        <v>5089</v>
      </c>
      <c r="Q12" s="420" t="s">
        <v>273</v>
      </c>
    </row>
    <row r="13" spans="1:17" s="164" customFormat="1" ht="29.15" customHeight="1">
      <c r="A13" s="399">
        <v>9</v>
      </c>
      <c r="B13" s="424" t="s">
        <v>101</v>
      </c>
      <c r="C13" s="425" t="s">
        <v>69</v>
      </c>
      <c r="D13" s="426" t="s">
        <v>664</v>
      </c>
      <c r="E13" s="403" t="s">
        <v>49</v>
      </c>
      <c r="F13" s="403"/>
      <c r="G13" s="433">
        <v>44868</v>
      </c>
      <c r="H13" s="399" t="s">
        <v>316</v>
      </c>
      <c r="I13" s="422" t="s">
        <v>181</v>
      </c>
      <c r="J13" s="421" t="s">
        <v>5144</v>
      </c>
      <c r="K13" s="406">
        <v>26769</v>
      </c>
      <c r="L13" s="417">
        <f t="shared" ca="1" si="0"/>
        <v>51</v>
      </c>
      <c r="M13" s="417">
        <v>60</v>
      </c>
      <c r="N13" s="418" t="str">
        <f t="shared" si="1"/>
        <v>15 April 2033</v>
      </c>
      <c r="O13" s="423" t="s">
        <v>5061</v>
      </c>
      <c r="P13" s="410" t="s">
        <v>5090</v>
      </c>
      <c r="Q13" s="425" t="s">
        <v>264</v>
      </c>
    </row>
    <row r="14" spans="1:17" s="164" customFormat="1" ht="29.15" customHeight="1">
      <c r="A14" s="399">
        <v>10</v>
      </c>
      <c r="B14" s="400" t="s">
        <v>119</v>
      </c>
      <c r="C14" s="401" t="s">
        <v>93</v>
      </c>
      <c r="D14" s="414" t="s">
        <v>663</v>
      </c>
      <c r="E14" s="403" t="s">
        <v>49</v>
      </c>
      <c r="F14" s="403"/>
      <c r="G14" s="404">
        <v>44470</v>
      </c>
      <c r="H14" s="399" t="s">
        <v>316</v>
      </c>
      <c r="I14" s="437" t="s">
        <v>186</v>
      </c>
      <c r="J14" s="421" t="s">
        <v>5145</v>
      </c>
      <c r="K14" s="406">
        <v>24633</v>
      </c>
      <c r="L14" s="407">
        <f t="shared" ca="1" si="0"/>
        <v>57</v>
      </c>
      <c r="M14" s="407">
        <v>58</v>
      </c>
      <c r="N14" s="408" t="str">
        <f t="shared" si="1"/>
        <v>10 Juni 2025</v>
      </c>
      <c r="O14" s="438" t="s">
        <v>615</v>
      </c>
      <c r="P14" s="410" t="s">
        <v>5087</v>
      </c>
      <c r="Q14" s="420" t="s">
        <v>275</v>
      </c>
    </row>
    <row r="15" spans="1:17" s="164" customFormat="1" ht="29.15" customHeight="1">
      <c r="A15" s="399">
        <v>11</v>
      </c>
      <c r="B15" s="400" t="s">
        <v>44</v>
      </c>
      <c r="C15" s="439" t="s">
        <v>36</v>
      </c>
      <c r="D15" s="402" t="s">
        <v>663</v>
      </c>
      <c r="E15" s="403" t="s">
        <v>141</v>
      </c>
      <c r="F15" s="403"/>
      <c r="G15" s="433">
        <v>45474</v>
      </c>
      <c r="H15" s="399" t="s">
        <v>316</v>
      </c>
      <c r="I15" s="405" t="s">
        <v>217</v>
      </c>
      <c r="J15" s="421" t="s">
        <v>5144</v>
      </c>
      <c r="K15" s="406">
        <v>28250</v>
      </c>
      <c r="L15" s="417">
        <f t="shared" ca="1" si="0"/>
        <v>47</v>
      </c>
      <c r="M15" s="417">
        <v>60</v>
      </c>
      <c r="N15" s="418" t="str">
        <f t="shared" si="1"/>
        <v>05 Mei 2037</v>
      </c>
      <c r="O15" s="409" t="s">
        <v>616</v>
      </c>
      <c r="P15" s="410" t="s">
        <v>5091</v>
      </c>
      <c r="Q15" s="411" t="s">
        <v>267</v>
      </c>
    </row>
    <row r="16" spans="1:17" s="164" customFormat="1" ht="29.15" customHeight="1">
      <c r="A16" s="399">
        <v>12</v>
      </c>
      <c r="B16" s="440" t="s">
        <v>42</v>
      </c>
      <c r="C16" s="425" t="s">
        <v>144</v>
      </c>
      <c r="D16" s="426" t="s">
        <v>664</v>
      </c>
      <c r="E16" s="403" t="s">
        <v>50</v>
      </c>
      <c r="F16" s="403"/>
      <c r="G16" s="433">
        <v>45474</v>
      </c>
      <c r="H16" s="399" t="s">
        <v>316</v>
      </c>
      <c r="I16" s="405" t="s">
        <v>183</v>
      </c>
      <c r="J16" s="421" t="s">
        <v>5144</v>
      </c>
      <c r="K16" s="406">
        <v>30309</v>
      </c>
      <c r="L16" s="417">
        <f t="shared" ca="1" si="0"/>
        <v>42</v>
      </c>
      <c r="M16" s="417">
        <v>60</v>
      </c>
      <c r="N16" s="418" t="str">
        <f t="shared" si="1"/>
        <v>24 Desember 2042</v>
      </c>
      <c r="O16" s="409" t="s">
        <v>5062</v>
      </c>
      <c r="P16" s="410" t="s">
        <v>5092</v>
      </c>
      <c r="Q16" s="425" t="s">
        <v>304</v>
      </c>
    </row>
    <row r="17" spans="1:17" s="164" customFormat="1" ht="29.15" customHeight="1">
      <c r="A17" s="399">
        <v>13</v>
      </c>
      <c r="B17" s="412" t="s">
        <v>95</v>
      </c>
      <c r="C17" s="413" t="s">
        <v>66</v>
      </c>
      <c r="D17" s="414" t="s">
        <v>663</v>
      </c>
      <c r="E17" s="403" t="s">
        <v>49</v>
      </c>
      <c r="F17" s="403"/>
      <c r="G17" s="404">
        <v>45474</v>
      </c>
      <c r="H17" s="399" t="s">
        <v>316</v>
      </c>
      <c r="I17" s="405" t="s">
        <v>188</v>
      </c>
      <c r="J17" s="421" t="s">
        <v>5145</v>
      </c>
      <c r="K17" s="406">
        <v>29222</v>
      </c>
      <c r="L17" s="417">
        <f t="shared" ca="1" si="0"/>
        <v>45</v>
      </c>
      <c r="M17" s="417">
        <v>60</v>
      </c>
      <c r="N17" s="418" t="str">
        <f t="shared" si="1"/>
        <v>02 Januari 2040</v>
      </c>
      <c r="O17" s="409" t="s">
        <v>617</v>
      </c>
      <c r="P17" s="410" t="s">
        <v>5092</v>
      </c>
      <c r="Q17" s="420" t="s">
        <v>270</v>
      </c>
    </row>
    <row r="18" spans="1:17" s="164" customFormat="1" ht="29.15" customHeight="1">
      <c r="A18" s="399">
        <v>14</v>
      </c>
      <c r="B18" s="441" t="s">
        <v>74</v>
      </c>
      <c r="C18" s="439" t="s">
        <v>75</v>
      </c>
      <c r="D18" s="402" t="s">
        <v>664</v>
      </c>
      <c r="E18" s="403" t="s">
        <v>49</v>
      </c>
      <c r="F18" s="403"/>
      <c r="G18" s="433">
        <v>44823</v>
      </c>
      <c r="H18" s="399" t="s">
        <v>316</v>
      </c>
      <c r="I18" s="422" t="s">
        <v>180</v>
      </c>
      <c r="J18" s="421" t="s">
        <v>5145</v>
      </c>
      <c r="K18" s="406">
        <v>25530</v>
      </c>
      <c r="L18" s="417">
        <f t="shared" ca="1" si="0"/>
        <v>55</v>
      </c>
      <c r="M18" s="417">
        <v>60</v>
      </c>
      <c r="N18" s="418" t="str">
        <f t="shared" si="1"/>
        <v>23 November 2029</v>
      </c>
      <c r="O18" s="423" t="s">
        <v>5063</v>
      </c>
      <c r="P18" s="410" t="s">
        <v>5093</v>
      </c>
      <c r="Q18" s="411" t="s">
        <v>296</v>
      </c>
    </row>
    <row r="19" spans="1:17" s="164" customFormat="1" ht="29.15" customHeight="1">
      <c r="A19" s="399">
        <v>15</v>
      </c>
      <c r="B19" s="424" t="s">
        <v>41</v>
      </c>
      <c r="C19" s="425" t="s">
        <v>33</v>
      </c>
      <c r="D19" s="426" t="s">
        <v>663</v>
      </c>
      <c r="E19" s="403" t="s">
        <v>49</v>
      </c>
      <c r="F19" s="403"/>
      <c r="G19" s="433">
        <v>45108</v>
      </c>
      <c r="H19" s="399" t="s">
        <v>316</v>
      </c>
      <c r="I19" s="442" t="s">
        <v>180</v>
      </c>
      <c r="J19" s="421" t="s">
        <v>5144</v>
      </c>
      <c r="K19" s="406">
        <v>29589</v>
      </c>
      <c r="L19" s="417">
        <f t="shared" ca="1" si="0"/>
        <v>44</v>
      </c>
      <c r="M19" s="417">
        <v>60</v>
      </c>
      <c r="N19" s="418" t="str">
        <f t="shared" si="1"/>
        <v>03 Januari 2041</v>
      </c>
      <c r="O19" s="443" t="s">
        <v>618</v>
      </c>
      <c r="P19" s="410" t="s">
        <v>5092</v>
      </c>
      <c r="Q19" s="425" t="s">
        <v>279</v>
      </c>
    </row>
    <row r="20" spans="1:17" s="164" customFormat="1" ht="29.15" customHeight="1">
      <c r="A20" s="399">
        <v>16</v>
      </c>
      <c r="B20" s="412" t="s">
        <v>120</v>
      </c>
      <c r="C20" s="413" t="s">
        <v>94</v>
      </c>
      <c r="D20" s="414" t="s">
        <v>664</v>
      </c>
      <c r="E20" s="403" t="s">
        <v>49</v>
      </c>
      <c r="F20" s="403"/>
      <c r="G20" s="404">
        <v>45444</v>
      </c>
      <c r="H20" s="399" t="s">
        <v>316</v>
      </c>
      <c r="I20" s="405" t="s">
        <v>218</v>
      </c>
      <c r="J20" s="421" t="s">
        <v>5145</v>
      </c>
      <c r="K20" s="406">
        <v>26044</v>
      </c>
      <c r="L20" s="417">
        <f t="shared" ca="1" si="0"/>
        <v>53</v>
      </c>
      <c r="M20" s="417">
        <v>60</v>
      </c>
      <c r="N20" s="418" t="str">
        <f t="shared" si="1"/>
        <v>21 April 2031</v>
      </c>
      <c r="O20" s="409" t="s">
        <v>5065</v>
      </c>
      <c r="P20" s="410" t="s">
        <v>5084</v>
      </c>
      <c r="Q20" s="420" t="s">
        <v>277</v>
      </c>
    </row>
    <row r="21" spans="1:17" s="164" customFormat="1" ht="29.15" customHeight="1">
      <c r="A21" s="399">
        <v>17</v>
      </c>
      <c r="B21" s="444" t="s">
        <v>72</v>
      </c>
      <c r="C21" s="445" t="s">
        <v>73</v>
      </c>
      <c r="D21" s="402" t="s">
        <v>664</v>
      </c>
      <c r="E21" s="403" t="s">
        <v>49</v>
      </c>
      <c r="F21" s="403"/>
      <c r="G21" s="433">
        <v>44868</v>
      </c>
      <c r="H21" s="399" t="s">
        <v>316</v>
      </c>
      <c r="I21" s="422" t="s">
        <v>180</v>
      </c>
      <c r="J21" s="421" t="s">
        <v>5144</v>
      </c>
      <c r="K21" s="406">
        <v>25118</v>
      </c>
      <c r="L21" s="446">
        <f t="shared" ca="1" si="0"/>
        <v>56</v>
      </c>
      <c r="M21" s="446">
        <v>58</v>
      </c>
      <c r="N21" s="447" t="str">
        <f t="shared" si="1"/>
        <v>07 Oktober 2026</v>
      </c>
      <c r="O21" s="423" t="s">
        <v>619</v>
      </c>
      <c r="P21" s="410" t="s">
        <v>5093</v>
      </c>
      <c r="Q21" s="411" t="s">
        <v>263</v>
      </c>
    </row>
    <row r="22" spans="1:17" s="164" customFormat="1" ht="29.15" customHeight="1">
      <c r="A22" s="399">
        <v>18</v>
      </c>
      <c r="B22" s="412" t="s">
        <v>104</v>
      </c>
      <c r="C22" s="413" t="s">
        <v>213</v>
      </c>
      <c r="D22" s="414" t="s">
        <v>663</v>
      </c>
      <c r="E22" s="448" t="s">
        <v>49</v>
      </c>
      <c r="F22" s="448"/>
      <c r="G22" s="404">
        <v>45474</v>
      </c>
      <c r="H22" s="399" t="s">
        <v>316</v>
      </c>
      <c r="I22" s="405" t="s">
        <v>191</v>
      </c>
      <c r="J22" s="421" t="s">
        <v>5145</v>
      </c>
      <c r="K22" s="406">
        <v>28030</v>
      </c>
      <c r="L22" s="417">
        <f t="shared" ca="1" si="0"/>
        <v>48</v>
      </c>
      <c r="M22" s="417">
        <v>60</v>
      </c>
      <c r="N22" s="418" t="str">
        <f t="shared" si="1"/>
        <v>27 September 2036</v>
      </c>
      <c r="O22" s="409" t="s">
        <v>5067</v>
      </c>
      <c r="P22" s="410" t="s">
        <v>5089</v>
      </c>
      <c r="Q22" s="413" t="s">
        <v>300</v>
      </c>
    </row>
    <row r="23" spans="1:17" s="164" customFormat="1" ht="29.15" customHeight="1">
      <c r="A23" s="399">
        <v>19</v>
      </c>
      <c r="B23" s="412" t="s">
        <v>105</v>
      </c>
      <c r="C23" s="413" t="s">
        <v>142</v>
      </c>
      <c r="D23" s="414" t="s">
        <v>663</v>
      </c>
      <c r="E23" s="449" t="s">
        <v>49</v>
      </c>
      <c r="F23" s="449"/>
      <c r="G23" s="404" t="s">
        <v>172</v>
      </c>
      <c r="H23" s="399" t="s">
        <v>316</v>
      </c>
      <c r="I23" s="428" t="s">
        <v>182</v>
      </c>
      <c r="J23" s="421" t="s">
        <v>5145</v>
      </c>
      <c r="K23" s="406">
        <v>30482</v>
      </c>
      <c r="L23" s="417">
        <f t="shared" ca="1" si="0"/>
        <v>41</v>
      </c>
      <c r="M23" s="417">
        <v>60</v>
      </c>
      <c r="N23" s="418" t="str">
        <f t="shared" si="1"/>
        <v>15 Juni 2043</v>
      </c>
      <c r="O23" s="428" t="s">
        <v>5069</v>
      </c>
      <c r="P23" s="410" t="s">
        <v>5088</v>
      </c>
      <c r="Q23" s="413" t="s">
        <v>292</v>
      </c>
    </row>
    <row r="24" spans="1:17" s="164" customFormat="1" ht="29.15" customHeight="1">
      <c r="A24" s="399">
        <v>20</v>
      </c>
      <c r="B24" s="400" t="s">
        <v>43</v>
      </c>
      <c r="C24" s="439" t="s">
        <v>160</v>
      </c>
      <c r="D24" s="402" t="s">
        <v>664</v>
      </c>
      <c r="E24" s="403" t="s">
        <v>50</v>
      </c>
      <c r="F24" s="403"/>
      <c r="G24" s="433">
        <v>44868</v>
      </c>
      <c r="H24" s="399" t="s">
        <v>316</v>
      </c>
      <c r="I24" s="405" t="s">
        <v>217</v>
      </c>
      <c r="J24" s="421" t="s">
        <v>5144</v>
      </c>
      <c r="K24" s="406">
        <v>30328</v>
      </c>
      <c r="L24" s="417">
        <f t="shared" ca="1" si="0"/>
        <v>42</v>
      </c>
      <c r="M24" s="417">
        <v>60</v>
      </c>
      <c r="N24" s="418" t="str">
        <f t="shared" si="1"/>
        <v>12 Januari 2043</v>
      </c>
      <c r="O24" s="450" t="s">
        <v>620</v>
      </c>
      <c r="P24" s="410" t="s">
        <v>5094</v>
      </c>
      <c r="Q24" s="411" t="s">
        <v>301</v>
      </c>
    </row>
    <row r="25" spans="1:17" s="164" customFormat="1" ht="29.15" customHeight="1">
      <c r="A25" s="399">
        <v>21</v>
      </c>
      <c r="B25" s="424" t="s">
        <v>40</v>
      </c>
      <c r="C25" s="425" t="s">
        <v>32</v>
      </c>
      <c r="D25" s="426" t="s">
        <v>663</v>
      </c>
      <c r="E25" s="403" t="s">
        <v>141</v>
      </c>
      <c r="F25" s="403"/>
      <c r="G25" s="433">
        <v>45078</v>
      </c>
      <c r="H25" s="399" t="s">
        <v>316</v>
      </c>
      <c r="I25" s="421" t="s">
        <v>5109</v>
      </c>
      <c r="J25" s="421" t="s">
        <v>5144</v>
      </c>
      <c r="K25" s="406">
        <v>27946</v>
      </c>
      <c r="L25" s="417">
        <f t="shared" ca="1" si="0"/>
        <v>48</v>
      </c>
      <c r="M25" s="417">
        <v>60</v>
      </c>
      <c r="N25" s="418" t="str">
        <f t="shared" si="1"/>
        <v>05 Juli 2036</v>
      </c>
      <c r="O25" s="443" t="s">
        <v>621</v>
      </c>
      <c r="P25" s="410" t="s">
        <v>5095</v>
      </c>
      <c r="Q25" s="425" t="s">
        <v>266</v>
      </c>
    </row>
    <row r="26" spans="1:17" s="164" customFormat="1" ht="29.15" customHeight="1">
      <c r="A26" s="399">
        <v>22</v>
      </c>
      <c r="B26" s="400" t="s">
        <v>71</v>
      </c>
      <c r="C26" s="451" t="s">
        <v>34</v>
      </c>
      <c r="D26" s="452" t="s">
        <v>663</v>
      </c>
      <c r="E26" s="403" t="s">
        <v>49</v>
      </c>
      <c r="F26" s="403"/>
      <c r="G26" s="433">
        <v>45474</v>
      </c>
      <c r="H26" s="399" t="s">
        <v>316</v>
      </c>
      <c r="I26" s="442" t="s">
        <v>217</v>
      </c>
      <c r="J26" s="421" t="s">
        <v>5144</v>
      </c>
      <c r="K26" s="406">
        <v>28665</v>
      </c>
      <c r="L26" s="417">
        <f t="shared" ca="1" si="0"/>
        <v>46</v>
      </c>
      <c r="M26" s="417">
        <v>60</v>
      </c>
      <c r="N26" s="418" t="str">
        <f t="shared" si="1"/>
        <v>24 Juni 2038</v>
      </c>
      <c r="O26" s="443" t="s">
        <v>622</v>
      </c>
      <c r="P26" s="410" t="s">
        <v>5096</v>
      </c>
      <c r="Q26" s="411" t="s">
        <v>280</v>
      </c>
    </row>
    <row r="27" spans="1:17" s="164" customFormat="1" ht="29.15" customHeight="1">
      <c r="A27" s="399">
        <v>23</v>
      </c>
      <c r="B27" s="400" t="s">
        <v>70</v>
      </c>
      <c r="C27" s="453" t="s">
        <v>225</v>
      </c>
      <c r="D27" s="454" t="s">
        <v>663</v>
      </c>
      <c r="E27" s="403" t="s">
        <v>49</v>
      </c>
      <c r="F27" s="403"/>
      <c r="G27" s="404">
        <v>45078</v>
      </c>
      <c r="H27" s="399" t="s">
        <v>316</v>
      </c>
      <c r="I27" s="442" t="s">
        <v>203</v>
      </c>
      <c r="J27" s="421" t="s">
        <v>5144</v>
      </c>
      <c r="K27" s="406">
        <v>30783</v>
      </c>
      <c r="L27" s="417">
        <f t="shared" ca="1" si="0"/>
        <v>40</v>
      </c>
      <c r="M27" s="417">
        <v>60</v>
      </c>
      <c r="N27" s="418" t="str">
        <f t="shared" si="1"/>
        <v>11 April 2044</v>
      </c>
      <c r="O27" s="443" t="s">
        <v>624</v>
      </c>
      <c r="P27" s="410" t="s">
        <v>5098</v>
      </c>
      <c r="Q27" s="411" t="s">
        <v>283</v>
      </c>
    </row>
    <row r="28" spans="1:17" s="164" customFormat="1" ht="29.15" customHeight="1">
      <c r="A28" s="399">
        <v>24</v>
      </c>
      <c r="B28" s="424" t="s">
        <v>38</v>
      </c>
      <c r="C28" s="425" t="s">
        <v>121</v>
      </c>
      <c r="D28" s="426" t="s">
        <v>664</v>
      </c>
      <c r="E28" s="427" t="s">
        <v>135</v>
      </c>
      <c r="F28" s="427"/>
      <c r="G28" s="433">
        <v>45474</v>
      </c>
      <c r="H28" s="399" t="s">
        <v>316</v>
      </c>
      <c r="I28" s="405" t="s">
        <v>192</v>
      </c>
      <c r="J28" s="421" t="s">
        <v>5143</v>
      </c>
      <c r="K28" s="406">
        <v>25321</v>
      </c>
      <c r="L28" s="417">
        <f t="shared" ca="1" si="0"/>
        <v>55</v>
      </c>
      <c r="M28" s="417">
        <v>60</v>
      </c>
      <c r="N28" s="418" t="str">
        <f t="shared" si="1"/>
        <v>28 April 2029</v>
      </c>
      <c r="O28" s="409" t="s">
        <v>625</v>
      </c>
      <c r="P28" s="410" t="s">
        <v>5092</v>
      </c>
      <c r="Q28" s="425" t="s">
        <v>243</v>
      </c>
    </row>
    <row r="29" spans="1:17" s="164" customFormat="1" ht="29.15" customHeight="1">
      <c r="A29" s="399">
        <v>25</v>
      </c>
      <c r="B29" s="455" t="s">
        <v>108</v>
      </c>
      <c r="C29" s="413" t="s">
        <v>84</v>
      </c>
      <c r="D29" s="414" t="s">
        <v>663</v>
      </c>
      <c r="E29" s="403" t="s">
        <v>50</v>
      </c>
      <c r="F29" s="403"/>
      <c r="G29" s="433">
        <v>45078</v>
      </c>
      <c r="H29" s="399" t="s">
        <v>316</v>
      </c>
      <c r="I29" s="442" t="s">
        <v>179</v>
      </c>
      <c r="J29" s="421" t="s">
        <v>5145</v>
      </c>
      <c r="K29" s="406">
        <v>30147</v>
      </c>
      <c r="L29" s="417">
        <f t="shared" ca="1" si="0"/>
        <v>42</v>
      </c>
      <c r="M29" s="417">
        <v>60</v>
      </c>
      <c r="N29" s="418" t="str">
        <f t="shared" si="1"/>
        <v>15 Juli 2042</v>
      </c>
      <c r="O29" s="443" t="s">
        <v>626</v>
      </c>
      <c r="P29" s="410" t="s">
        <v>5099</v>
      </c>
      <c r="Q29" s="420" t="s">
        <v>306</v>
      </c>
    </row>
    <row r="30" spans="1:17" s="164" customFormat="1" ht="29.15" customHeight="1">
      <c r="A30" s="399">
        <v>26</v>
      </c>
      <c r="B30" s="424" t="s">
        <v>39</v>
      </c>
      <c r="C30" s="425" t="s">
        <v>146</v>
      </c>
      <c r="D30" s="426" t="s">
        <v>663</v>
      </c>
      <c r="E30" s="427" t="s">
        <v>49</v>
      </c>
      <c r="F30" s="427"/>
      <c r="G30" s="433">
        <v>45474</v>
      </c>
      <c r="H30" s="399" t="s">
        <v>316</v>
      </c>
      <c r="I30" s="405" t="s">
        <v>192</v>
      </c>
      <c r="J30" s="421" t="s">
        <v>5145</v>
      </c>
      <c r="K30" s="406">
        <v>26480</v>
      </c>
      <c r="L30" s="417">
        <f t="shared" ca="1" si="0"/>
        <v>52</v>
      </c>
      <c r="M30" s="417">
        <v>60</v>
      </c>
      <c r="N30" s="418" t="str">
        <f t="shared" si="1"/>
        <v>30 Juni 2032</v>
      </c>
      <c r="O30" s="405" t="s">
        <v>627</v>
      </c>
      <c r="P30" s="410" t="s">
        <v>5092</v>
      </c>
      <c r="Q30" s="425" t="s">
        <v>262</v>
      </c>
    </row>
    <row r="31" spans="1:17" s="164" customFormat="1" ht="29.15" customHeight="1">
      <c r="A31" s="399">
        <v>27</v>
      </c>
      <c r="B31" s="412" t="s">
        <v>63</v>
      </c>
      <c r="C31" s="439" t="s">
        <v>158</v>
      </c>
      <c r="D31" s="402" t="s">
        <v>663</v>
      </c>
      <c r="E31" s="403" t="s">
        <v>48</v>
      </c>
      <c r="F31" s="403"/>
      <c r="G31" s="456">
        <v>45474</v>
      </c>
      <c r="H31" s="399" t="s">
        <v>316</v>
      </c>
      <c r="I31" s="405" t="s">
        <v>188</v>
      </c>
      <c r="J31" s="421" t="s">
        <v>5144</v>
      </c>
      <c r="K31" s="406">
        <v>24965</v>
      </c>
      <c r="L31" s="417">
        <f t="shared" ca="1" si="0"/>
        <v>56</v>
      </c>
      <c r="M31" s="417">
        <v>60</v>
      </c>
      <c r="N31" s="418" t="str">
        <f t="shared" si="1"/>
        <v>07 Mei 2028</v>
      </c>
      <c r="O31" s="409" t="s">
        <v>628</v>
      </c>
      <c r="P31" s="410" t="s">
        <v>5100</v>
      </c>
      <c r="Q31" s="411" t="s">
        <v>239</v>
      </c>
    </row>
    <row r="32" spans="1:17" s="164" customFormat="1" ht="29.15" customHeight="1">
      <c r="A32" s="399">
        <v>28</v>
      </c>
      <c r="B32" s="412" t="s">
        <v>115</v>
      </c>
      <c r="C32" s="413" t="s">
        <v>91</v>
      </c>
      <c r="D32" s="414" t="s">
        <v>663</v>
      </c>
      <c r="E32" s="457" t="s">
        <v>48</v>
      </c>
      <c r="F32" s="457"/>
      <c r="G32" s="404">
        <v>44652</v>
      </c>
      <c r="H32" s="399" t="s">
        <v>316</v>
      </c>
      <c r="I32" s="416" t="s">
        <v>185</v>
      </c>
      <c r="J32" s="421" t="s">
        <v>5145</v>
      </c>
      <c r="K32" s="406">
        <v>26131</v>
      </c>
      <c r="L32" s="417">
        <f t="shared" ca="1" si="0"/>
        <v>53</v>
      </c>
      <c r="M32" s="417">
        <v>60</v>
      </c>
      <c r="N32" s="418" t="str">
        <f t="shared" si="1"/>
        <v>17 Juli 2031</v>
      </c>
      <c r="O32" s="419" t="s">
        <v>629</v>
      </c>
      <c r="P32" s="410" t="s">
        <v>5101</v>
      </c>
      <c r="Q32" s="420" t="s">
        <v>256</v>
      </c>
    </row>
    <row r="33" spans="1:17" s="164" customFormat="1" ht="29.15" customHeight="1">
      <c r="A33" s="399">
        <v>29</v>
      </c>
      <c r="B33" s="412" t="s">
        <v>130</v>
      </c>
      <c r="C33" s="458" t="s">
        <v>226</v>
      </c>
      <c r="D33" s="414" t="s">
        <v>663</v>
      </c>
      <c r="E33" s="403" t="s">
        <v>49</v>
      </c>
      <c r="F33" s="403"/>
      <c r="G33" s="433">
        <v>45474</v>
      </c>
      <c r="H33" s="399" t="s">
        <v>316</v>
      </c>
      <c r="I33" s="405" t="s">
        <v>189</v>
      </c>
      <c r="J33" s="421" t="s">
        <v>5144</v>
      </c>
      <c r="K33" s="406">
        <v>25301</v>
      </c>
      <c r="L33" s="459">
        <f t="shared" ca="1" si="0"/>
        <v>55</v>
      </c>
      <c r="M33" s="407">
        <v>58</v>
      </c>
      <c r="N33" s="460" t="str">
        <f t="shared" si="1"/>
        <v>08 April 2027</v>
      </c>
      <c r="O33" s="409" t="s">
        <v>630</v>
      </c>
      <c r="P33" s="410" t="s">
        <v>5100</v>
      </c>
      <c r="Q33" s="413" t="s">
        <v>282</v>
      </c>
    </row>
    <row r="34" spans="1:17" s="164" customFormat="1" ht="29.15" customHeight="1">
      <c r="A34" s="399">
        <v>30</v>
      </c>
      <c r="B34" s="461" t="s">
        <v>157</v>
      </c>
      <c r="C34" s="413" t="s">
        <v>4</v>
      </c>
      <c r="D34" s="414" t="s">
        <v>664</v>
      </c>
      <c r="E34" s="462" t="s">
        <v>211</v>
      </c>
      <c r="F34" s="462"/>
      <c r="G34" s="404">
        <v>44193</v>
      </c>
      <c r="H34" s="399" t="s">
        <v>316</v>
      </c>
      <c r="I34" s="416" t="s">
        <v>176</v>
      </c>
      <c r="J34" s="421" t="s">
        <v>5145</v>
      </c>
      <c r="K34" s="406">
        <v>26699</v>
      </c>
      <c r="L34" s="417">
        <f t="shared" ca="1" si="0"/>
        <v>51</v>
      </c>
      <c r="M34" s="417">
        <v>60</v>
      </c>
      <c r="N34" s="418" t="str">
        <f t="shared" si="1"/>
        <v>04 Februari 2033</v>
      </c>
      <c r="O34" s="419" t="s">
        <v>5071</v>
      </c>
      <c r="P34" s="410" t="s">
        <v>5090</v>
      </c>
      <c r="Q34" s="420" t="s">
        <v>230</v>
      </c>
    </row>
    <row r="35" spans="1:17" s="164" customFormat="1" ht="29.15" customHeight="1">
      <c r="A35" s="399">
        <v>31</v>
      </c>
      <c r="B35" s="412" t="s">
        <v>28</v>
      </c>
      <c r="C35" s="458" t="s">
        <v>12</v>
      </c>
      <c r="D35" s="427" t="s">
        <v>663</v>
      </c>
      <c r="E35" s="403" t="s">
        <v>48</v>
      </c>
      <c r="F35" s="403"/>
      <c r="G35" s="404">
        <v>45474</v>
      </c>
      <c r="H35" s="399" t="s">
        <v>316</v>
      </c>
      <c r="I35" s="421" t="s">
        <v>179</v>
      </c>
      <c r="J35" s="421" t="s">
        <v>5145</v>
      </c>
      <c r="K35" s="406">
        <v>24722</v>
      </c>
      <c r="L35" s="459">
        <f t="shared" ca="1" si="0"/>
        <v>57</v>
      </c>
      <c r="M35" s="459">
        <v>60</v>
      </c>
      <c r="N35" s="460" t="str">
        <f t="shared" si="1"/>
        <v>07 September 2027</v>
      </c>
      <c r="O35" s="450" t="s">
        <v>631</v>
      </c>
      <c r="P35" s="410" t="s">
        <v>5102</v>
      </c>
      <c r="Q35" s="463" t="s">
        <v>237</v>
      </c>
    </row>
    <row r="36" spans="1:17" s="164" customFormat="1" ht="29.15" customHeight="1">
      <c r="A36" s="399">
        <v>32</v>
      </c>
      <c r="B36" s="429" t="s">
        <v>127</v>
      </c>
      <c r="C36" s="464" t="s">
        <v>68</v>
      </c>
      <c r="D36" s="431" t="s">
        <v>664</v>
      </c>
      <c r="E36" s="415" t="s">
        <v>48</v>
      </c>
      <c r="F36" s="415"/>
      <c r="G36" s="433">
        <v>45474</v>
      </c>
      <c r="H36" s="399" t="s">
        <v>316</v>
      </c>
      <c r="I36" s="428" t="s">
        <v>181</v>
      </c>
      <c r="J36" s="421" t="s">
        <v>5143</v>
      </c>
      <c r="K36" s="406">
        <v>24436</v>
      </c>
      <c r="L36" s="446">
        <f t="shared" ca="1" si="0"/>
        <v>58</v>
      </c>
      <c r="M36" s="446">
        <v>60</v>
      </c>
      <c r="N36" s="447" t="str">
        <f t="shared" si="1"/>
        <v>25 November 2026</v>
      </c>
      <c r="O36" s="428" t="s">
        <v>632</v>
      </c>
      <c r="P36" s="410" t="s">
        <v>5103</v>
      </c>
      <c r="Q36" s="430" t="s">
        <v>252</v>
      </c>
    </row>
    <row r="37" spans="1:17" s="164" customFormat="1" ht="29.15" customHeight="1">
      <c r="A37" s="399">
        <v>33</v>
      </c>
      <c r="B37" s="412" t="s">
        <v>106</v>
      </c>
      <c r="C37" s="413" t="s">
        <v>80</v>
      </c>
      <c r="D37" s="414" t="s">
        <v>663</v>
      </c>
      <c r="E37" s="403" t="s">
        <v>49</v>
      </c>
      <c r="F37" s="403"/>
      <c r="G37" s="433">
        <v>45474</v>
      </c>
      <c r="H37" s="399" t="s">
        <v>316</v>
      </c>
      <c r="I37" s="405" t="s">
        <v>191</v>
      </c>
      <c r="J37" s="421" t="s">
        <v>5145</v>
      </c>
      <c r="K37" s="406">
        <v>29423</v>
      </c>
      <c r="L37" s="417">
        <f t="shared" ref="L37:L62" ca="1" si="2">DATEDIF(K37,TODAY(),"Y")</f>
        <v>44</v>
      </c>
      <c r="M37" s="417">
        <v>60</v>
      </c>
      <c r="N37" s="418" t="str">
        <f t="shared" ref="N37:N62" si="3">TEXT(EDATE(K37,12*M37),"DD MMMM YYYY")</f>
        <v>21 Juli 2040</v>
      </c>
      <c r="O37" s="409" t="s">
        <v>633</v>
      </c>
      <c r="P37" s="410" t="s">
        <v>5100</v>
      </c>
      <c r="Q37" s="413" t="s">
        <v>284</v>
      </c>
    </row>
    <row r="38" spans="1:17" s="164" customFormat="1" ht="29.15" customHeight="1">
      <c r="A38" s="399">
        <v>34</v>
      </c>
      <c r="B38" s="412" t="s">
        <v>17</v>
      </c>
      <c r="C38" s="413" t="s">
        <v>29</v>
      </c>
      <c r="D38" s="414" t="s">
        <v>663</v>
      </c>
      <c r="E38" s="427" t="s">
        <v>135</v>
      </c>
      <c r="F38" s="427"/>
      <c r="G38" s="404">
        <v>44868</v>
      </c>
      <c r="H38" s="399" t="s">
        <v>316</v>
      </c>
      <c r="I38" s="465" t="s">
        <v>197</v>
      </c>
      <c r="J38" s="421" t="s">
        <v>5145</v>
      </c>
      <c r="K38" s="406">
        <v>25217</v>
      </c>
      <c r="L38" s="417">
        <f t="shared" ca="1" si="2"/>
        <v>56</v>
      </c>
      <c r="M38" s="417">
        <v>60</v>
      </c>
      <c r="N38" s="418" t="str">
        <f t="shared" si="3"/>
        <v>14 Januari 2029</v>
      </c>
      <c r="O38" s="466" t="s">
        <v>5072</v>
      </c>
      <c r="P38" s="410" t="s">
        <v>5089</v>
      </c>
      <c r="Q38" s="420" t="s">
        <v>242</v>
      </c>
    </row>
    <row r="39" spans="1:17" s="164" customFormat="1" ht="29.15" customHeight="1">
      <c r="A39" s="399">
        <v>35</v>
      </c>
      <c r="B39" s="424" t="s">
        <v>128</v>
      </c>
      <c r="C39" s="425" t="s">
        <v>30</v>
      </c>
      <c r="D39" s="426" t="s">
        <v>664</v>
      </c>
      <c r="E39" s="427" t="s">
        <v>51</v>
      </c>
      <c r="F39" s="427"/>
      <c r="G39" s="433">
        <v>45080</v>
      </c>
      <c r="H39" s="399" t="s">
        <v>316</v>
      </c>
      <c r="I39" s="442" t="s">
        <v>204</v>
      </c>
      <c r="J39" s="421" t="s">
        <v>5144</v>
      </c>
      <c r="K39" s="406">
        <v>29143</v>
      </c>
      <c r="L39" s="417">
        <f t="shared" ca="1" si="2"/>
        <v>45</v>
      </c>
      <c r="M39" s="417">
        <v>60</v>
      </c>
      <c r="N39" s="418" t="str">
        <f t="shared" si="3"/>
        <v>15 Oktober 2039</v>
      </c>
      <c r="O39" s="443" t="s">
        <v>635</v>
      </c>
      <c r="P39" s="410" t="s">
        <v>5092</v>
      </c>
      <c r="Q39" s="425" t="s">
        <v>259</v>
      </c>
    </row>
    <row r="40" spans="1:17" s="164" customFormat="1" ht="29.15" customHeight="1">
      <c r="A40" s="399">
        <v>36</v>
      </c>
      <c r="B40" s="424" t="s">
        <v>37</v>
      </c>
      <c r="C40" s="425" t="s">
        <v>31</v>
      </c>
      <c r="D40" s="426" t="s">
        <v>664</v>
      </c>
      <c r="E40" s="427" t="s">
        <v>49</v>
      </c>
      <c r="F40" s="427"/>
      <c r="G40" s="433">
        <v>45474</v>
      </c>
      <c r="H40" s="399" t="s">
        <v>316</v>
      </c>
      <c r="I40" s="405" t="s">
        <v>188</v>
      </c>
      <c r="J40" s="421" t="s">
        <v>5143</v>
      </c>
      <c r="K40" s="406">
        <v>25270</v>
      </c>
      <c r="L40" s="417">
        <f t="shared" ca="1" si="2"/>
        <v>55</v>
      </c>
      <c r="M40" s="417">
        <v>60</v>
      </c>
      <c r="N40" s="418" t="str">
        <f t="shared" si="3"/>
        <v>08 Maret 2029</v>
      </c>
      <c r="O40" s="409" t="s">
        <v>5074</v>
      </c>
      <c r="P40" s="410" t="s">
        <v>5092</v>
      </c>
      <c r="Q40" s="425" t="s">
        <v>268</v>
      </c>
    </row>
    <row r="41" spans="1:17" s="164" customFormat="1" ht="29.15" customHeight="1">
      <c r="A41" s="399">
        <v>37</v>
      </c>
      <c r="B41" s="400" t="s">
        <v>117</v>
      </c>
      <c r="C41" s="413" t="s">
        <v>92</v>
      </c>
      <c r="D41" s="414" t="s">
        <v>664</v>
      </c>
      <c r="E41" s="403" t="s">
        <v>50</v>
      </c>
      <c r="F41" s="403"/>
      <c r="G41" s="433">
        <v>45474</v>
      </c>
      <c r="H41" s="399" t="s">
        <v>316</v>
      </c>
      <c r="I41" s="405" t="s">
        <v>191</v>
      </c>
      <c r="J41" s="421" t="s">
        <v>5145</v>
      </c>
      <c r="K41" s="406">
        <v>26681</v>
      </c>
      <c r="L41" s="417">
        <f t="shared" ca="1" si="2"/>
        <v>52</v>
      </c>
      <c r="M41" s="417">
        <v>60</v>
      </c>
      <c r="N41" s="418" t="str">
        <f t="shared" si="3"/>
        <v>17 Januari 2033</v>
      </c>
      <c r="O41" s="409" t="s">
        <v>638</v>
      </c>
      <c r="P41" s="410" t="s">
        <v>5100</v>
      </c>
      <c r="Q41" s="420" t="s">
        <v>303</v>
      </c>
    </row>
    <row r="42" spans="1:17" s="164" customFormat="1" ht="29.15" customHeight="1">
      <c r="A42" s="399">
        <v>38</v>
      </c>
      <c r="B42" s="412" t="s">
        <v>113</v>
      </c>
      <c r="C42" s="467" t="s">
        <v>90</v>
      </c>
      <c r="D42" s="468" t="s">
        <v>664</v>
      </c>
      <c r="E42" s="403" t="s">
        <v>49</v>
      </c>
      <c r="F42" s="403"/>
      <c r="G42" s="433">
        <v>45474</v>
      </c>
      <c r="H42" s="399" t="s">
        <v>316</v>
      </c>
      <c r="I42" s="405" t="s">
        <v>186</v>
      </c>
      <c r="J42" s="421" t="s">
        <v>5144</v>
      </c>
      <c r="K42" s="406">
        <v>26554</v>
      </c>
      <c r="L42" s="417">
        <f t="shared" ca="1" si="2"/>
        <v>52</v>
      </c>
      <c r="M42" s="417">
        <v>60</v>
      </c>
      <c r="N42" s="418" t="str">
        <f t="shared" si="3"/>
        <v>12 September 2032</v>
      </c>
      <c r="O42" s="409" t="s">
        <v>639</v>
      </c>
      <c r="P42" s="410" t="s">
        <v>5100</v>
      </c>
      <c r="Q42" s="411" t="s">
        <v>297</v>
      </c>
    </row>
    <row r="43" spans="1:17" s="164" customFormat="1" ht="29.15" customHeight="1">
      <c r="A43" s="399">
        <v>39</v>
      </c>
      <c r="B43" s="444" t="s">
        <v>103</v>
      </c>
      <c r="C43" s="469" t="s">
        <v>78</v>
      </c>
      <c r="D43" s="470" t="s">
        <v>664</v>
      </c>
      <c r="E43" s="403" t="s">
        <v>50</v>
      </c>
      <c r="F43" s="403"/>
      <c r="G43" s="433">
        <v>45078</v>
      </c>
      <c r="H43" s="399" t="s">
        <v>316</v>
      </c>
      <c r="I43" s="442" t="s">
        <v>187</v>
      </c>
      <c r="J43" s="421" t="s">
        <v>5144</v>
      </c>
      <c r="K43" s="406">
        <v>29338</v>
      </c>
      <c r="L43" s="417">
        <f t="shared" ca="1" si="2"/>
        <v>44</v>
      </c>
      <c r="M43" s="417">
        <v>60</v>
      </c>
      <c r="N43" s="418" t="str">
        <f t="shared" si="3"/>
        <v>27 April 2040</v>
      </c>
      <c r="O43" s="443" t="s">
        <v>5075</v>
      </c>
      <c r="P43" s="410" t="s">
        <v>5104</v>
      </c>
      <c r="Q43" s="411" t="s">
        <v>305</v>
      </c>
    </row>
    <row r="44" spans="1:17" s="164" customFormat="1" ht="29.15" customHeight="1">
      <c r="A44" s="399">
        <v>40</v>
      </c>
      <c r="B44" s="441" t="s">
        <v>76</v>
      </c>
      <c r="C44" s="471" t="s">
        <v>123</v>
      </c>
      <c r="D44" s="472" t="s">
        <v>663</v>
      </c>
      <c r="E44" s="403" t="s">
        <v>49</v>
      </c>
      <c r="F44" s="403"/>
      <c r="G44" s="404">
        <v>44868</v>
      </c>
      <c r="H44" s="399" t="s">
        <v>316</v>
      </c>
      <c r="I44" s="435" t="s">
        <v>180</v>
      </c>
      <c r="J44" s="421" t="s">
        <v>5144</v>
      </c>
      <c r="K44" s="406">
        <v>27927</v>
      </c>
      <c r="L44" s="417">
        <f t="shared" ca="1" si="2"/>
        <v>48</v>
      </c>
      <c r="M44" s="417">
        <v>60</v>
      </c>
      <c r="N44" s="418" t="str">
        <f t="shared" si="3"/>
        <v>16 Juni 2036</v>
      </c>
      <c r="O44" s="436" t="s">
        <v>640</v>
      </c>
      <c r="P44" s="410" t="s">
        <v>5093</v>
      </c>
      <c r="Q44" s="411" t="s">
        <v>272</v>
      </c>
    </row>
    <row r="45" spans="1:17" s="164" customFormat="1" ht="29.15" customHeight="1">
      <c r="A45" s="399">
        <v>41</v>
      </c>
      <c r="B45" s="441" t="s">
        <v>65</v>
      </c>
      <c r="C45" s="473" t="s">
        <v>199</v>
      </c>
      <c r="D45" s="474" t="s">
        <v>663</v>
      </c>
      <c r="E45" s="475" t="s">
        <v>50</v>
      </c>
      <c r="F45" s="475"/>
      <c r="G45" s="434">
        <v>44868</v>
      </c>
      <c r="H45" s="399" t="s">
        <v>316</v>
      </c>
      <c r="I45" s="422" t="s">
        <v>182</v>
      </c>
      <c r="J45" s="421" t="s">
        <v>5144</v>
      </c>
      <c r="K45" s="406">
        <v>30510</v>
      </c>
      <c r="L45" s="417">
        <f t="shared" ca="1" si="2"/>
        <v>41</v>
      </c>
      <c r="M45" s="417">
        <v>60</v>
      </c>
      <c r="N45" s="418" t="str">
        <f t="shared" si="3"/>
        <v>13 Juli 2043</v>
      </c>
      <c r="O45" s="423" t="s">
        <v>641</v>
      </c>
      <c r="P45" s="410" t="s">
        <v>5084</v>
      </c>
      <c r="Q45" s="476" t="s">
        <v>302</v>
      </c>
    </row>
    <row r="46" spans="1:17" s="164" customFormat="1" ht="29.15" customHeight="1">
      <c r="A46" s="399">
        <v>42</v>
      </c>
      <c r="B46" s="412" t="s">
        <v>64</v>
      </c>
      <c r="C46" s="473" t="s">
        <v>159</v>
      </c>
      <c r="D46" s="474" t="s">
        <v>663</v>
      </c>
      <c r="E46" s="475" t="s">
        <v>49</v>
      </c>
      <c r="F46" s="475"/>
      <c r="G46" s="433">
        <v>45566</v>
      </c>
      <c r="H46" s="399" t="s">
        <v>316</v>
      </c>
      <c r="I46" s="405" t="s">
        <v>188</v>
      </c>
      <c r="J46" s="421" t="s">
        <v>5144</v>
      </c>
      <c r="K46" s="406">
        <v>27394</v>
      </c>
      <c r="L46" s="417">
        <f t="shared" ca="1" si="2"/>
        <v>50</v>
      </c>
      <c r="M46" s="417">
        <v>60</v>
      </c>
      <c r="N46" s="418" t="str">
        <f t="shared" si="3"/>
        <v>31 Desember 2034</v>
      </c>
      <c r="O46" s="409" t="s">
        <v>659</v>
      </c>
      <c r="P46" s="410" t="s">
        <v>5088</v>
      </c>
      <c r="Q46" s="476" t="s">
        <v>269</v>
      </c>
    </row>
    <row r="47" spans="1:17" s="164" customFormat="1" ht="29.15" customHeight="1">
      <c r="A47" s="399">
        <v>43</v>
      </c>
      <c r="B47" s="412" t="s">
        <v>96</v>
      </c>
      <c r="C47" s="477" t="s">
        <v>215</v>
      </c>
      <c r="D47" s="427" t="s">
        <v>663</v>
      </c>
      <c r="E47" s="403" t="s">
        <v>49</v>
      </c>
      <c r="F47" s="403"/>
      <c r="G47" s="404">
        <v>45474</v>
      </c>
      <c r="H47" s="399" t="s">
        <v>316</v>
      </c>
      <c r="I47" s="405" t="s">
        <v>219</v>
      </c>
      <c r="J47" s="421" t="s">
        <v>5145</v>
      </c>
      <c r="K47" s="406">
        <v>26612</v>
      </c>
      <c r="L47" s="417">
        <f t="shared" ca="1" si="2"/>
        <v>52</v>
      </c>
      <c r="M47" s="417">
        <v>60</v>
      </c>
      <c r="N47" s="418" t="str">
        <f t="shared" si="3"/>
        <v>09 November 2032</v>
      </c>
      <c r="O47" s="409" t="s">
        <v>644</v>
      </c>
      <c r="P47" s="410" t="s">
        <v>5091</v>
      </c>
      <c r="Q47" s="420" t="s">
        <v>271</v>
      </c>
    </row>
    <row r="48" spans="1:17" s="164" customFormat="1" ht="29.15" customHeight="1">
      <c r="A48" s="399">
        <v>44</v>
      </c>
      <c r="B48" s="478" t="s">
        <v>81</v>
      </c>
      <c r="C48" s="413" t="s">
        <v>202</v>
      </c>
      <c r="D48" s="414" t="s">
        <v>663</v>
      </c>
      <c r="E48" s="403" t="s">
        <v>49</v>
      </c>
      <c r="F48" s="403"/>
      <c r="G48" s="404">
        <v>45474</v>
      </c>
      <c r="H48" s="399" t="s">
        <v>316</v>
      </c>
      <c r="I48" s="479" t="s">
        <v>197</v>
      </c>
      <c r="J48" s="479" t="s">
        <v>5145</v>
      </c>
      <c r="K48" s="406">
        <v>25614</v>
      </c>
      <c r="L48" s="417">
        <f t="shared" ca="1" si="2"/>
        <v>54</v>
      </c>
      <c r="M48" s="417">
        <v>60</v>
      </c>
      <c r="N48" s="418" t="str">
        <f t="shared" si="3"/>
        <v>15 Februari 2030</v>
      </c>
      <c r="O48" s="480" t="s">
        <v>645</v>
      </c>
      <c r="P48" s="410" t="s">
        <v>4318</v>
      </c>
      <c r="Q48" s="420" t="s">
        <v>288</v>
      </c>
    </row>
    <row r="49" spans="1:17" s="164" customFormat="1" ht="29.15" customHeight="1">
      <c r="A49" s="399">
        <v>45</v>
      </c>
      <c r="B49" s="412" t="s">
        <v>20</v>
      </c>
      <c r="C49" s="439" t="s">
        <v>8</v>
      </c>
      <c r="D49" s="402" t="s">
        <v>663</v>
      </c>
      <c r="E49" s="427" t="s">
        <v>135</v>
      </c>
      <c r="F49" s="427"/>
      <c r="G49" s="404">
        <v>45474</v>
      </c>
      <c r="H49" s="399" t="s">
        <v>316</v>
      </c>
      <c r="I49" s="405" t="s">
        <v>177</v>
      </c>
      <c r="J49" s="479" t="s">
        <v>5145</v>
      </c>
      <c r="K49" s="406">
        <v>26364</v>
      </c>
      <c r="L49" s="417">
        <f t="shared" ca="1" si="2"/>
        <v>52</v>
      </c>
      <c r="M49" s="417">
        <v>60</v>
      </c>
      <c r="N49" s="418" t="str">
        <f t="shared" si="3"/>
        <v>06 Maret 2032</v>
      </c>
      <c r="O49" s="409" t="s">
        <v>646</v>
      </c>
      <c r="P49" s="410" t="s">
        <v>5090</v>
      </c>
      <c r="Q49" s="411" t="s">
        <v>244</v>
      </c>
    </row>
    <row r="50" spans="1:17" s="164" customFormat="1" ht="29.15" customHeight="1">
      <c r="A50" s="399">
        <v>46</v>
      </c>
      <c r="B50" s="455" t="s">
        <v>107</v>
      </c>
      <c r="C50" s="413" t="s">
        <v>83</v>
      </c>
      <c r="D50" s="414" t="s">
        <v>664</v>
      </c>
      <c r="E50" s="403" t="s">
        <v>48</v>
      </c>
      <c r="F50" s="403"/>
      <c r="G50" s="404">
        <v>44868</v>
      </c>
      <c r="H50" s="399" t="s">
        <v>316</v>
      </c>
      <c r="I50" s="479" t="s">
        <v>178</v>
      </c>
      <c r="J50" s="421" t="s">
        <v>5145</v>
      </c>
      <c r="K50" s="406">
        <v>27205</v>
      </c>
      <c r="L50" s="417">
        <f t="shared" ca="1" si="2"/>
        <v>50</v>
      </c>
      <c r="M50" s="417">
        <v>60</v>
      </c>
      <c r="N50" s="418" t="str">
        <f t="shared" si="3"/>
        <v>25 Juni 2034</v>
      </c>
      <c r="O50" s="480" t="s">
        <v>649</v>
      </c>
      <c r="P50" s="463" t="s">
        <v>5103</v>
      </c>
      <c r="Q50" s="420" t="s">
        <v>251</v>
      </c>
    </row>
    <row r="51" spans="1:17" s="164" customFormat="1" ht="29.15" customHeight="1">
      <c r="A51" s="399">
        <v>47</v>
      </c>
      <c r="B51" s="424" t="s">
        <v>100</v>
      </c>
      <c r="C51" s="425" t="s">
        <v>169</v>
      </c>
      <c r="D51" s="426" t="s">
        <v>663</v>
      </c>
      <c r="E51" s="403" t="s">
        <v>49</v>
      </c>
      <c r="F51" s="403"/>
      <c r="G51" s="404">
        <v>44675</v>
      </c>
      <c r="H51" s="399" t="s">
        <v>316</v>
      </c>
      <c r="I51" s="428" t="s">
        <v>181</v>
      </c>
      <c r="J51" s="479" t="s">
        <v>5143</v>
      </c>
      <c r="K51" s="406">
        <v>29660</v>
      </c>
      <c r="L51" s="417">
        <f t="shared" ca="1" si="2"/>
        <v>43</v>
      </c>
      <c r="M51" s="417">
        <v>60</v>
      </c>
      <c r="N51" s="418" t="str">
        <f t="shared" si="3"/>
        <v>15 Maret 2041</v>
      </c>
      <c r="O51" s="428" t="s">
        <v>650</v>
      </c>
      <c r="P51" s="481" t="s">
        <v>5095</v>
      </c>
      <c r="Q51" s="425" t="s">
        <v>276</v>
      </c>
    </row>
    <row r="52" spans="1:17" s="164" customFormat="1" ht="29.15" customHeight="1">
      <c r="A52" s="399">
        <v>48</v>
      </c>
      <c r="B52" s="461" t="s">
        <v>14</v>
      </c>
      <c r="C52" s="413" t="s">
        <v>53</v>
      </c>
      <c r="D52" s="414" t="s">
        <v>664</v>
      </c>
      <c r="E52" s="415" t="s">
        <v>125</v>
      </c>
      <c r="F52" s="415"/>
      <c r="G52" s="404">
        <v>44197</v>
      </c>
      <c r="H52" s="399" t="s">
        <v>316</v>
      </c>
      <c r="I52" s="416" t="s">
        <v>186</v>
      </c>
      <c r="J52" s="479" t="s">
        <v>5145</v>
      </c>
      <c r="K52" s="406">
        <v>25791</v>
      </c>
      <c r="L52" s="417">
        <f t="shared" ca="1" si="2"/>
        <v>54</v>
      </c>
      <c r="M52" s="417">
        <v>60</v>
      </c>
      <c r="N52" s="418" t="str">
        <f t="shared" si="3"/>
        <v>11 Agustus 2030</v>
      </c>
      <c r="O52" s="416" t="s">
        <v>652</v>
      </c>
      <c r="P52" s="453" t="s">
        <v>5084</v>
      </c>
      <c r="Q52" s="420" t="s">
        <v>253</v>
      </c>
    </row>
    <row r="53" spans="1:17" s="164" customFormat="1" ht="29.15" customHeight="1">
      <c r="A53" s="399">
        <v>49</v>
      </c>
      <c r="B53" s="424" t="s">
        <v>45</v>
      </c>
      <c r="C53" s="482" t="s">
        <v>147</v>
      </c>
      <c r="D53" s="426" t="s">
        <v>663</v>
      </c>
      <c r="E53" s="427" t="s">
        <v>48</v>
      </c>
      <c r="F53" s="427"/>
      <c r="G53" s="404">
        <v>44536</v>
      </c>
      <c r="H53" s="399" t="s">
        <v>316</v>
      </c>
      <c r="I53" s="428" t="s">
        <v>190</v>
      </c>
      <c r="J53" s="428" t="s">
        <v>5145</v>
      </c>
      <c r="K53" s="406">
        <v>24569</v>
      </c>
      <c r="L53" s="459">
        <f t="shared" ca="1" si="2"/>
        <v>57</v>
      </c>
      <c r="M53" s="459">
        <v>60</v>
      </c>
      <c r="N53" s="460" t="str">
        <f t="shared" si="3"/>
        <v>07 April 2027</v>
      </c>
      <c r="O53" s="428" t="s">
        <v>5077</v>
      </c>
      <c r="P53" s="481" t="s">
        <v>5086</v>
      </c>
      <c r="Q53" s="425" t="s">
        <v>257</v>
      </c>
    </row>
    <row r="54" spans="1:17" s="164" customFormat="1" ht="29.15" customHeight="1">
      <c r="A54" s="399">
        <v>50</v>
      </c>
      <c r="B54" s="412" t="s">
        <v>16</v>
      </c>
      <c r="C54" s="413" t="s">
        <v>5</v>
      </c>
      <c r="D54" s="414" t="s">
        <v>664</v>
      </c>
      <c r="E54" s="427" t="s">
        <v>150</v>
      </c>
      <c r="F54" s="427"/>
      <c r="G54" s="404">
        <v>45474</v>
      </c>
      <c r="H54" s="399" t="s">
        <v>316</v>
      </c>
      <c r="I54" s="483" t="s">
        <v>224</v>
      </c>
      <c r="J54" s="421" t="s">
        <v>5144</v>
      </c>
      <c r="K54" s="406">
        <v>25637</v>
      </c>
      <c r="L54" s="417">
        <f t="shared" ca="1" si="2"/>
        <v>54</v>
      </c>
      <c r="M54" s="417">
        <v>60</v>
      </c>
      <c r="N54" s="418" t="str">
        <f t="shared" si="3"/>
        <v>10 Maret 2030</v>
      </c>
      <c r="O54" s="484" t="s">
        <v>5078</v>
      </c>
      <c r="P54" s="131" t="s">
        <v>5106</v>
      </c>
      <c r="Q54" s="420" t="s">
        <v>234</v>
      </c>
    </row>
    <row r="55" spans="1:17" s="164" customFormat="1" ht="29.15" customHeight="1">
      <c r="A55" s="399">
        <v>51</v>
      </c>
      <c r="B55" s="424" t="s">
        <v>167</v>
      </c>
      <c r="C55" s="425" t="s">
        <v>155</v>
      </c>
      <c r="D55" s="426" t="s">
        <v>663</v>
      </c>
      <c r="E55" s="485" t="s">
        <v>49</v>
      </c>
      <c r="F55" s="485"/>
      <c r="G55" s="404">
        <v>45499</v>
      </c>
      <c r="H55" s="399" t="s">
        <v>316</v>
      </c>
      <c r="I55" s="405" t="s">
        <v>197</v>
      </c>
      <c r="J55" s="421" t="s">
        <v>5145</v>
      </c>
      <c r="K55" s="406">
        <v>28412</v>
      </c>
      <c r="L55" s="417">
        <f t="shared" ca="1" si="2"/>
        <v>47</v>
      </c>
      <c r="M55" s="417">
        <v>60</v>
      </c>
      <c r="N55" s="418" t="str">
        <f t="shared" si="3"/>
        <v>14 Oktober 2037</v>
      </c>
      <c r="O55" s="405" t="s">
        <v>5080</v>
      </c>
      <c r="P55" s="453" t="s">
        <v>5089</v>
      </c>
      <c r="Q55" s="425" t="s">
        <v>265</v>
      </c>
    </row>
    <row r="56" spans="1:17" s="164" customFormat="1" ht="29.15" customHeight="1">
      <c r="A56" s="399">
        <v>52</v>
      </c>
      <c r="B56" s="412" t="s">
        <v>24</v>
      </c>
      <c r="C56" s="413" t="s">
        <v>168</v>
      </c>
      <c r="D56" s="414" t="s">
        <v>664</v>
      </c>
      <c r="E56" s="427" t="s">
        <v>51</v>
      </c>
      <c r="F56" s="427"/>
      <c r="G56" s="404">
        <v>44536</v>
      </c>
      <c r="H56" s="399" t="s">
        <v>316</v>
      </c>
      <c r="I56" s="416" t="s">
        <v>183</v>
      </c>
      <c r="J56" s="421" t="s">
        <v>5145</v>
      </c>
      <c r="K56" s="406">
        <v>25395</v>
      </c>
      <c r="L56" s="417">
        <f t="shared" ca="1" si="2"/>
        <v>55</v>
      </c>
      <c r="M56" s="417">
        <v>60</v>
      </c>
      <c r="N56" s="418" t="str">
        <f t="shared" si="3"/>
        <v>11 Juli 2029</v>
      </c>
      <c r="O56" s="419" t="s">
        <v>655</v>
      </c>
      <c r="P56" s="131" t="s">
        <v>5091</v>
      </c>
      <c r="Q56" s="420" t="s">
        <v>260</v>
      </c>
    </row>
    <row r="57" spans="1:17" s="164" customFormat="1" ht="29.15" customHeight="1">
      <c r="A57" s="399">
        <v>53</v>
      </c>
      <c r="B57" s="400" t="s">
        <v>156</v>
      </c>
      <c r="C57" s="439" t="s">
        <v>35</v>
      </c>
      <c r="D57" s="402" t="s">
        <v>664</v>
      </c>
      <c r="E57" s="403" t="s">
        <v>141</v>
      </c>
      <c r="F57" s="403"/>
      <c r="G57" s="434">
        <v>44868</v>
      </c>
      <c r="H57" s="399" t="s">
        <v>316</v>
      </c>
      <c r="I57" s="486" t="s">
        <v>184</v>
      </c>
      <c r="J57" s="421" t="s">
        <v>5143</v>
      </c>
      <c r="K57" s="406">
        <v>25411</v>
      </c>
      <c r="L57" s="417">
        <f t="shared" ca="1" si="2"/>
        <v>55</v>
      </c>
      <c r="M57" s="417">
        <v>60</v>
      </c>
      <c r="N57" s="418" t="str">
        <f t="shared" si="3"/>
        <v>27 Juli 2029</v>
      </c>
      <c r="O57" s="487" t="s">
        <v>5081</v>
      </c>
      <c r="P57" s="131" t="s">
        <v>4318</v>
      </c>
      <c r="Q57" s="411" t="s">
        <v>274</v>
      </c>
    </row>
    <row r="58" spans="1:17" s="164" customFormat="1" ht="29.15" customHeight="1">
      <c r="A58" s="399">
        <v>54</v>
      </c>
      <c r="B58" s="412" t="s">
        <v>97</v>
      </c>
      <c r="C58" s="477" t="s">
        <v>137</v>
      </c>
      <c r="D58" s="427" t="s">
        <v>663</v>
      </c>
      <c r="E58" s="488" t="s">
        <v>49</v>
      </c>
      <c r="F58" s="488"/>
      <c r="G58" s="404">
        <v>42430</v>
      </c>
      <c r="H58" s="399" t="s">
        <v>316</v>
      </c>
      <c r="I58" s="416" t="s">
        <v>192</v>
      </c>
      <c r="J58" s="421" t="s">
        <v>5145</v>
      </c>
      <c r="K58" s="406">
        <v>27220</v>
      </c>
      <c r="L58" s="417">
        <f t="shared" ca="1" si="2"/>
        <v>50</v>
      </c>
      <c r="M58" s="417">
        <v>60</v>
      </c>
      <c r="N58" s="418" t="str">
        <f t="shared" si="3"/>
        <v>10 Juli 2034</v>
      </c>
      <c r="O58" s="419" t="s">
        <v>656</v>
      </c>
      <c r="P58" s="131" t="s">
        <v>5096</v>
      </c>
      <c r="Q58" s="420" t="s">
        <v>298</v>
      </c>
    </row>
    <row r="59" spans="1:17" s="164" customFormat="1" ht="29.15" customHeight="1">
      <c r="A59" s="399">
        <v>55</v>
      </c>
      <c r="B59" s="412" t="s">
        <v>98</v>
      </c>
      <c r="C59" s="413" t="s">
        <v>67</v>
      </c>
      <c r="D59" s="414" t="s">
        <v>664</v>
      </c>
      <c r="E59" s="489" t="s">
        <v>49</v>
      </c>
      <c r="F59" s="489"/>
      <c r="G59" s="433">
        <v>45474</v>
      </c>
      <c r="H59" s="399" t="s">
        <v>316</v>
      </c>
      <c r="I59" s="421" t="s">
        <v>5109</v>
      </c>
      <c r="J59" s="479" t="s">
        <v>5144</v>
      </c>
      <c r="K59" s="406">
        <v>29902</v>
      </c>
      <c r="L59" s="417">
        <f t="shared" ca="1" si="2"/>
        <v>43</v>
      </c>
      <c r="M59" s="417">
        <v>60</v>
      </c>
      <c r="N59" s="418" t="str">
        <f t="shared" si="3"/>
        <v>12 November 2041</v>
      </c>
      <c r="O59" s="409" t="s">
        <v>5082</v>
      </c>
      <c r="P59" s="131" t="s">
        <v>5091</v>
      </c>
      <c r="Q59" s="420" t="s">
        <v>294</v>
      </c>
    </row>
    <row r="60" spans="1:17" s="164" customFormat="1" ht="29.15" customHeight="1">
      <c r="A60" s="399">
        <v>56</v>
      </c>
      <c r="B60" s="412" t="s">
        <v>15</v>
      </c>
      <c r="C60" s="413" t="s">
        <v>143</v>
      </c>
      <c r="D60" s="414" t="s">
        <v>664</v>
      </c>
      <c r="E60" s="403" t="s">
        <v>48</v>
      </c>
      <c r="F60" s="403"/>
      <c r="G60" s="404">
        <v>44197</v>
      </c>
      <c r="H60" s="399" t="s">
        <v>316</v>
      </c>
      <c r="I60" s="416" t="s">
        <v>178</v>
      </c>
      <c r="J60" s="421" t="s">
        <v>5145</v>
      </c>
      <c r="K60" s="406">
        <v>25366</v>
      </c>
      <c r="L60" s="417">
        <f t="shared" ca="1" si="2"/>
        <v>55</v>
      </c>
      <c r="M60" s="417">
        <v>60</v>
      </c>
      <c r="N60" s="418" t="str">
        <f t="shared" si="3"/>
        <v>12 Juni 2029</v>
      </c>
      <c r="O60" s="419" t="s">
        <v>657</v>
      </c>
      <c r="P60" s="131" t="s">
        <v>5098</v>
      </c>
      <c r="Q60" s="420" t="s">
        <v>240</v>
      </c>
    </row>
    <row r="61" spans="1:17" s="164" customFormat="1" ht="29.15" customHeight="1">
      <c r="A61" s="399">
        <v>57</v>
      </c>
      <c r="B61" s="412" t="s">
        <v>82</v>
      </c>
      <c r="C61" s="413" t="s">
        <v>79</v>
      </c>
      <c r="D61" s="414" t="s">
        <v>663</v>
      </c>
      <c r="E61" s="403" t="s">
        <v>49</v>
      </c>
      <c r="F61" s="403"/>
      <c r="G61" s="433">
        <v>45474</v>
      </c>
      <c r="H61" s="399" t="s">
        <v>316</v>
      </c>
      <c r="I61" s="405" t="s">
        <v>189</v>
      </c>
      <c r="J61" s="479" t="s">
        <v>5144</v>
      </c>
      <c r="K61" s="406">
        <v>29944</v>
      </c>
      <c r="L61" s="417">
        <f t="shared" ca="1" si="2"/>
        <v>43</v>
      </c>
      <c r="M61" s="417">
        <v>60</v>
      </c>
      <c r="N61" s="418" t="str">
        <f t="shared" si="3"/>
        <v>24 Desember 2041</v>
      </c>
      <c r="O61" s="409" t="s">
        <v>658</v>
      </c>
      <c r="P61" s="131" t="s">
        <v>5104</v>
      </c>
      <c r="Q61" s="413" t="s">
        <v>281</v>
      </c>
    </row>
    <row r="62" spans="1:17" s="164" customFormat="1" ht="29.15" customHeight="1">
      <c r="A62" s="399">
        <v>58</v>
      </c>
      <c r="B62" s="400" t="s">
        <v>118</v>
      </c>
      <c r="C62" s="413" t="s">
        <v>134</v>
      </c>
      <c r="D62" s="414" t="s">
        <v>664</v>
      </c>
      <c r="E62" s="403" t="s">
        <v>48</v>
      </c>
      <c r="F62" s="403"/>
      <c r="G62" s="433">
        <v>44986</v>
      </c>
      <c r="H62" s="399" t="s">
        <v>316</v>
      </c>
      <c r="I62" s="479" t="s">
        <v>184</v>
      </c>
      <c r="J62" s="479" t="s">
        <v>5144</v>
      </c>
      <c r="K62" s="406">
        <v>28811</v>
      </c>
      <c r="L62" s="417">
        <f t="shared" ca="1" si="2"/>
        <v>46</v>
      </c>
      <c r="M62" s="417">
        <v>60</v>
      </c>
      <c r="N62" s="418" t="str">
        <f t="shared" si="3"/>
        <v>17 November 2038</v>
      </c>
      <c r="O62" s="480" t="s">
        <v>5083</v>
      </c>
      <c r="P62" s="463" t="s">
        <v>5084</v>
      </c>
      <c r="Q62" s="420" t="s">
        <v>247</v>
      </c>
    </row>
    <row r="63" spans="1:17">
      <c r="Q63" s="333" t="s">
        <v>5132</v>
      </c>
    </row>
    <row r="64" spans="1:17">
      <c r="C64" s="1"/>
      <c r="D64" s="1"/>
      <c r="E64" s="1"/>
      <c r="F64" s="1"/>
      <c r="G64" s="1"/>
    </row>
    <row r="65" spans="3:17">
      <c r="C65" s="1"/>
      <c r="D65" s="1"/>
      <c r="E65" s="1"/>
      <c r="F65" s="1"/>
      <c r="G65" s="1"/>
    </row>
    <row r="66" spans="3:17">
      <c r="C66" s="1"/>
      <c r="D66" s="1"/>
      <c r="E66" s="1"/>
      <c r="F66" s="1"/>
      <c r="G66" s="1"/>
    </row>
    <row r="67" spans="3:17">
      <c r="C67" s="1"/>
      <c r="D67" s="1"/>
      <c r="E67" s="1"/>
      <c r="F67" s="1"/>
      <c r="G67" s="1"/>
    </row>
    <row r="68" spans="3:17">
      <c r="C68" s="1"/>
      <c r="D68" s="1"/>
      <c r="E68" s="1"/>
      <c r="F68" s="1"/>
      <c r="G68" s="1"/>
    </row>
    <row r="69" spans="3:17">
      <c r="C69" s="1"/>
      <c r="D69" s="1"/>
      <c r="E69" s="1"/>
      <c r="F69" s="1"/>
      <c r="G69" s="1"/>
    </row>
    <row r="70" spans="3:17">
      <c r="C70" s="1"/>
      <c r="D70" s="1"/>
      <c r="E70" s="1"/>
      <c r="F70" s="1"/>
      <c r="G70" s="1"/>
    </row>
    <row r="71" spans="3:17">
      <c r="C71" s="1"/>
      <c r="D71" s="1"/>
      <c r="E71" s="1"/>
      <c r="F71" s="1"/>
      <c r="G71" s="1"/>
    </row>
    <row r="72" spans="3:17">
      <c r="C72" s="1"/>
      <c r="D72" s="1"/>
      <c r="E72" s="1"/>
      <c r="F72" s="1"/>
      <c r="G72" s="1"/>
    </row>
    <row r="73" spans="3:17">
      <c r="C73" s="1"/>
      <c r="D73" s="1"/>
      <c r="E73" s="1"/>
      <c r="F73" s="1"/>
      <c r="G73" s="1"/>
    </row>
    <row r="74" spans="3:17">
      <c r="C74" s="1"/>
      <c r="D74" s="1"/>
      <c r="E74" s="1"/>
      <c r="F74" s="1"/>
      <c r="G74" s="1"/>
    </row>
    <row r="75" spans="3:17">
      <c r="C75" s="1"/>
      <c r="D75" s="1"/>
      <c r="E75" s="1"/>
      <c r="F75" s="1"/>
      <c r="G75" s="1"/>
    </row>
    <row r="76" spans="3:17" s="1" customFormat="1">
      <c r="I76" s="185"/>
      <c r="J76" s="185"/>
      <c r="K76" s="185"/>
      <c r="L76"/>
      <c r="M76"/>
      <c r="N76"/>
      <c r="O76"/>
      <c r="P76"/>
      <c r="Q76"/>
    </row>
    <row r="77" spans="3:17" s="1" customFormat="1">
      <c r="I77" s="185"/>
      <c r="J77" s="185"/>
      <c r="K77" s="185"/>
      <c r="L77"/>
      <c r="M77"/>
      <c r="N77"/>
      <c r="O77"/>
      <c r="P77"/>
      <c r="Q77"/>
    </row>
    <row r="78" spans="3:17" s="1" customFormat="1">
      <c r="I78" s="185"/>
      <c r="J78" s="185"/>
      <c r="K78" s="185"/>
      <c r="L78"/>
      <c r="M78"/>
      <c r="N78"/>
      <c r="O78"/>
      <c r="P78"/>
      <c r="Q78"/>
    </row>
    <row r="79" spans="3:17" s="1" customFormat="1">
      <c r="I79" s="185"/>
      <c r="J79" s="185"/>
      <c r="K79" s="185"/>
      <c r="L79"/>
      <c r="M79"/>
      <c r="N79"/>
      <c r="O79"/>
      <c r="P79"/>
      <c r="Q79"/>
    </row>
    <row r="80" spans="3:17" s="1" customFormat="1">
      <c r="I80" s="185"/>
      <c r="J80" s="185"/>
      <c r="K80" s="185"/>
      <c r="L80"/>
      <c r="M80"/>
      <c r="N80"/>
      <c r="O80"/>
      <c r="P80"/>
      <c r="Q80"/>
    </row>
    <row r="81" spans="9:17" s="1" customFormat="1">
      <c r="I81" s="185"/>
      <c r="J81" s="185"/>
      <c r="K81" s="185"/>
      <c r="L81"/>
      <c r="M81"/>
      <c r="N81"/>
      <c r="O81"/>
      <c r="P81"/>
      <c r="Q81"/>
    </row>
    <row r="82" spans="9:17" s="1" customFormat="1">
      <c r="I82" s="185"/>
      <c r="J82" s="185"/>
      <c r="K82" s="185"/>
      <c r="L82"/>
      <c r="M82"/>
      <c r="N82"/>
      <c r="O82"/>
      <c r="P82"/>
      <c r="Q82"/>
    </row>
    <row r="83" spans="9:17" s="1" customFormat="1">
      <c r="I83" s="185"/>
      <c r="J83" s="185"/>
      <c r="K83" s="185"/>
      <c r="L83"/>
      <c r="M83"/>
      <c r="N83"/>
      <c r="O83"/>
      <c r="P83"/>
      <c r="Q83"/>
    </row>
    <row r="84" spans="9:17" s="1" customFormat="1">
      <c r="I84" s="185"/>
      <c r="J84" s="185"/>
      <c r="K84" s="185"/>
      <c r="L84"/>
      <c r="M84"/>
      <c r="N84"/>
      <c r="O84"/>
      <c r="P84"/>
      <c r="Q84"/>
    </row>
    <row r="85" spans="9:17" s="1" customFormat="1">
      <c r="I85" s="185"/>
      <c r="J85" s="185"/>
      <c r="K85" s="185"/>
      <c r="L85"/>
      <c r="M85"/>
      <c r="N85"/>
      <c r="O85"/>
      <c r="P85"/>
      <c r="Q85"/>
    </row>
    <row r="86" spans="9:17" s="1" customFormat="1">
      <c r="I86" s="185"/>
      <c r="J86" s="185"/>
      <c r="K86" s="185"/>
      <c r="L86"/>
      <c r="M86"/>
      <c r="N86"/>
      <c r="O86"/>
      <c r="P86"/>
      <c r="Q86"/>
    </row>
    <row r="87" spans="9:17" s="1" customFormat="1">
      <c r="I87" s="185"/>
      <c r="J87" s="185"/>
      <c r="K87" s="185"/>
      <c r="L87"/>
      <c r="M87"/>
      <c r="N87"/>
      <c r="O87"/>
      <c r="P87"/>
      <c r="Q87"/>
    </row>
    <row r="88" spans="9:17" s="1" customFormat="1">
      <c r="I88" s="185"/>
      <c r="J88" s="185"/>
      <c r="K88" s="185"/>
      <c r="L88"/>
      <c r="M88"/>
      <c r="N88"/>
      <c r="O88"/>
      <c r="P88"/>
      <c r="Q88"/>
    </row>
    <row r="89" spans="9:17" s="1" customFormat="1">
      <c r="I89" s="185"/>
      <c r="J89" s="185"/>
      <c r="K89" s="185"/>
      <c r="L89"/>
      <c r="M89"/>
      <c r="N89"/>
      <c r="O89"/>
      <c r="P89"/>
      <c r="Q89"/>
    </row>
    <row r="90" spans="9:17" s="1" customFormat="1">
      <c r="I90" s="185"/>
      <c r="J90" s="185"/>
      <c r="K90" s="185"/>
      <c r="L90"/>
      <c r="M90"/>
      <c r="N90"/>
      <c r="O90"/>
      <c r="P90"/>
      <c r="Q90"/>
    </row>
    <row r="91" spans="9:17" s="1" customFormat="1">
      <c r="I91" s="185"/>
      <c r="J91" s="185"/>
      <c r="K91" s="185"/>
      <c r="L91"/>
      <c r="M91"/>
      <c r="N91"/>
      <c r="O91"/>
      <c r="P91"/>
      <c r="Q91"/>
    </row>
    <row r="92" spans="9:17" s="1" customFormat="1">
      <c r="I92" s="185"/>
      <c r="J92" s="185"/>
      <c r="K92" s="185"/>
      <c r="L92"/>
      <c r="M92"/>
      <c r="N92"/>
      <c r="O92"/>
      <c r="P92"/>
      <c r="Q92"/>
    </row>
    <row r="93" spans="9:17" s="1" customFormat="1">
      <c r="I93" s="185"/>
      <c r="J93" s="185"/>
      <c r="K93" s="185"/>
      <c r="L93"/>
      <c r="M93"/>
      <c r="N93"/>
      <c r="O93"/>
      <c r="P93"/>
      <c r="Q93"/>
    </row>
    <row r="94" spans="9:17" s="1" customFormat="1">
      <c r="I94" s="185"/>
      <c r="J94" s="185"/>
      <c r="K94" s="185"/>
      <c r="L94"/>
      <c r="M94"/>
      <c r="N94"/>
      <c r="O94"/>
      <c r="P94"/>
      <c r="Q94"/>
    </row>
    <row r="95" spans="9:17" s="1" customFormat="1">
      <c r="I95" s="185"/>
      <c r="J95" s="185"/>
      <c r="K95" s="185"/>
      <c r="L95"/>
      <c r="M95"/>
      <c r="N95"/>
      <c r="O95"/>
      <c r="P95"/>
      <c r="Q95"/>
    </row>
    <row r="96" spans="9:17" s="1" customFormat="1">
      <c r="I96" s="185"/>
      <c r="J96" s="185"/>
      <c r="K96" s="185"/>
      <c r="L96"/>
      <c r="M96"/>
      <c r="N96"/>
      <c r="O96"/>
      <c r="P96"/>
      <c r="Q96"/>
    </row>
    <row r="97" spans="9:17" s="1" customFormat="1">
      <c r="I97" s="185"/>
      <c r="J97" s="185"/>
      <c r="K97" s="185"/>
      <c r="L97"/>
      <c r="M97"/>
      <c r="N97"/>
      <c r="O97"/>
      <c r="P97"/>
      <c r="Q97"/>
    </row>
    <row r="98" spans="9:17" s="1" customFormat="1">
      <c r="I98" s="185"/>
      <c r="J98" s="185"/>
      <c r="K98" s="185"/>
      <c r="L98"/>
      <c r="M98"/>
      <c r="N98"/>
      <c r="O98"/>
      <c r="P98"/>
      <c r="Q98"/>
    </row>
    <row r="99" spans="9:17" s="1" customFormat="1">
      <c r="I99" s="185"/>
      <c r="J99" s="185"/>
      <c r="K99" s="185"/>
      <c r="L99"/>
      <c r="M99"/>
      <c r="N99"/>
      <c r="O99"/>
      <c r="P99"/>
      <c r="Q99"/>
    </row>
    <row r="100" spans="9:17" s="1" customFormat="1">
      <c r="I100" s="185"/>
      <c r="J100" s="185"/>
      <c r="K100" s="185"/>
      <c r="L100"/>
      <c r="M100"/>
      <c r="N100"/>
      <c r="O100"/>
      <c r="P100"/>
      <c r="Q100"/>
    </row>
    <row r="101" spans="9:17" s="1" customFormat="1">
      <c r="I101" s="185"/>
      <c r="J101" s="185"/>
      <c r="K101" s="185"/>
      <c r="L101"/>
      <c r="M101"/>
      <c r="N101"/>
      <c r="O101"/>
      <c r="P101"/>
      <c r="Q101"/>
    </row>
    <row r="102" spans="9:17" s="1" customFormat="1">
      <c r="I102" s="185"/>
      <c r="J102" s="185"/>
      <c r="K102" s="185"/>
      <c r="L102"/>
      <c r="M102"/>
      <c r="N102"/>
      <c r="O102"/>
      <c r="P102"/>
      <c r="Q102"/>
    </row>
    <row r="103" spans="9:17" s="1" customFormat="1">
      <c r="I103" s="185"/>
      <c r="J103" s="185"/>
      <c r="K103" s="185"/>
      <c r="L103"/>
      <c r="M103"/>
      <c r="N103"/>
      <c r="O103"/>
      <c r="P103"/>
      <c r="Q103"/>
    </row>
    <row r="104" spans="9:17" s="1" customFormat="1">
      <c r="I104" s="185"/>
      <c r="J104" s="185"/>
      <c r="K104" s="185"/>
      <c r="L104"/>
      <c r="M104"/>
      <c r="N104"/>
      <c r="O104"/>
      <c r="P104"/>
      <c r="Q104"/>
    </row>
    <row r="105" spans="9:17" s="1" customFormat="1">
      <c r="I105" s="185"/>
      <c r="J105" s="185"/>
      <c r="K105" s="185"/>
      <c r="L105"/>
      <c r="M105"/>
      <c r="N105"/>
      <c r="O105"/>
      <c r="P105"/>
      <c r="Q105"/>
    </row>
    <row r="106" spans="9:17" s="1" customFormat="1">
      <c r="I106" s="185"/>
      <c r="J106" s="185"/>
      <c r="K106" s="185"/>
      <c r="L106"/>
      <c r="M106"/>
      <c r="N106"/>
      <c r="O106"/>
      <c r="P106"/>
      <c r="Q106"/>
    </row>
    <row r="107" spans="9:17" s="1" customFormat="1">
      <c r="I107" s="185"/>
      <c r="J107" s="185"/>
      <c r="K107" s="185"/>
      <c r="L107"/>
      <c r="M107"/>
      <c r="N107"/>
      <c r="O107"/>
      <c r="P107"/>
      <c r="Q107"/>
    </row>
    <row r="108" spans="9:17" s="1" customFormat="1">
      <c r="I108" s="185"/>
      <c r="J108" s="185"/>
      <c r="K108" s="185"/>
      <c r="L108"/>
      <c r="M108"/>
      <c r="N108"/>
      <c r="O108"/>
      <c r="P108"/>
      <c r="Q108"/>
    </row>
    <row r="109" spans="9:17" s="1" customFormat="1">
      <c r="I109" s="185"/>
      <c r="J109" s="185"/>
      <c r="K109" s="185"/>
      <c r="L109"/>
      <c r="M109"/>
      <c r="N109"/>
      <c r="O109"/>
      <c r="P109"/>
      <c r="Q109"/>
    </row>
    <row r="110" spans="9:17" s="1" customFormat="1">
      <c r="I110" s="185"/>
      <c r="J110" s="185"/>
      <c r="K110" s="185"/>
      <c r="L110"/>
      <c r="M110"/>
      <c r="N110"/>
      <c r="O110"/>
      <c r="P110"/>
      <c r="Q110"/>
    </row>
    <row r="111" spans="9:17" s="1" customFormat="1">
      <c r="I111" s="185"/>
      <c r="J111" s="185"/>
      <c r="K111" s="185"/>
      <c r="L111"/>
      <c r="M111"/>
      <c r="N111"/>
      <c r="O111"/>
      <c r="P111"/>
      <c r="Q111"/>
    </row>
    <row r="112" spans="9:17" s="1" customFormat="1">
      <c r="I112" s="185"/>
      <c r="J112" s="185"/>
      <c r="K112" s="185"/>
      <c r="L112"/>
      <c r="M112"/>
      <c r="N112"/>
      <c r="O112"/>
      <c r="P112"/>
      <c r="Q112"/>
    </row>
    <row r="113" spans="9:17" s="1" customFormat="1">
      <c r="I113" s="185"/>
      <c r="J113" s="185"/>
      <c r="K113" s="185"/>
      <c r="L113"/>
      <c r="M113"/>
      <c r="N113"/>
      <c r="O113"/>
      <c r="P113"/>
      <c r="Q113"/>
    </row>
    <row r="114" spans="9:17" s="1" customFormat="1">
      <c r="I114" s="185"/>
      <c r="J114" s="185"/>
      <c r="K114" s="185"/>
      <c r="L114"/>
      <c r="M114"/>
      <c r="N114"/>
      <c r="O114"/>
      <c r="P114"/>
      <c r="Q114"/>
    </row>
    <row r="115" spans="9:17" s="1" customFormat="1">
      <c r="I115" s="185"/>
      <c r="J115" s="185"/>
      <c r="K115" s="185"/>
      <c r="L115"/>
      <c r="M115"/>
      <c r="N115"/>
      <c r="O115"/>
      <c r="P115"/>
      <c r="Q115"/>
    </row>
    <row r="116" spans="9:17" s="1" customFormat="1">
      <c r="I116" s="185"/>
      <c r="J116" s="185"/>
      <c r="K116" s="185"/>
      <c r="L116"/>
      <c r="M116"/>
      <c r="N116"/>
      <c r="O116"/>
      <c r="P116"/>
      <c r="Q116"/>
    </row>
    <row r="117" spans="9:17" s="1" customFormat="1">
      <c r="I117" s="185"/>
      <c r="J117" s="185"/>
      <c r="K117" s="185"/>
      <c r="L117"/>
      <c r="M117"/>
      <c r="N117"/>
      <c r="O117"/>
      <c r="P117"/>
      <c r="Q117"/>
    </row>
    <row r="118" spans="9:17" s="1" customFormat="1">
      <c r="I118" s="185"/>
      <c r="J118" s="185"/>
      <c r="K118" s="185"/>
      <c r="L118"/>
      <c r="M118"/>
      <c r="N118"/>
      <c r="O118"/>
      <c r="P118"/>
      <c r="Q118"/>
    </row>
    <row r="119" spans="9:17" s="1" customFormat="1">
      <c r="I119" s="185"/>
      <c r="J119" s="185"/>
      <c r="K119" s="185"/>
      <c r="L119"/>
      <c r="M119"/>
      <c r="N119"/>
      <c r="O119"/>
      <c r="P119"/>
      <c r="Q119"/>
    </row>
    <row r="120" spans="9:17" s="1" customFormat="1">
      <c r="I120" s="185"/>
      <c r="J120" s="185"/>
      <c r="K120" s="185"/>
      <c r="L120"/>
      <c r="M120"/>
      <c r="N120"/>
      <c r="O120"/>
      <c r="P120"/>
      <c r="Q120"/>
    </row>
    <row r="121" spans="9:17" s="1" customFormat="1">
      <c r="I121" s="185"/>
      <c r="J121" s="185"/>
      <c r="K121" s="185"/>
      <c r="L121"/>
      <c r="M121"/>
      <c r="N121"/>
      <c r="O121"/>
      <c r="P121"/>
      <c r="Q121"/>
    </row>
    <row r="122" spans="9:17" s="1" customFormat="1">
      <c r="I122" s="185"/>
      <c r="J122" s="185"/>
      <c r="K122" s="185"/>
      <c r="L122"/>
      <c r="M122"/>
      <c r="N122"/>
      <c r="O122"/>
      <c r="P122"/>
      <c r="Q122"/>
    </row>
    <row r="123" spans="9:17" s="1" customFormat="1">
      <c r="I123" s="185"/>
      <c r="J123" s="185"/>
      <c r="K123" s="185"/>
      <c r="L123"/>
      <c r="M123"/>
      <c r="N123"/>
      <c r="O123"/>
      <c r="P123"/>
      <c r="Q123"/>
    </row>
    <row r="124" spans="9:17" s="1" customFormat="1">
      <c r="I124" s="185"/>
      <c r="J124" s="185"/>
      <c r="K124" s="185"/>
      <c r="L124"/>
      <c r="M124"/>
      <c r="N124"/>
      <c r="O124"/>
      <c r="P124"/>
      <c r="Q124"/>
    </row>
    <row r="125" spans="9:17" s="1" customFormat="1">
      <c r="I125" s="185"/>
      <c r="J125" s="185"/>
      <c r="K125" s="185"/>
      <c r="L125"/>
      <c r="M125"/>
      <c r="N125"/>
      <c r="O125"/>
      <c r="P125"/>
      <c r="Q125"/>
    </row>
    <row r="126" spans="9:17" s="1" customFormat="1">
      <c r="I126" s="185"/>
      <c r="J126" s="185"/>
      <c r="K126" s="185"/>
      <c r="L126"/>
      <c r="M126"/>
      <c r="N126"/>
      <c r="O126"/>
      <c r="P126"/>
      <c r="Q126"/>
    </row>
    <row r="127" spans="9:17" s="1" customFormat="1">
      <c r="I127" s="185"/>
      <c r="J127" s="185"/>
      <c r="K127" s="185"/>
      <c r="L127"/>
      <c r="M127"/>
      <c r="N127"/>
      <c r="O127"/>
      <c r="P127"/>
      <c r="Q127"/>
    </row>
    <row r="128" spans="9:17" s="1" customFormat="1">
      <c r="I128" s="185"/>
      <c r="J128" s="185"/>
      <c r="K128" s="185"/>
      <c r="L128"/>
      <c r="M128"/>
      <c r="N128"/>
      <c r="O128"/>
      <c r="P128"/>
      <c r="Q128"/>
    </row>
    <row r="129" spans="9:17" s="1" customFormat="1">
      <c r="I129" s="185"/>
      <c r="J129" s="185"/>
      <c r="K129" s="185"/>
      <c r="L129"/>
      <c r="M129"/>
      <c r="N129"/>
      <c r="O129"/>
      <c r="P129"/>
      <c r="Q129"/>
    </row>
    <row r="130" spans="9:17" s="1" customFormat="1">
      <c r="I130" s="185"/>
      <c r="J130" s="185"/>
      <c r="K130" s="185"/>
      <c r="L130"/>
      <c r="M130"/>
      <c r="N130"/>
      <c r="O130"/>
      <c r="P130"/>
      <c r="Q130"/>
    </row>
    <row r="131" spans="9:17" s="1" customFormat="1">
      <c r="I131" s="185"/>
      <c r="J131" s="185"/>
      <c r="K131" s="185"/>
      <c r="L131"/>
      <c r="M131"/>
      <c r="N131"/>
      <c r="O131"/>
      <c r="P131"/>
      <c r="Q131"/>
    </row>
    <row r="132" spans="9:17" s="1" customFormat="1">
      <c r="I132" s="185"/>
      <c r="J132" s="185"/>
      <c r="K132" s="185"/>
      <c r="L132"/>
      <c r="M132"/>
      <c r="N132"/>
      <c r="O132"/>
      <c r="P132"/>
      <c r="Q132"/>
    </row>
    <row r="133" spans="9:17" s="1" customFormat="1">
      <c r="I133" s="185"/>
      <c r="J133" s="185"/>
      <c r="K133" s="185"/>
      <c r="L133"/>
      <c r="M133"/>
      <c r="N133"/>
      <c r="O133"/>
      <c r="P133"/>
      <c r="Q133"/>
    </row>
    <row r="134" spans="9:17" s="1" customFormat="1">
      <c r="I134" s="185"/>
      <c r="J134" s="185"/>
      <c r="K134" s="185"/>
      <c r="L134"/>
      <c r="M134"/>
      <c r="N134"/>
      <c r="O134"/>
      <c r="P134"/>
      <c r="Q134"/>
    </row>
    <row r="135" spans="9:17" s="1" customFormat="1">
      <c r="I135" s="185"/>
      <c r="J135" s="185"/>
      <c r="K135" s="185"/>
      <c r="L135"/>
      <c r="M135"/>
      <c r="N135"/>
      <c r="O135"/>
      <c r="P135"/>
      <c r="Q135"/>
    </row>
    <row r="136" spans="9:17" s="1" customFormat="1">
      <c r="I136" s="185"/>
      <c r="J136" s="185"/>
      <c r="K136" s="185"/>
      <c r="L136"/>
      <c r="M136"/>
      <c r="N136"/>
      <c r="O136"/>
      <c r="P136"/>
      <c r="Q136"/>
    </row>
    <row r="137" spans="9:17" s="1" customFormat="1">
      <c r="I137" s="185"/>
      <c r="J137" s="185"/>
      <c r="K137" s="185"/>
      <c r="L137"/>
      <c r="M137"/>
      <c r="N137"/>
      <c r="O137"/>
      <c r="P137"/>
      <c r="Q137"/>
    </row>
    <row r="138" spans="9:17" s="1" customFormat="1">
      <c r="I138" s="185"/>
      <c r="J138" s="185"/>
      <c r="K138" s="185"/>
      <c r="L138"/>
      <c r="M138"/>
      <c r="N138"/>
      <c r="O138"/>
      <c r="P138"/>
      <c r="Q138"/>
    </row>
    <row r="139" spans="9:17" s="1" customFormat="1">
      <c r="I139" s="185"/>
      <c r="J139" s="185"/>
      <c r="K139" s="185"/>
      <c r="L139"/>
      <c r="M139"/>
      <c r="N139"/>
      <c r="O139"/>
      <c r="P139"/>
      <c r="Q139"/>
    </row>
    <row r="140" spans="9:17" s="1" customFormat="1">
      <c r="I140" s="185"/>
      <c r="J140" s="185"/>
      <c r="K140" s="185"/>
      <c r="L140"/>
      <c r="M140"/>
      <c r="N140"/>
      <c r="O140"/>
      <c r="P140"/>
      <c r="Q140"/>
    </row>
    <row r="141" spans="9:17" s="1" customFormat="1">
      <c r="I141" s="185"/>
      <c r="J141" s="185"/>
      <c r="K141" s="185"/>
      <c r="L141"/>
      <c r="M141"/>
      <c r="N141"/>
      <c r="O141"/>
      <c r="P141"/>
      <c r="Q141"/>
    </row>
    <row r="142" spans="9:17" s="1" customFormat="1">
      <c r="I142" s="185"/>
      <c r="J142" s="185"/>
      <c r="K142" s="185"/>
      <c r="L142"/>
      <c r="M142"/>
      <c r="N142"/>
      <c r="O142"/>
      <c r="P142"/>
      <c r="Q142"/>
    </row>
    <row r="143" spans="9:17" s="1" customFormat="1">
      <c r="I143" s="185"/>
      <c r="J143" s="185"/>
      <c r="K143" s="185"/>
      <c r="L143"/>
      <c r="M143"/>
      <c r="N143"/>
      <c r="O143"/>
      <c r="P143"/>
      <c r="Q143"/>
    </row>
    <row r="144" spans="9:17" s="1" customFormat="1">
      <c r="I144" s="185"/>
      <c r="J144" s="185"/>
      <c r="K144" s="185"/>
      <c r="L144"/>
      <c r="M144"/>
      <c r="N144"/>
      <c r="O144"/>
      <c r="P144"/>
      <c r="Q144"/>
    </row>
    <row r="145" spans="9:17" s="1" customFormat="1">
      <c r="I145" s="185"/>
      <c r="J145" s="185"/>
      <c r="K145" s="185"/>
      <c r="L145"/>
      <c r="M145"/>
      <c r="N145"/>
      <c r="O145"/>
      <c r="P145"/>
      <c r="Q145"/>
    </row>
    <row r="146" spans="9:17" s="1" customFormat="1">
      <c r="I146" s="185"/>
      <c r="J146" s="185"/>
      <c r="K146" s="185"/>
      <c r="L146"/>
      <c r="M146"/>
      <c r="N146"/>
      <c r="O146"/>
      <c r="P146"/>
      <c r="Q146"/>
    </row>
    <row r="147" spans="9:17" s="1" customFormat="1">
      <c r="I147" s="185"/>
      <c r="J147" s="185"/>
      <c r="K147" s="185"/>
      <c r="L147"/>
      <c r="M147"/>
      <c r="N147"/>
      <c r="O147"/>
      <c r="P147"/>
      <c r="Q147"/>
    </row>
    <row r="148" spans="9:17" s="1" customFormat="1">
      <c r="I148" s="185"/>
      <c r="J148" s="185"/>
      <c r="K148" s="185"/>
      <c r="L148"/>
      <c r="M148"/>
      <c r="N148"/>
      <c r="O148"/>
      <c r="P148"/>
      <c r="Q148"/>
    </row>
    <row r="149" spans="9:17" s="1" customFormat="1">
      <c r="I149" s="185"/>
      <c r="J149" s="185"/>
      <c r="K149" s="185"/>
      <c r="L149"/>
      <c r="M149"/>
      <c r="N149"/>
      <c r="O149"/>
      <c r="P149"/>
      <c r="Q149"/>
    </row>
    <row r="150" spans="9:17" s="1" customFormat="1">
      <c r="I150" s="185"/>
      <c r="J150" s="185"/>
      <c r="K150" s="185"/>
      <c r="L150"/>
      <c r="M150"/>
      <c r="N150"/>
      <c r="O150"/>
      <c r="P150"/>
      <c r="Q150"/>
    </row>
    <row r="151" spans="9:17" s="1" customFormat="1">
      <c r="I151" s="185"/>
      <c r="J151" s="185"/>
      <c r="K151" s="185"/>
      <c r="L151"/>
      <c r="M151"/>
      <c r="N151"/>
      <c r="O151"/>
      <c r="P151"/>
      <c r="Q151"/>
    </row>
    <row r="152" spans="9:17" s="1" customFormat="1">
      <c r="I152" s="185"/>
      <c r="J152" s="185"/>
      <c r="K152" s="185"/>
      <c r="L152"/>
      <c r="M152"/>
      <c r="N152"/>
      <c r="O152"/>
      <c r="P152"/>
      <c r="Q152"/>
    </row>
    <row r="153" spans="9:17" s="1" customFormat="1">
      <c r="I153" s="185"/>
      <c r="J153" s="185"/>
      <c r="K153" s="185"/>
      <c r="L153"/>
      <c r="M153"/>
      <c r="N153"/>
      <c r="O153"/>
      <c r="P153"/>
      <c r="Q153"/>
    </row>
    <row r="154" spans="9:17" s="1" customFormat="1">
      <c r="I154" s="185"/>
      <c r="J154" s="185"/>
      <c r="K154" s="185"/>
      <c r="L154"/>
      <c r="M154"/>
      <c r="N154"/>
      <c r="O154"/>
      <c r="P154"/>
      <c r="Q154"/>
    </row>
    <row r="155" spans="9:17" s="1" customFormat="1">
      <c r="I155" s="185"/>
      <c r="J155" s="185"/>
      <c r="K155" s="185"/>
      <c r="L155"/>
      <c r="M155"/>
      <c r="N155"/>
      <c r="O155"/>
      <c r="P155"/>
      <c r="Q155"/>
    </row>
    <row r="156" spans="9:17" s="1" customFormat="1">
      <c r="I156" s="185"/>
      <c r="J156" s="185"/>
      <c r="K156" s="185"/>
      <c r="L156"/>
      <c r="M156"/>
      <c r="N156"/>
      <c r="O156"/>
      <c r="P156"/>
      <c r="Q156"/>
    </row>
    <row r="157" spans="9:17" s="1" customFormat="1">
      <c r="I157" s="185"/>
      <c r="J157" s="185"/>
      <c r="K157" s="185"/>
      <c r="L157"/>
      <c r="M157"/>
      <c r="N157"/>
      <c r="O157"/>
      <c r="P157"/>
      <c r="Q157"/>
    </row>
    <row r="158" spans="9:17" s="1" customFormat="1">
      <c r="I158" s="185"/>
      <c r="J158" s="185"/>
      <c r="K158" s="185"/>
      <c r="L158"/>
      <c r="M158"/>
      <c r="N158"/>
      <c r="O158"/>
      <c r="P158"/>
      <c r="Q158"/>
    </row>
    <row r="159" spans="9:17" s="1" customFormat="1">
      <c r="I159" s="185"/>
      <c r="J159" s="185"/>
      <c r="K159" s="185"/>
      <c r="L159"/>
      <c r="M159"/>
      <c r="N159"/>
      <c r="O159"/>
      <c r="P159"/>
      <c r="Q159"/>
    </row>
    <row r="160" spans="9:17" s="1" customFormat="1">
      <c r="I160" s="185"/>
      <c r="J160" s="185"/>
      <c r="K160" s="185"/>
      <c r="L160"/>
      <c r="M160"/>
      <c r="N160"/>
      <c r="O160"/>
      <c r="P160"/>
      <c r="Q160"/>
    </row>
    <row r="161" spans="9:17" s="1" customFormat="1">
      <c r="I161" s="185"/>
      <c r="J161" s="185"/>
      <c r="K161" s="185"/>
      <c r="L161"/>
      <c r="M161"/>
      <c r="N161"/>
      <c r="O161"/>
      <c r="P161"/>
      <c r="Q161"/>
    </row>
    <row r="162" spans="9:17" s="1" customFormat="1">
      <c r="I162" s="185"/>
      <c r="J162" s="185"/>
      <c r="K162" s="185"/>
      <c r="L162"/>
      <c r="M162"/>
      <c r="N162"/>
      <c r="O162"/>
      <c r="P162"/>
      <c r="Q162"/>
    </row>
    <row r="163" spans="9:17" s="1" customFormat="1">
      <c r="I163" s="185"/>
      <c r="J163" s="185"/>
      <c r="K163" s="185"/>
      <c r="L163"/>
      <c r="M163"/>
      <c r="N163"/>
      <c r="O163"/>
      <c r="P163"/>
      <c r="Q163"/>
    </row>
    <row r="164" spans="9:17" s="1" customFormat="1">
      <c r="I164" s="185"/>
      <c r="J164" s="185"/>
      <c r="K164" s="185"/>
      <c r="L164"/>
      <c r="M164"/>
      <c r="N164"/>
      <c r="O164"/>
      <c r="P164"/>
      <c r="Q164"/>
    </row>
    <row r="165" spans="9:17" s="1" customFormat="1">
      <c r="I165" s="185"/>
      <c r="J165" s="185"/>
      <c r="K165" s="185"/>
      <c r="L165"/>
      <c r="M165"/>
      <c r="N165"/>
      <c r="O165"/>
      <c r="P165"/>
      <c r="Q165"/>
    </row>
    <row r="166" spans="9:17" s="1" customFormat="1">
      <c r="I166" s="185"/>
      <c r="J166" s="185"/>
      <c r="K166" s="185"/>
      <c r="L166"/>
      <c r="M166"/>
      <c r="N166"/>
      <c r="O166"/>
      <c r="P166"/>
      <c r="Q166"/>
    </row>
    <row r="167" spans="9:17" s="1" customFormat="1">
      <c r="I167" s="185"/>
      <c r="J167" s="185"/>
      <c r="K167" s="185"/>
      <c r="L167"/>
      <c r="M167"/>
      <c r="N167"/>
      <c r="O167"/>
      <c r="P167"/>
      <c r="Q167"/>
    </row>
    <row r="168" spans="9:17" s="1" customFormat="1">
      <c r="I168" s="185"/>
      <c r="J168" s="185"/>
      <c r="K168" s="185"/>
      <c r="L168"/>
      <c r="M168"/>
      <c r="N168"/>
      <c r="O168"/>
      <c r="P168"/>
      <c r="Q168"/>
    </row>
    <row r="169" spans="9:17" s="1" customFormat="1">
      <c r="I169" s="185"/>
      <c r="J169" s="185"/>
      <c r="K169" s="185"/>
      <c r="L169"/>
      <c r="M169"/>
      <c r="N169"/>
      <c r="O169"/>
      <c r="P169"/>
      <c r="Q169"/>
    </row>
    <row r="170" spans="9:17" s="1" customFormat="1">
      <c r="I170" s="185"/>
      <c r="J170" s="185"/>
      <c r="K170" s="185"/>
      <c r="L170"/>
      <c r="M170"/>
      <c r="N170"/>
      <c r="O170"/>
      <c r="P170"/>
      <c r="Q170"/>
    </row>
    <row r="171" spans="9:17" s="1" customFormat="1">
      <c r="I171" s="185"/>
      <c r="J171" s="185"/>
      <c r="K171" s="185"/>
      <c r="L171"/>
      <c r="M171"/>
      <c r="N171"/>
      <c r="O171"/>
      <c r="P171"/>
      <c r="Q171"/>
    </row>
    <row r="172" spans="9:17" s="1" customFormat="1">
      <c r="I172" s="185"/>
      <c r="J172" s="185"/>
      <c r="K172" s="185"/>
      <c r="L172"/>
      <c r="M172"/>
      <c r="N172"/>
      <c r="O172"/>
      <c r="P172"/>
      <c r="Q172"/>
    </row>
    <row r="173" spans="9:17" s="1" customFormat="1">
      <c r="I173" s="185"/>
      <c r="J173" s="185"/>
      <c r="K173" s="185"/>
      <c r="L173"/>
      <c r="M173"/>
      <c r="N173"/>
      <c r="O173"/>
      <c r="P173"/>
      <c r="Q173"/>
    </row>
    <row r="174" spans="9:17" s="1" customFormat="1">
      <c r="I174" s="185"/>
      <c r="J174" s="185"/>
      <c r="K174" s="185"/>
      <c r="L174"/>
      <c r="M174"/>
      <c r="N174"/>
      <c r="O174"/>
      <c r="P174"/>
      <c r="Q174"/>
    </row>
    <row r="175" spans="9:17" s="1" customFormat="1">
      <c r="I175" s="185"/>
      <c r="J175" s="185"/>
      <c r="K175" s="185"/>
      <c r="L175"/>
      <c r="M175"/>
      <c r="N175"/>
      <c r="O175"/>
      <c r="P175"/>
      <c r="Q175"/>
    </row>
    <row r="176" spans="9:17" s="1" customFormat="1">
      <c r="I176" s="185"/>
      <c r="J176" s="185"/>
      <c r="K176" s="185"/>
      <c r="L176"/>
      <c r="M176"/>
      <c r="N176"/>
      <c r="O176"/>
      <c r="P176"/>
      <c r="Q176"/>
    </row>
    <row r="177" spans="9:17" s="1" customFormat="1">
      <c r="I177" s="185"/>
      <c r="J177" s="185"/>
      <c r="K177" s="185"/>
      <c r="L177"/>
      <c r="M177"/>
      <c r="N177"/>
      <c r="O177"/>
      <c r="P177"/>
      <c r="Q177"/>
    </row>
    <row r="178" spans="9:17" s="1" customFormat="1">
      <c r="I178" s="185"/>
      <c r="J178" s="185"/>
      <c r="K178" s="185"/>
      <c r="L178"/>
      <c r="M178"/>
      <c r="N178"/>
      <c r="O178"/>
      <c r="P178"/>
      <c r="Q178"/>
    </row>
    <row r="179" spans="9:17" s="1" customFormat="1">
      <c r="I179" s="185"/>
      <c r="J179" s="185"/>
      <c r="K179" s="185"/>
      <c r="L179"/>
      <c r="M179"/>
      <c r="N179"/>
      <c r="O179"/>
      <c r="P179"/>
      <c r="Q179"/>
    </row>
    <row r="180" spans="9:17" s="1" customFormat="1">
      <c r="I180" s="185"/>
      <c r="J180" s="185"/>
      <c r="K180" s="185"/>
      <c r="L180"/>
      <c r="M180"/>
      <c r="N180"/>
      <c r="O180"/>
      <c r="P180"/>
      <c r="Q180"/>
    </row>
    <row r="181" spans="9:17" s="1" customFormat="1">
      <c r="I181" s="185"/>
      <c r="J181" s="185"/>
      <c r="K181" s="185"/>
      <c r="L181"/>
      <c r="M181"/>
      <c r="N181"/>
      <c r="O181"/>
      <c r="P181"/>
      <c r="Q181"/>
    </row>
    <row r="182" spans="9:17" s="1" customFormat="1">
      <c r="I182" s="185"/>
      <c r="J182" s="185"/>
      <c r="K182" s="185"/>
      <c r="L182"/>
      <c r="M182"/>
      <c r="N182"/>
      <c r="O182"/>
      <c r="P182"/>
      <c r="Q182"/>
    </row>
    <row r="183" spans="9:17" s="1" customFormat="1">
      <c r="I183" s="185"/>
      <c r="J183" s="185"/>
      <c r="K183" s="185"/>
      <c r="L183"/>
      <c r="M183"/>
      <c r="N183"/>
      <c r="O183"/>
      <c r="P183"/>
      <c r="Q183"/>
    </row>
    <row r="184" spans="9:17" s="1" customFormat="1">
      <c r="I184" s="185"/>
      <c r="J184" s="185"/>
      <c r="K184" s="185"/>
      <c r="L184"/>
      <c r="M184"/>
      <c r="N184"/>
      <c r="O184"/>
      <c r="P184"/>
      <c r="Q184"/>
    </row>
    <row r="185" spans="9:17" s="1" customFormat="1">
      <c r="I185" s="185"/>
      <c r="J185" s="185"/>
      <c r="K185" s="185"/>
      <c r="L185"/>
      <c r="M185"/>
      <c r="N185"/>
      <c r="O185"/>
      <c r="P185"/>
      <c r="Q185"/>
    </row>
    <row r="186" spans="9:17" s="1" customFormat="1">
      <c r="I186" s="185"/>
      <c r="J186" s="185"/>
      <c r="K186" s="185"/>
      <c r="L186"/>
      <c r="M186"/>
      <c r="N186"/>
      <c r="O186"/>
      <c r="P186"/>
      <c r="Q186"/>
    </row>
    <row r="187" spans="9:17" s="1" customFormat="1">
      <c r="I187" s="185"/>
      <c r="J187" s="185"/>
      <c r="K187" s="185"/>
      <c r="L187"/>
      <c r="M187"/>
      <c r="N187"/>
      <c r="O187"/>
      <c r="P187"/>
      <c r="Q187"/>
    </row>
    <row r="188" spans="9:17" s="1" customFormat="1">
      <c r="I188" s="185"/>
      <c r="J188" s="185"/>
      <c r="K188" s="185"/>
      <c r="L188"/>
      <c r="M188"/>
      <c r="N188"/>
      <c r="O188"/>
      <c r="P188"/>
      <c r="Q188"/>
    </row>
    <row r="189" spans="9:17" s="1" customFormat="1">
      <c r="I189" s="185"/>
      <c r="J189" s="185"/>
      <c r="K189" s="185"/>
      <c r="L189"/>
      <c r="M189"/>
      <c r="N189"/>
      <c r="O189"/>
      <c r="P189"/>
      <c r="Q189"/>
    </row>
    <row r="190" spans="9:17" s="1" customFormat="1">
      <c r="I190" s="185"/>
      <c r="J190" s="185"/>
      <c r="K190" s="185"/>
      <c r="L190"/>
      <c r="M190"/>
      <c r="N190"/>
      <c r="O190"/>
      <c r="P190"/>
      <c r="Q190"/>
    </row>
    <row r="191" spans="9:17" s="1" customFormat="1">
      <c r="I191" s="185"/>
      <c r="J191" s="185"/>
      <c r="K191" s="185"/>
      <c r="L191"/>
      <c r="M191"/>
      <c r="N191"/>
      <c r="O191"/>
      <c r="P191"/>
      <c r="Q191"/>
    </row>
    <row r="192" spans="9:17" s="1" customFormat="1">
      <c r="I192" s="185"/>
      <c r="J192" s="185"/>
      <c r="K192" s="185"/>
      <c r="L192"/>
      <c r="M192"/>
      <c r="N192"/>
      <c r="O192"/>
      <c r="P192"/>
      <c r="Q192"/>
    </row>
    <row r="193" spans="9:17" s="1" customFormat="1">
      <c r="I193" s="185"/>
      <c r="J193" s="185"/>
      <c r="K193" s="185"/>
      <c r="L193"/>
      <c r="M193"/>
      <c r="N193"/>
      <c r="O193"/>
      <c r="P193"/>
      <c r="Q193"/>
    </row>
    <row r="194" spans="9:17" s="1" customFormat="1">
      <c r="I194" s="185"/>
      <c r="J194" s="185"/>
      <c r="K194" s="185"/>
      <c r="L194"/>
      <c r="M194"/>
      <c r="N194"/>
      <c r="O194"/>
      <c r="P194"/>
      <c r="Q194"/>
    </row>
    <row r="195" spans="9:17" s="1" customFormat="1">
      <c r="I195" s="185"/>
      <c r="J195" s="185"/>
      <c r="K195" s="185"/>
      <c r="L195"/>
      <c r="M195"/>
      <c r="N195"/>
      <c r="O195"/>
      <c r="P195"/>
      <c r="Q195"/>
    </row>
    <row r="196" spans="9:17" s="1" customFormat="1">
      <c r="I196" s="185"/>
      <c r="J196" s="185"/>
      <c r="K196" s="185"/>
      <c r="L196"/>
      <c r="M196"/>
      <c r="N196"/>
      <c r="O196"/>
      <c r="P196"/>
      <c r="Q196"/>
    </row>
    <row r="197" spans="9:17" s="1" customFormat="1">
      <c r="I197" s="185"/>
      <c r="J197" s="185"/>
      <c r="K197" s="185"/>
      <c r="L197"/>
      <c r="M197"/>
      <c r="N197"/>
      <c r="O197"/>
      <c r="P197"/>
      <c r="Q197"/>
    </row>
    <row r="198" spans="9:17" s="1" customFormat="1">
      <c r="I198" s="185"/>
      <c r="J198" s="185"/>
      <c r="K198" s="185"/>
      <c r="L198"/>
      <c r="M198"/>
      <c r="N198"/>
      <c r="O198"/>
      <c r="P198"/>
      <c r="Q198"/>
    </row>
    <row r="199" spans="9:17" s="1" customFormat="1">
      <c r="I199" s="185"/>
      <c r="J199" s="185"/>
      <c r="K199" s="185"/>
      <c r="L199"/>
      <c r="M199"/>
      <c r="N199"/>
      <c r="O199"/>
      <c r="P199"/>
      <c r="Q199"/>
    </row>
    <row r="200" spans="9:17" s="1" customFormat="1">
      <c r="I200" s="185"/>
      <c r="J200" s="185"/>
      <c r="K200" s="185"/>
      <c r="L200"/>
      <c r="M200"/>
      <c r="N200"/>
      <c r="O200"/>
      <c r="P200"/>
      <c r="Q200"/>
    </row>
    <row r="201" spans="9:17" s="1" customFormat="1">
      <c r="I201" s="185"/>
      <c r="J201" s="185"/>
      <c r="K201" s="185"/>
      <c r="L201"/>
      <c r="M201"/>
      <c r="N201"/>
      <c r="O201"/>
      <c r="P201"/>
      <c r="Q201"/>
    </row>
    <row r="202" spans="9:17" s="1" customFormat="1">
      <c r="I202" s="185"/>
      <c r="J202" s="185"/>
      <c r="K202" s="185"/>
      <c r="L202"/>
      <c r="M202"/>
      <c r="N202"/>
      <c r="O202"/>
      <c r="P202"/>
      <c r="Q202"/>
    </row>
    <row r="203" spans="9:17" s="1" customFormat="1">
      <c r="I203" s="185"/>
      <c r="J203" s="185"/>
      <c r="K203" s="185"/>
      <c r="L203"/>
      <c r="M203"/>
      <c r="N203"/>
      <c r="O203"/>
      <c r="P203"/>
      <c r="Q203"/>
    </row>
    <row r="204" spans="9:17" s="1" customFormat="1">
      <c r="I204" s="185"/>
      <c r="J204" s="185"/>
      <c r="K204" s="185"/>
      <c r="L204"/>
      <c r="M204"/>
      <c r="N204"/>
      <c r="O204"/>
      <c r="P204"/>
      <c r="Q204"/>
    </row>
    <row r="205" spans="9:17" s="1" customFormat="1">
      <c r="I205" s="185"/>
      <c r="J205" s="185"/>
      <c r="K205" s="185"/>
      <c r="L205"/>
      <c r="M205"/>
      <c r="N205"/>
      <c r="O205"/>
      <c r="P205"/>
      <c r="Q205"/>
    </row>
    <row r="206" spans="9:17" s="1" customFormat="1">
      <c r="I206" s="185"/>
      <c r="J206" s="185"/>
      <c r="K206" s="185"/>
      <c r="L206"/>
      <c r="M206"/>
      <c r="N206"/>
      <c r="O206"/>
      <c r="P206"/>
      <c r="Q206"/>
    </row>
    <row r="207" spans="9:17" s="1" customFormat="1">
      <c r="I207" s="185"/>
      <c r="J207" s="185"/>
      <c r="K207" s="185"/>
      <c r="L207"/>
      <c r="M207"/>
      <c r="N207"/>
      <c r="O207"/>
      <c r="P207"/>
      <c r="Q207"/>
    </row>
    <row r="208" spans="9:17" s="1" customFormat="1">
      <c r="I208" s="185"/>
      <c r="J208" s="185"/>
      <c r="K208" s="185"/>
      <c r="L208"/>
      <c r="M208"/>
      <c r="N208"/>
      <c r="O208"/>
      <c r="P208"/>
      <c r="Q208"/>
    </row>
    <row r="209" spans="9:17" s="1" customFormat="1">
      <c r="I209" s="185"/>
      <c r="J209" s="185"/>
      <c r="K209" s="185"/>
      <c r="L209"/>
      <c r="M209"/>
      <c r="N209"/>
      <c r="O209"/>
      <c r="P209"/>
      <c r="Q209"/>
    </row>
    <row r="210" spans="9:17" s="1" customFormat="1">
      <c r="I210" s="185"/>
      <c r="J210" s="185"/>
      <c r="K210" s="185"/>
      <c r="L210"/>
      <c r="M210"/>
      <c r="N210"/>
      <c r="O210"/>
      <c r="P210"/>
      <c r="Q210"/>
    </row>
    <row r="211" spans="9:17" s="1" customFormat="1">
      <c r="I211" s="185"/>
      <c r="J211" s="185"/>
      <c r="K211" s="185"/>
      <c r="L211"/>
      <c r="M211"/>
      <c r="N211"/>
      <c r="O211"/>
      <c r="P211"/>
      <c r="Q211"/>
    </row>
    <row r="212" spans="9:17" s="1" customFormat="1">
      <c r="I212" s="185"/>
      <c r="J212" s="185"/>
      <c r="K212" s="185"/>
      <c r="L212"/>
      <c r="M212"/>
      <c r="N212"/>
      <c r="O212"/>
      <c r="P212"/>
      <c r="Q212"/>
    </row>
    <row r="213" spans="9:17" s="1" customFormat="1">
      <c r="I213" s="185"/>
      <c r="J213" s="185"/>
      <c r="K213" s="185"/>
      <c r="L213"/>
      <c r="M213"/>
      <c r="N213"/>
      <c r="O213"/>
      <c r="P213"/>
      <c r="Q213"/>
    </row>
    <row r="214" spans="9:17" s="1" customFormat="1">
      <c r="I214" s="185"/>
      <c r="J214" s="185"/>
      <c r="K214" s="185"/>
      <c r="L214"/>
      <c r="M214"/>
      <c r="N214"/>
      <c r="O214"/>
      <c r="P214"/>
      <c r="Q214"/>
    </row>
    <row r="215" spans="9:17" s="1" customFormat="1">
      <c r="I215" s="185"/>
      <c r="J215" s="185"/>
      <c r="K215" s="185"/>
      <c r="L215"/>
      <c r="M215"/>
      <c r="N215"/>
      <c r="O215"/>
      <c r="P215"/>
      <c r="Q215"/>
    </row>
    <row r="216" spans="9:17" s="1" customFormat="1">
      <c r="I216" s="185"/>
      <c r="J216" s="185"/>
      <c r="K216" s="185"/>
      <c r="L216"/>
      <c r="M216"/>
      <c r="N216"/>
      <c r="O216"/>
      <c r="P216"/>
      <c r="Q216"/>
    </row>
    <row r="217" spans="9:17" s="1" customFormat="1">
      <c r="I217" s="185"/>
      <c r="J217" s="185"/>
      <c r="K217" s="185"/>
      <c r="L217"/>
      <c r="M217"/>
      <c r="N217"/>
      <c r="O217"/>
      <c r="P217"/>
      <c r="Q217"/>
    </row>
    <row r="218" spans="9:17" s="1" customFormat="1">
      <c r="I218" s="185"/>
      <c r="J218" s="185"/>
      <c r="K218" s="185"/>
      <c r="L218"/>
      <c r="M218"/>
      <c r="N218"/>
      <c r="O218"/>
      <c r="P218"/>
      <c r="Q218"/>
    </row>
    <row r="219" spans="9:17" s="1" customFormat="1">
      <c r="I219" s="185"/>
      <c r="J219" s="185"/>
      <c r="K219" s="185"/>
      <c r="L219"/>
      <c r="M219"/>
      <c r="N219"/>
      <c r="O219"/>
      <c r="P219"/>
      <c r="Q219"/>
    </row>
    <row r="220" spans="9:17" s="1" customFormat="1">
      <c r="I220" s="185"/>
      <c r="J220" s="185"/>
      <c r="K220" s="185"/>
      <c r="L220"/>
      <c r="M220"/>
      <c r="N220"/>
      <c r="O220"/>
      <c r="P220"/>
      <c r="Q220"/>
    </row>
    <row r="221" spans="9:17" s="1" customFormat="1">
      <c r="I221" s="185"/>
      <c r="J221" s="185"/>
      <c r="K221" s="185"/>
      <c r="L221"/>
      <c r="M221"/>
      <c r="N221"/>
      <c r="O221"/>
      <c r="P221"/>
      <c r="Q221"/>
    </row>
    <row r="222" spans="9:17" s="1" customFormat="1">
      <c r="I222" s="185"/>
      <c r="J222" s="185"/>
      <c r="K222" s="185"/>
      <c r="L222"/>
      <c r="M222"/>
      <c r="N222"/>
      <c r="O222"/>
      <c r="P222"/>
      <c r="Q222"/>
    </row>
    <row r="223" spans="9:17" s="1" customFormat="1">
      <c r="I223" s="185"/>
      <c r="J223" s="185"/>
      <c r="K223" s="185"/>
      <c r="L223"/>
      <c r="M223"/>
      <c r="N223"/>
      <c r="O223"/>
      <c r="P223"/>
      <c r="Q223"/>
    </row>
    <row r="224" spans="9:17" s="1" customFormat="1">
      <c r="I224" s="185"/>
      <c r="J224" s="185"/>
      <c r="K224" s="185"/>
      <c r="L224"/>
      <c r="M224"/>
      <c r="N224"/>
      <c r="O224"/>
      <c r="P224"/>
      <c r="Q224"/>
    </row>
    <row r="225" spans="9:17" s="1" customFormat="1">
      <c r="I225" s="185"/>
      <c r="J225" s="185"/>
      <c r="K225" s="185"/>
      <c r="L225"/>
      <c r="M225"/>
      <c r="N225"/>
      <c r="O225"/>
      <c r="P225"/>
      <c r="Q225"/>
    </row>
    <row r="226" spans="9:17" s="1" customFormat="1">
      <c r="I226" s="185"/>
      <c r="J226" s="185"/>
      <c r="K226" s="185"/>
      <c r="L226"/>
      <c r="M226"/>
      <c r="N226"/>
      <c r="O226"/>
      <c r="P226"/>
      <c r="Q226"/>
    </row>
    <row r="227" spans="9:17" s="1" customFormat="1">
      <c r="I227" s="185"/>
      <c r="J227" s="185"/>
      <c r="K227" s="185"/>
      <c r="L227"/>
      <c r="M227"/>
      <c r="N227"/>
      <c r="O227"/>
      <c r="P227"/>
      <c r="Q227"/>
    </row>
    <row r="228" spans="9:17" s="1" customFormat="1">
      <c r="I228" s="185"/>
      <c r="J228" s="185"/>
      <c r="K228" s="185"/>
      <c r="L228"/>
      <c r="M228"/>
      <c r="N228"/>
      <c r="O228"/>
      <c r="P228"/>
      <c r="Q228"/>
    </row>
    <row r="229" spans="9:17" s="1" customFormat="1">
      <c r="I229" s="185"/>
      <c r="J229" s="185"/>
      <c r="K229" s="185"/>
      <c r="L229"/>
      <c r="M229"/>
      <c r="N229"/>
      <c r="O229"/>
      <c r="P229"/>
      <c r="Q229"/>
    </row>
    <row r="230" spans="9:17" s="1" customFormat="1">
      <c r="I230" s="185"/>
      <c r="J230" s="185"/>
      <c r="K230" s="185"/>
      <c r="L230"/>
      <c r="M230"/>
      <c r="N230"/>
      <c r="O230"/>
      <c r="P230"/>
      <c r="Q230"/>
    </row>
    <row r="231" spans="9:17" s="1" customFormat="1">
      <c r="I231" s="185"/>
      <c r="J231" s="185"/>
      <c r="K231" s="185"/>
      <c r="L231"/>
      <c r="M231"/>
      <c r="N231"/>
      <c r="O231"/>
      <c r="P231"/>
      <c r="Q231"/>
    </row>
    <row r="232" spans="9:17" s="1" customFormat="1">
      <c r="I232" s="185"/>
      <c r="J232" s="185"/>
      <c r="K232" s="185"/>
      <c r="L232"/>
      <c r="M232"/>
      <c r="N232"/>
      <c r="O232"/>
      <c r="P232"/>
      <c r="Q232"/>
    </row>
    <row r="233" spans="9:17" s="1" customFormat="1">
      <c r="I233" s="185"/>
      <c r="J233" s="185"/>
      <c r="K233" s="185"/>
      <c r="L233"/>
      <c r="M233"/>
      <c r="N233"/>
      <c r="O233"/>
      <c r="P233"/>
      <c r="Q233"/>
    </row>
    <row r="234" spans="9:17" s="1" customFormat="1">
      <c r="I234" s="185"/>
      <c r="J234" s="185"/>
      <c r="K234" s="185"/>
      <c r="L234"/>
      <c r="M234"/>
      <c r="N234"/>
      <c r="O234"/>
      <c r="P234"/>
      <c r="Q234"/>
    </row>
    <row r="235" spans="9:17" s="1" customFormat="1">
      <c r="I235" s="185"/>
      <c r="J235" s="185"/>
      <c r="K235" s="185"/>
      <c r="L235"/>
      <c r="M235"/>
      <c r="N235"/>
      <c r="O235"/>
      <c r="P235"/>
      <c r="Q235"/>
    </row>
    <row r="236" spans="9:17" s="1" customFormat="1">
      <c r="I236" s="185"/>
      <c r="J236" s="185"/>
      <c r="K236" s="185"/>
      <c r="L236"/>
      <c r="M236"/>
      <c r="N236"/>
      <c r="O236"/>
      <c r="P236"/>
      <c r="Q236"/>
    </row>
    <row r="237" spans="9:17" s="1" customFormat="1">
      <c r="I237" s="185"/>
      <c r="J237" s="185"/>
      <c r="K237" s="185"/>
      <c r="L237"/>
      <c r="M237"/>
      <c r="N237"/>
      <c r="O237"/>
      <c r="P237"/>
      <c r="Q237"/>
    </row>
    <row r="238" spans="9:17" s="1" customFormat="1">
      <c r="I238" s="185"/>
      <c r="J238" s="185"/>
      <c r="K238" s="185"/>
      <c r="L238"/>
      <c r="M238"/>
      <c r="N238"/>
      <c r="O238"/>
      <c r="P238"/>
      <c r="Q238"/>
    </row>
    <row r="239" spans="9:17" s="1" customFormat="1">
      <c r="I239" s="185"/>
      <c r="J239" s="185"/>
      <c r="K239" s="185"/>
      <c r="L239"/>
      <c r="M239"/>
      <c r="N239"/>
      <c r="O239"/>
      <c r="P239"/>
      <c r="Q239"/>
    </row>
    <row r="240" spans="9:17" s="1" customFormat="1">
      <c r="I240" s="185"/>
      <c r="J240" s="185"/>
      <c r="K240" s="185"/>
      <c r="L240"/>
      <c r="M240"/>
      <c r="N240"/>
      <c r="O240"/>
      <c r="P240"/>
      <c r="Q240"/>
    </row>
    <row r="241" spans="9:17" s="1" customFormat="1">
      <c r="I241" s="185"/>
      <c r="J241" s="185"/>
      <c r="K241" s="185"/>
      <c r="L241"/>
      <c r="M241"/>
      <c r="N241"/>
      <c r="O241"/>
      <c r="P241"/>
      <c r="Q241"/>
    </row>
    <row r="242" spans="9:17" s="1" customFormat="1">
      <c r="I242" s="185"/>
      <c r="J242" s="185"/>
      <c r="K242" s="185"/>
      <c r="L242"/>
      <c r="M242"/>
      <c r="N242"/>
      <c r="O242"/>
      <c r="P242"/>
      <c r="Q242"/>
    </row>
    <row r="243" spans="9:17" s="1" customFormat="1">
      <c r="I243" s="185"/>
      <c r="J243" s="185"/>
      <c r="K243" s="185"/>
      <c r="L243"/>
      <c r="M243"/>
      <c r="N243"/>
      <c r="O243"/>
      <c r="P243"/>
      <c r="Q243"/>
    </row>
    <row r="244" spans="9:17" s="1" customFormat="1">
      <c r="I244" s="185"/>
      <c r="J244" s="185"/>
      <c r="K244" s="185"/>
      <c r="L244"/>
      <c r="M244"/>
      <c r="N244"/>
      <c r="O244"/>
      <c r="P244"/>
      <c r="Q244"/>
    </row>
    <row r="245" spans="9:17" s="1" customFormat="1">
      <c r="I245" s="185"/>
      <c r="J245" s="185"/>
      <c r="K245" s="185"/>
      <c r="L245"/>
      <c r="M245"/>
      <c r="N245"/>
      <c r="O245"/>
      <c r="P245"/>
      <c r="Q245"/>
    </row>
    <row r="246" spans="9:17" s="1" customFormat="1">
      <c r="I246" s="185"/>
      <c r="J246" s="185"/>
      <c r="K246" s="185"/>
      <c r="L246"/>
      <c r="M246"/>
      <c r="N246"/>
      <c r="O246"/>
      <c r="P246"/>
      <c r="Q246"/>
    </row>
    <row r="247" spans="9:17" s="1" customFormat="1">
      <c r="I247" s="185"/>
      <c r="J247" s="185"/>
      <c r="K247" s="185"/>
      <c r="L247"/>
      <c r="M247"/>
      <c r="N247"/>
      <c r="O247"/>
      <c r="P247"/>
      <c r="Q247"/>
    </row>
    <row r="248" spans="9:17" s="1" customFormat="1">
      <c r="I248" s="185"/>
      <c r="J248" s="185"/>
      <c r="K248" s="185"/>
      <c r="L248"/>
      <c r="M248"/>
      <c r="N248"/>
      <c r="O248"/>
      <c r="P248"/>
      <c r="Q248"/>
    </row>
    <row r="249" spans="9:17" s="1" customFormat="1">
      <c r="I249" s="185"/>
      <c r="J249" s="185"/>
      <c r="K249" s="185"/>
      <c r="L249"/>
      <c r="M249"/>
      <c r="N249"/>
      <c r="O249"/>
      <c r="P249"/>
      <c r="Q249"/>
    </row>
    <row r="250" spans="9:17" s="1" customFormat="1">
      <c r="I250" s="185"/>
      <c r="J250" s="185"/>
      <c r="K250" s="185"/>
      <c r="L250"/>
      <c r="M250"/>
      <c r="N250"/>
      <c r="O250"/>
      <c r="P250"/>
      <c r="Q250"/>
    </row>
    <row r="251" spans="9:17" s="1" customFormat="1">
      <c r="I251" s="185"/>
      <c r="J251" s="185"/>
      <c r="K251" s="185"/>
      <c r="L251"/>
      <c r="M251"/>
      <c r="N251"/>
      <c r="O251"/>
      <c r="P251"/>
      <c r="Q251"/>
    </row>
    <row r="252" spans="9:17" s="1" customFormat="1">
      <c r="I252" s="185"/>
      <c r="J252" s="185"/>
      <c r="K252" s="185"/>
      <c r="L252"/>
      <c r="M252"/>
      <c r="N252"/>
      <c r="O252"/>
      <c r="P252"/>
      <c r="Q252"/>
    </row>
    <row r="253" spans="9:17" s="1" customFormat="1">
      <c r="I253" s="185"/>
      <c r="J253" s="185"/>
      <c r="K253" s="185"/>
      <c r="L253"/>
      <c r="M253"/>
      <c r="N253"/>
      <c r="O253"/>
      <c r="P253"/>
      <c r="Q253"/>
    </row>
    <row r="254" spans="9:17" s="1" customFormat="1">
      <c r="I254" s="185"/>
      <c r="J254" s="185"/>
      <c r="K254" s="185"/>
      <c r="L254"/>
      <c r="M254"/>
      <c r="N254"/>
      <c r="O254"/>
      <c r="P254"/>
      <c r="Q254"/>
    </row>
    <row r="255" spans="9:17" s="1" customFormat="1">
      <c r="I255" s="185"/>
      <c r="J255" s="185"/>
      <c r="K255" s="185"/>
      <c r="L255"/>
      <c r="M255"/>
      <c r="N255"/>
      <c r="O255"/>
      <c r="P255"/>
      <c r="Q255"/>
    </row>
    <row r="256" spans="9:17" s="1" customFormat="1">
      <c r="I256" s="185"/>
      <c r="J256" s="185"/>
      <c r="K256" s="185"/>
      <c r="L256"/>
      <c r="M256"/>
      <c r="N256"/>
      <c r="O256"/>
      <c r="P256"/>
      <c r="Q256"/>
    </row>
    <row r="257" spans="9:17" s="1" customFormat="1">
      <c r="I257" s="185"/>
      <c r="J257" s="185"/>
      <c r="K257" s="185"/>
      <c r="L257"/>
      <c r="M257"/>
      <c r="N257"/>
      <c r="O257"/>
      <c r="P257"/>
      <c r="Q257"/>
    </row>
    <row r="258" spans="9:17" s="1" customFormat="1">
      <c r="I258" s="185"/>
      <c r="J258" s="185"/>
      <c r="K258" s="185"/>
      <c r="L258"/>
      <c r="M258"/>
      <c r="N258"/>
      <c r="O258"/>
      <c r="P258"/>
      <c r="Q258"/>
    </row>
    <row r="259" spans="9:17" s="1" customFormat="1">
      <c r="I259" s="185"/>
      <c r="J259" s="185"/>
      <c r="K259" s="185"/>
      <c r="L259"/>
      <c r="M259"/>
      <c r="N259"/>
      <c r="O259"/>
      <c r="P259"/>
      <c r="Q259"/>
    </row>
    <row r="260" spans="9:17" s="1" customFormat="1">
      <c r="I260" s="185"/>
      <c r="J260" s="185"/>
      <c r="K260" s="185"/>
      <c r="L260"/>
      <c r="M260"/>
      <c r="N260"/>
      <c r="O260"/>
      <c r="P260"/>
      <c r="Q260"/>
    </row>
    <row r="261" spans="9:17" s="1" customFormat="1">
      <c r="I261" s="185"/>
      <c r="J261" s="185"/>
      <c r="K261" s="185"/>
      <c r="L261"/>
      <c r="M261"/>
      <c r="N261"/>
      <c r="O261"/>
      <c r="P261"/>
      <c r="Q261"/>
    </row>
    <row r="262" spans="9:17" s="1" customFormat="1">
      <c r="I262" s="185"/>
      <c r="J262" s="185"/>
      <c r="K262" s="185"/>
      <c r="L262"/>
      <c r="M262"/>
      <c r="N262"/>
      <c r="O262"/>
      <c r="P262"/>
      <c r="Q262"/>
    </row>
    <row r="263" spans="9:17" s="1" customFormat="1">
      <c r="I263" s="185"/>
      <c r="J263" s="185"/>
      <c r="K263" s="185"/>
      <c r="L263"/>
      <c r="M263"/>
      <c r="N263"/>
      <c r="O263"/>
      <c r="P263"/>
      <c r="Q263"/>
    </row>
    <row r="264" spans="9:17" s="1" customFormat="1">
      <c r="I264" s="185"/>
      <c r="J264" s="185"/>
      <c r="K264" s="185"/>
      <c r="L264"/>
      <c r="M264"/>
      <c r="N264"/>
      <c r="O264"/>
      <c r="P264"/>
      <c r="Q264"/>
    </row>
    <row r="265" spans="9:17" s="1" customFormat="1">
      <c r="I265" s="185"/>
      <c r="J265" s="185"/>
      <c r="K265" s="185"/>
      <c r="L265"/>
      <c r="M265"/>
      <c r="N265"/>
      <c r="O265"/>
      <c r="P265"/>
      <c r="Q265"/>
    </row>
    <row r="266" spans="9:17" s="1" customFormat="1">
      <c r="I266" s="185"/>
      <c r="J266" s="185"/>
      <c r="K266" s="185"/>
      <c r="L266"/>
      <c r="M266"/>
      <c r="N266"/>
      <c r="O266"/>
      <c r="P266"/>
      <c r="Q266"/>
    </row>
    <row r="267" spans="9:17" s="1" customFormat="1">
      <c r="I267" s="185"/>
      <c r="J267" s="185"/>
      <c r="K267" s="185"/>
      <c r="L267"/>
      <c r="M267"/>
      <c r="N267"/>
      <c r="O267"/>
      <c r="P267"/>
      <c r="Q267"/>
    </row>
    <row r="268" spans="9:17" s="1" customFormat="1">
      <c r="I268" s="185"/>
      <c r="J268" s="185"/>
      <c r="K268" s="185"/>
      <c r="L268"/>
      <c r="M268"/>
      <c r="N268"/>
      <c r="O268"/>
      <c r="P268"/>
      <c r="Q268"/>
    </row>
    <row r="269" spans="9:17" s="1" customFormat="1">
      <c r="I269" s="185"/>
      <c r="J269" s="185"/>
      <c r="K269" s="185"/>
      <c r="L269"/>
      <c r="M269"/>
      <c r="N269"/>
      <c r="O269"/>
      <c r="P269"/>
      <c r="Q269"/>
    </row>
    <row r="270" spans="9:17" s="1" customFormat="1">
      <c r="I270" s="185"/>
      <c r="J270" s="185"/>
      <c r="K270" s="185"/>
      <c r="L270"/>
      <c r="M270"/>
      <c r="N270"/>
      <c r="O270"/>
      <c r="P270"/>
      <c r="Q270"/>
    </row>
    <row r="271" spans="9:17" s="1" customFormat="1">
      <c r="I271" s="185"/>
      <c r="J271" s="185"/>
      <c r="K271" s="185"/>
      <c r="L271"/>
      <c r="M271"/>
      <c r="N271"/>
      <c r="O271"/>
      <c r="P271"/>
      <c r="Q271"/>
    </row>
    <row r="272" spans="9:17" s="1" customFormat="1">
      <c r="I272" s="185"/>
      <c r="J272" s="185"/>
      <c r="K272" s="185"/>
      <c r="L272"/>
      <c r="M272"/>
      <c r="N272"/>
      <c r="O272"/>
      <c r="P272"/>
      <c r="Q272"/>
    </row>
    <row r="273" spans="9:17" s="1" customFormat="1">
      <c r="I273" s="185"/>
      <c r="J273" s="185"/>
      <c r="K273" s="185"/>
      <c r="L273"/>
      <c r="M273"/>
      <c r="N273"/>
      <c r="O273"/>
      <c r="P273"/>
      <c r="Q273"/>
    </row>
    <row r="274" spans="9:17" s="1" customFormat="1">
      <c r="I274" s="185"/>
      <c r="J274" s="185"/>
      <c r="K274" s="185"/>
      <c r="L274"/>
      <c r="M274"/>
      <c r="N274"/>
      <c r="O274"/>
      <c r="P274"/>
      <c r="Q274"/>
    </row>
    <row r="275" spans="9:17" s="1" customFormat="1">
      <c r="I275" s="185"/>
      <c r="J275" s="185"/>
      <c r="K275" s="185"/>
      <c r="L275"/>
      <c r="M275"/>
      <c r="N275"/>
      <c r="O275"/>
      <c r="P275"/>
      <c r="Q275"/>
    </row>
    <row r="276" spans="9:17" s="1" customFormat="1">
      <c r="I276" s="185"/>
      <c r="J276" s="185"/>
      <c r="K276" s="185"/>
      <c r="L276"/>
      <c r="M276"/>
      <c r="N276"/>
      <c r="O276"/>
      <c r="P276"/>
      <c r="Q276"/>
    </row>
    <row r="277" spans="9:17" s="1" customFormat="1">
      <c r="I277" s="185"/>
      <c r="J277" s="185"/>
      <c r="K277" s="185"/>
      <c r="L277"/>
      <c r="M277"/>
      <c r="N277"/>
      <c r="O277"/>
      <c r="P277"/>
      <c r="Q277"/>
    </row>
    <row r="278" spans="9:17" s="1" customFormat="1">
      <c r="I278" s="185"/>
      <c r="J278" s="185"/>
      <c r="K278" s="185"/>
      <c r="L278"/>
      <c r="M278"/>
      <c r="N278"/>
      <c r="O278"/>
      <c r="P278"/>
      <c r="Q278"/>
    </row>
    <row r="279" spans="9:17" s="1" customFormat="1">
      <c r="I279" s="185"/>
      <c r="J279" s="185"/>
      <c r="K279" s="185"/>
      <c r="L279"/>
      <c r="M279"/>
      <c r="N279"/>
      <c r="O279"/>
      <c r="P279"/>
      <c r="Q279"/>
    </row>
    <row r="280" spans="9:17" s="1" customFormat="1">
      <c r="I280" s="185"/>
      <c r="J280" s="185"/>
      <c r="K280" s="185"/>
      <c r="L280"/>
      <c r="M280"/>
      <c r="N280"/>
      <c r="O280"/>
      <c r="P280"/>
      <c r="Q280"/>
    </row>
    <row r="281" spans="9:17" s="1" customFormat="1">
      <c r="I281" s="185"/>
      <c r="J281" s="185"/>
      <c r="K281" s="185"/>
      <c r="L281"/>
      <c r="M281"/>
      <c r="N281"/>
      <c r="O281"/>
      <c r="P281"/>
      <c r="Q281"/>
    </row>
    <row r="282" spans="9:17" s="1" customFormat="1">
      <c r="I282" s="185"/>
      <c r="J282" s="185"/>
      <c r="K282" s="185"/>
      <c r="L282"/>
      <c r="M282"/>
      <c r="N282"/>
      <c r="O282"/>
      <c r="P282"/>
      <c r="Q282"/>
    </row>
    <row r="283" spans="9:17" s="1" customFormat="1">
      <c r="I283" s="185"/>
      <c r="J283" s="185"/>
      <c r="K283" s="185"/>
      <c r="L283"/>
      <c r="M283"/>
      <c r="N283"/>
      <c r="O283"/>
      <c r="P283"/>
      <c r="Q283"/>
    </row>
    <row r="284" spans="9:17" s="1" customFormat="1">
      <c r="I284" s="185"/>
      <c r="J284" s="185"/>
      <c r="K284" s="185"/>
      <c r="L284"/>
      <c r="M284"/>
      <c r="N284"/>
      <c r="O284"/>
      <c r="P284"/>
      <c r="Q284"/>
    </row>
    <row r="285" spans="9:17" s="1" customFormat="1">
      <c r="I285" s="185"/>
      <c r="J285" s="185"/>
      <c r="K285" s="185"/>
      <c r="L285"/>
      <c r="M285"/>
      <c r="N285"/>
      <c r="O285"/>
      <c r="P285"/>
      <c r="Q285"/>
    </row>
    <row r="286" spans="9:17" s="1" customFormat="1">
      <c r="I286" s="185"/>
      <c r="J286" s="185"/>
      <c r="K286" s="185"/>
      <c r="L286"/>
      <c r="M286"/>
      <c r="N286"/>
      <c r="O286"/>
      <c r="P286"/>
      <c r="Q286"/>
    </row>
    <row r="287" spans="9:17" s="1" customFormat="1">
      <c r="I287" s="185"/>
      <c r="J287" s="185"/>
      <c r="K287" s="185"/>
      <c r="L287"/>
      <c r="M287"/>
      <c r="N287"/>
      <c r="O287"/>
      <c r="P287"/>
      <c r="Q287"/>
    </row>
    <row r="288" spans="9:17" s="1" customFormat="1">
      <c r="I288" s="185"/>
      <c r="J288" s="185"/>
      <c r="K288" s="185"/>
      <c r="L288"/>
      <c r="M288"/>
      <c r="N288"/>
      <c r="O288"/>
      <c r="P288"/>
      <c r="Q288"/>
    </row>
    <row r="289" spans="9:17" s="1" customFormat="1">
      <c r="I289" s="185"/>
      <c r="J289" s="185"/>
      <c r="K289" s="185"/>
      <c r="L289"/>
      <c r="M289"/>
      <c r="N289"/>
      <c r="O289"/>
      <c r="P289"/>
      <c r="Q289"/>
    </row>
    <row r="290" spans="9:17" s="1" customFormat="1">
      <c r="I290" s="185"/>
      <c r="J290" s="185"/>
      <c r="K290" s="185"/>
      <c r="L290"/>
      <c r="M290"/>
      <c r="N290"/>
      <c r="O290"/>
      <c r="P290"/>
      <c r="Q290"/>
    </row>
    <row r="291" spans="9:17" s="1" customFormat="1">
      <c r="I291" s="185"/>
      <c r="J291" s="185"/>
      <c r="K291" s="185"/>
      <c r="L291"/>
      <c r="M291"/>
      <c r="N291"/>
      <c r="O291"/>
      <c r="P291"/>
      <c r="Q291"/>
    </row>
    <row r="292" spans="9:17" s="1" customFormat="1">
      <c r="I292" s="185"/>
      <c r="J292" s="185"/>
      <c r="K292" s="185"/>
      <c r="L292"/>
      <c r="M292"/>
      <c r="N292"/>
      <c r="O292"/>
      <c r="P292"/>
      <c r="Q292"/>
    </row>
    <row r="293" spans="9:17" s="1" customFormat="1">
      <c r="I293" s="185"/>
      <c r="J293" s="185"/>
      <c r="K293" s="185"/>
      <c r="L293"/>
      <c r="M293"/>
      <c r="N293"/>
      <c r="O293"/>
      <c r="P293"/>
      <c r="Q293"/>
    </row>
    <row r="294" spans="9:17" s="1" customFormat="1">
      <c r="I294" s="185"/>
      <c r="J294" s="185"/>
      <c r="K294" s="185"/>
      <c r="L294"/>
      <c r="M294"/>
      <c r="N294"/>
      <c r="O294"/>
      <c r="P294"/>
      <c r="Q294"/>
    </row>
    <row r="295" spans="9:17" s="1" customFormat="1">
      <c r="I295" s="185"/>
      <c r="J295" s="185"/>
      <c r="K295" s="185"/>
      <c r="L295"/>
      <c r="M295"/>
      <c r="N295"/>
      <c r="O295"/>
      <c r="P295"/>
      <c r="Q295"/>
    </row>
    <row r="296" spans="9:17" s="1" customFormat="1">
      <c r="I296" s="185"/>
      <c r="J296" s="185"/>
      <c r="K296" s="185"/>
      <c r="L296"/>
      <c r="M296"/>
      <c r="N296"/>
      <c r="O296"/>
      <c r="P296"/>
      <c r="Q296"/>
    </row>
    <row r="297" spans="9:17" s="1" customFormat="1">
      <c r="I297" s="185"/>
      <c r="J297" s="185"/>
      <c r="K297" s="185"/>
      <c r="L297"/>
      <c r="M297"/>
      <c r="N297"/>
      <c r="O297"/>
      <c r="P297"/>
      <c r="Q297"/>
    </row>
    <row r="298" spans="9:17" s="1" customFormat="1">
      <c r="I298" s="185"/>
      <c r="J298" s="185"/>
      <c r="K298" s="185"/>
      <c r="L298"/>
      <c r="M298"/>
      <c r="N298"/>
      <c r="O298"/>
      <c r="P298"/>
      <c r="Q298"/>
    </row>
    <row r="299" spans="9:17" s="1" customFormat="1">
      <c r="I299" s="185"/>
      <c r="J299" s="185"/>
      <c r="K299" s="185"/>
      <c r="L299"/>
      <c r="M299"/>
      <c r="N299"/>
      <c r="O299"/>
      <c r="P299"/>
      <c r="Q299"/>
    </row>
    <row r="300" spans="9:17" s="1" customFormat="1">
      <c r="I300" s="185"/>
      <c r="J300" s="185"/>
      <c r="K300" s="185"/>
      <c r="L300"/>
      <c r="M300"/>
      <c r="N300"/>
      <c r="O300"/>
      <c r="P300"/>
      <c r="Q300"/>
    </row>
    <row r="301" spans="9:17" s="1" customFormat="1">
      <c r="I301" s="185"/>
      <c r="J301" s="185"/>
      <c r="K301" s="185"/>
      <c r="L301"/>
      <c r="M301"/>
      <c r="N301"/>
      <c r="O301"/>
      <c r="P301"/>
      <c r="Q301"/>
    </row>
    <row r="302" spans="9:17" s="1" customFormat="1">
      <c r="I302" s="185"/>
      <c r="J302" s="185"/>
      <c r="K302" s="185"/>
      <c r="L302"/>
      <c r="M302"/>
      <c r="N302"/>
      <c r="O302"/>
      <c r="P302"/>
      <c r="Q302"/>
    </row>
    <row r="303" spans="9:17" s="1" customFormat="1">
      <c r="I303" s="185"/>
      <c r="J303" s="185"/>
      <c r="K303" s="185"/>
      <c r="L303"/>
      <c r="M303"/>
      <c r="N303"/>
      <c r="O303"/>
      <c r="P303"/>
      <c r="Q303"/>
    </row>
    <row r="304" spans="9:17" s="1" customFormat="1">
      <c r="I304" s="185"/>
      <c r="J304" s="185"/>
      <c r="K304" s="185"/>
      <c r="L304"/>
      <c r="M304"/>
      <c r="N304"/>
      <c r="O304"/>
      <c r="P304"/>
      <c r="Q304"/>
    </row>
    <row r="305" spans="9:17" s="1" customFormat="1">
      <c r="I305" s="185"/>
      <c r="J305" s="185"/>
      <c r="K305" s="185"/>
      <c r="L305"/>
      <c r="M305"/>
      <c r="N305"/>
      <c r="O305"/>
      <c r="P305"/>
      <c r="Q305"/>
    </row>
    <row r="306" spans="9:17" s="1" customFormat="1">
      <c r="I306" s="185"/>
      <c r="J306" s="185"/>
      <c r="K306" s="185"/>
      <c r="L306"/>
      <c r="M306"/>
      <c r="N306"/>
      <c r="O306"/>
      <c r="P306"/>
      <c r="Q306"/>
    </row>
    <row r="307" spans="9:17" s="1" customFormat="1">
      <c r="I307" s="185"/>
      <c r="J307" s="185"/>
      <c r="K307" s="185"/>
      <c r="L307"/>
      <c r="M307"/>
      <c r="N307"/>
      <c r="O307"/>
      <c r="P307"/>
      <c r="Q307"/>
    </row>
    <row r="308" spans="9:17" s="1" customFormat="1">
      <c r="I308" s="185"/>
      <c r="J308" s="185"/>
      <c r="K308" s="185"/>
      <c r="L308"/>
      <c r="M308"/>
      <c r="N308"/>
      <c r="O308"/>
      <c r="P308"/>
      <c r="Q308"/>
    </row>
    <row r="309" spans="9:17" s="1" customFormat="1">
      <c r="I309" s="185"/>
      <c r="J309" s="185"/>
      <c r="K309" s="185"/>
      <c r="L309"/>
      <c r="M309"/>
      <c r="N309"/>
      <c r="O309"/>
      <c r="P309"/>
      <c r="Q309"/>
    </row>
    <row r="310" spans="9:17" s="1" customFormat="1">
      <c r="I310" s="185"/>
      <c r="J310" s="185"/>
      <c r="K310" s="185"/>
      <c r="L310"/>
      <c r="M310"/>
      <c r="N310"/>
      <c r="O310"/>
      <c r="P310"/>
      <c r="Q310"/>
    </row>
    <row r="311" spans="9:17" s="1" customFormat="1">
      <c r="I311" s="185"/>
      <c r="J311" s="185"/>
      <c r="K311" s="185"/>
      <c r="L311"/>
      <c r="M311"/>
      <c r="N311"/>
      <c r="O311"/>
      <c r="P311"/>
      <c r="Q311"/>
    </row>
    <row r="312" spans="9:17" s="1" customFormat="1">
      <c r="I312" s="185"/>
      <c r="J312" s="185"/>
      <c r="K312" s="185"/>
      <c r="L312"/>
      <c r="M312"/>
      <c r="N312"/>
      <c r="O312"/>
      <c r="P312"/>
      <c r="Q312"/>
    </row>
    <row r="313" spans="9:17" s="1" customFormat="1">
      <c r="I313" s="185"/>
      <c r="J313" s="185"/>
      <c r="K313" s="185"/>
      <c r="L313"/>
      <c r="M313"/>
      <c r="N313"/>
      <c r="O313"/>
      <c r="P313"/>
      <c r="Q313"/>
    </row>
    <row r="314" spans="9:17" s="1" customFormat="1">
      <c r="I314" s="185"/>
      <c r="J314" s="185"/>
      <c r="K314" s="185"/>
      <c r="L314"/>
      <c r="M314"/>
      <c r="N314"/>
      <c r="O314"/>
      <c r="P314"/>
      <c r="Q314"/>
    </row>
    <row r="315" spans="9:17" s="1" customFormat="1">
      <c r="I315" s="185"/>
      <c r="J315" s="185"/>
      <c r="K315" s="185"/>
      <c r="L315"/>
      <c r="M315"/>
      <c r="N315"/>
      <c r="O315"/>
      <c r="P315"/>
      <c r="Q315"/>
    </row>
    <row r="316" spans="9:17" s="1" customFormat="1">
      <c r="I316" s="185"/>
      <c r="J316" s="185"/>
      <c r="K316" s="185"/>
      <c r="L316"/>
      <c r="M316"/>
      <c r="N316"/>
      <c r="O316"/>
      <c r="P316"/>
      <c r="Q316"/>
    </row>
    <row r="317" spans="9:17" s="1" customFormat="1">
      <c r="I317" s="185"/>
      <c r="J317" s="185"/>
      <c r="K317" s="185"/>
      <c r="L317"/>
      <c r="M317"/>
      <c r="N317"/>
      <c r="O317"/>
      <c r="P317"/>
      <c r="Q317"/>
    </row>
    <row r="318" spans="9:17" s="1" customFormat="1">
      <c r="I318" s="185"/>
      <c r="J318" s="185"/>
      <c r="K318" s="185"/>
      <c r="L318"/>
      <c r="M318"/>
      <c r="N318"/>
      <c r="O318"/>
      <c r="P318"/>
      <c r="Q318"/>
    </row>
    <row r="319" spans="9:17" s="1" customFormat="1">
      <c r="I319" s="185"/>
      <c r="J319" s="185"/>
      <c r="K319" s="185"/>
      <c r="L319"/>
      <c r="M319"/>
      <c r="N319"/>
      <c r="O319"/>
      <c r="P319"/>
      <c r="Q319"/>
    </row>
    <row r="320" spans="9:17" s="1" customFormat="1">
      <c r="I320" s="185"/>
      <c r="J320" s="185"/>
      <c r="K320" s="185"/>
      <c r="L320"/>
      <c r="M320"/>
      <c r="N320"/>
      <c r="O320"/>
      <c r="P320"/>
      <c r="Q320"/>
    </row>
    <row r="321" spans="9:17" s="1" customFormat="1">
      <c r="I321" s="185"/>
      <c r="J321" s="185"/>
      <c r="K321" s="185"/>
      <c r="L321"/>
      <c r="M321"/>
      <c r="N321"/>
      <c r="O321"/>
      <c r="P321"/>
      <c r="Q321"/>
    </row>
    <row r="322" spans="9:17" s="1" customFormat="1">
      <c r="I322" s="185"/>
      <c r="J322" s="185"/>
      <c r="K322" s="185"/>
      <c r="L322"/>
      <c r="M322"/>
      <c r="N322"/>
      <c r="O322"/>
      <c r="P322"/>
      <c r="Q322"/>
    </row>
    <row r="323" spans="9:17" s="1" customFormat="1">
      <c r="I323" s="185"/>
      <c r="J323" s="185"/>
      <c r="K323" s="185"/>
      <c r="L323"/>
      <c r="M323"/>
      <c r="N323"/>
      <c r="O323"/>
      <c r="P323"/>
      <c r="Q323"/>
    </row>
    <row r="324" spans="9:17" s="1" customFormat="1">
      <c r="I324" s="185"/>
      <c r="J324" s="185"/>
      <c r="K324" s="185"/>
      <c r="L324"/>
      <c r="M324"/>
      <c r="N324"/>
      <c r="O324"/>
      <c r="P324"/>
      <c r="Q324"/>
    </row>
    <row r="325" spans="9:17" s="1" customFormat="1">
      <c r="I325" s="185"/>
      <c r="J325" s="185"/>
      <c r="K325" s="185"/>
      <c r="L325"/>
      <c r="M325"/>
      <c r="N325"/>
      <c r="O325"/>
      <c r="P325"/>
      <c r="Q325"/>
    </row>
    <row r="326" spans="9:17" s="1" customFormat="1">
      <c r="I326" s="185"/>
      <c r="J326" s="185"/>
      <c r="K326" s="185"/>
      <c r="L326"/>
      <c r="M326"/>
      <c r="N326"/>
      <c r="O326"/>
      <c r="P326"/>
      <c r="Q326"/>
    </row>
    <row r="327" spans="9:17" s="1" customFormat="1">
      <c r="I327" s="185"/>
      <c r="J327" s="185"/>
      <c r="K327" s="185"/>
      <c r="L327"/>
      <c r="M327"/>
      <c r="N327"/>
      <c r="O327"/>
      <c r="P327"/>
      <c r="Q327"/>
    </row>
    <row r="328" spans="9:17" s="1" customFormat="1">
      <c r="I328" s="185"/>
      <c r="J328" s="185"/>
      <c r="K328" s="185"/>
      <c r="L328"/>
      <c r="M328"/>
      <c r="N328"/>
      <c r="O328"/>
      <c r="P328"/>
      <c r="Q328"/>
    </row>
    <row r="329" spans="9:17" s="1" customFormat="1">
      <c r="I329" s="185"/>
      <c r="J329" s="185"/>
      <c r="K329" s="185"/>
      <c r="L329"/>
      <c r="M329"/>
      <c r="N329"/>
      <c r="O329"/>
      <c r="P329"/>
      <c r="Q329"/>
    </row>
    <row r="330" spans="9:17" s="1" customFormat="1">
      <c r="I330" s="185"/>
      <c r="J330" s="185"/>
      <c r="K330" s="185"/>
      <c r="L330"/>
      <c r="M330"/>
      <c r="N330"/>
      <c r="O330"/>
      <c r="P330"/>
      <c r="Q330"/>
    </row>
    <row r="331" spans="9:17" s="1" customFormat="1">
      <c r="I331" s="185"/>
      <c r="J331" s="185"/>
      <c r="K331" s="185"/>
      <c r="L331"/>
      <c r="M331"/>
      <c r="N331"/>
      <c r="O331"/>
      <c r="P331"/>
      <c r="Q331"/>
    </row>
    <row r="332" spans="9:17" s="1" customFormat="1">
      <c r="I332" s="185"/>
      <c r="J332" s="185"/>
      <c r="K332" s="185"/>
      <c r="L332"/>
      <c r="M332"/>
      <c r="N332"/>
      <c r="O332"/>
      <c r="P332"/>
      <c r="Q332"/>
    </row>
    <row r="333" spans="9:17" s="1" customFormat="1">
      <c r="I333" s="185"/>
      <c r="J333" s="185"/>
      <c r="K333" s="185"/>
      <c r="L333"/>
      <c r="M333"/>
      <c r="N333"/>
      <c r="O333"/>
      <c r="P333"/>
      <c r="Q333"/>
    </row>
    <row r="334" spans="9:17" s="1" customFormat="1">
      <c r="I334" s="185"/>
      <c r="J334" s="185"/>
      <c r="K334" s="185"/>
      <c r="L334"/>
      <c r="M334"/>
      <c r="N334"/>
      <c r="O334"/>
      <c r="P334"/>
      <c r="Q334"/>
    </row>
    <row r="335" spans="9:17" s="1" customFormat="1">
      <c r="I335" s="185"/>
      <c r="J335" s="185"/>
      <c r="K335" s="185"/>
      <c r="L335"/>
      <c r="M335"/>
      <c r="N335"/>
      <c r="O335"/>
      <c r="P335"/>
      <c r="Q335"/>
    </row>
    <row r="336" spans="9:17" s="1" customFormat="1">
      <c r="I336" s="185"/>
      <c r="J336" s="185"/>
      <c r="K336" s="185"/>
      <c r="L336"/>
      <c r="M336"/>
      <c r="N336"/>
      <c r="O336"/>
      <c r="P336"/>
      <c r="Q336"/>
    </row>
    <row r="337" spans="9:17" s="1" customFormat="1">
      <c r="I337" s="185"/>
      <c r="J337" s="185"/>
      <c r="K337" s="185"/>
      <c r="L337"/>
      <c r="M337"/>
      <c r="N337"/>
      <c r="O337"/>
      <c r="P337"/>
      <c r="Q337"/>
    </row>
    <row r="338" spans="9:17" s="1" customFormat="1">
      <c r="I338" s="185"/>
      <c r="J338" s="185"/>
      <c r="K338" s="185"/>
      <c r="L338"/>
      <c r="M338"/>
      <c r="N338"/>
      <c r="O338"/>
      <c r="P338"/>
      <c r="Q338"/>
    </row>
    <row r="339" spans="9:17" s="1" customFormat="1">
      <c r="I339" s="185"/>
      <c r="J339" s="185"/>
      <c r="K339" s="185"/>
      <c r="L339"/>
      <c r="M339"/>
      <c r="N339"/>
      <c r="O339"/>
      <c r="P339"/>
      <c r="Q339"/>
    </row>
    <row r="340" spans="9:17" s="1" customFormat="1">
      <c r="I340" s="185"/>
      <c r="J340" s="185"/>
      <c r="K340" s="185"/>
      <c r="L340"/>
      <c r="M340"/>
      <c r="N340"/>
      <c r="O340"/>
      <c r="P340"/>
      <c r="Q340"/>
    </row>
    <row r="341" spans="9:17" s="1" customFormat="1">
      <c r="I341" s="185"/>
      <c r="J341" s="185"/>
      <c r="K341" s="185"/>
      <c r="L341"/>
      <c r="M341"/>
      <c r="N341"/>
      <c r="O341"/>
      <c r="P341"/>
      <c r="Q341"/>
    </row>
    <row r="342" spans="9:17" s="1" customFormat="1">
      <c r="I342" s="185"/>
      <c r="J342" s="185"/>
      <c r="K342" s="185"/>
      <c r="L342"/>
      <c r="M342"/>
      <c r="N342"/>
      <c r="O342"/>
      <c r="P342"/>
      <c r="Q342"/>
    </row>
    <row r="343" spans="9:17" s="1" customFormat="1">
      <c r="I343" s="185"/>
      <c r="J343" s="185"/>
      <c r="K343" s="185"/>
      <c r="L343"/>
      <c r="M343"/>
      <c r="N343"/>
      <c r="O343"/>
      <c r="P343"/>
      <c r="Q343"/>
    </row>
    <row r="344" spans="9:17" s="1" customFormat="1">
      <c r="I344" s="185"/>
      <c r="J344" s="185"/>
      <c r="K344" s="185"/>
      <c r="L344"/>
      <c r="M344"/>
      <c r="N344"/>
      <c r="O344"/>
      <c r="P344"/>
      <c r="Q344"/>
    </row>
    <row r="345" spans="9:17" s="1" customFormat="1">
      <c r="I345" s="185"/>
      <c r="J345" s="185"/>
      <c r="K345" s="185"/>
      <c r="L345"/>
      <c r="M345"/>
      <c r="N345"/>
      <c r="O345"/>
      <c r="P345"/>
      <c r="Q345"/>
    </row>
    <row r="346" spans="9:17" s="1" customFormat="1">
      <c r="I346" s="185"/>
      <c r="J346" s="185"/>
      <c r="K346" s="185"/>
      <c r="L346"/>
      <c r="M346"/>
      <c r="N346"/>
      <c r="O346"/>
      <c r="P346"/>
      <c r="Q346"/>
    </row>
    <row r="347" spans="9:17" s="1" customFormat="1">
      <c r="I347" s="185"/>
      <c r="J347" s="185"/>
      <c r="K347" s="185"/>
      <c r="L347"/>
      <c r="M347"/>
      <c r="N347"/>
      <c r="O347"/>
      <c r="P347"/>
      <c r="Q347"/>
    </row>
    <row r="348" spans="9:17" s="1" customFormat="1">
      <c r="I348" s="185"/>
      <c r="J348" s="185"/>
      <c r="K348" s="185"/>
      <c r="L348"/>
      <c r="M348"/>
      <c r="N348"/>
      <c r="O348"/>
      <c r="P348"/>
      <c r="Q348"/>
    </row>
    <row r="349" spans="9:17" s="1" customFormat="1">
      <c r="I349" s="185"/>
      <c r="J349" s="185"/>
      <c r="K349" s="185"/>
      <c r="L349"/>
      <c r="M349"/>
      <c r="N349"/>
      <c r="O349"/>
      <c r="P349"/>
      <c r="Q349"/>
    </row>
    <row r="350" spans="9:17" s="1" customFormat="1">
      <c r="I350" s="185"/>
      <c r="J350" s="185"/>
      <c r="K350" s="185"/>
      <c r="L350"/>
      <c r="M350"/>
      <c r="N350"/>
      <c r="O350"/>
      <c r="P350"/>
      <c r="Q350"/>
    </row>
    <row r="351" spans="9:17" s="1" customFormat="1">
      <c r="I351" s="185"/>
      <c r="J351" s="185"/>
      <c r="K351" s="185"/>
      <c r="L351"/>
      <c r="M351"/>
      <c r="N351"/>
      <c r="O351"/>
      <c r="P351"/>
      <c r="Q351"/>
    </row>
    <row r="352" spans="9:17" s="1" customFormat="1">
      <c r="I352" s="185"/>
      <c r="J352" s="185"/>
      <c r="K352" s="185"/>
      <c r="L352"/>
      <c r="M352"/>
      <c r="N352"/>
      <c r="O352"/>
      <c r="P352"/>
      <c r="Q352"/>
    </row>
    <row r="353" spans="9:17" s="1" customFormat="1">
      <c r="I353" s="185"/>
      <c r="J353" s="185"/>
      <c r="K353" s="185"/>
      <c r="L353"/>
      <c r="M353"/>
      <c r="N353"/>
      <c r="O353"/>
      <c r="P353"/>
      <c r="Q353"/>
    </row>
    <row r="354" spans="9:17" s="1" customFormat="1">
      <c r="I354" s="185"/>
      <c r="J354" s="185"/>
      <c r="K354" s="185"/>
      <c r="L354"/>
      <c r="M354"/>
      <c r="N354"/>
      <c r="O354"/>
      <c r="P354"/>
      <c r="Q354"/>
    </row>
    <row r="355" spans="9:17" s="1" customFormat="1">
      <c r="I355" s="185"/>
      <c r="J355" s="185"/>
      <c r="K355" s="185"/>
      <c r="L355"/>
      <c r="M355"/>
      <c r="N355"/>
      <c r="O355"/>
      <c r="P355"/>
      <c r="Q355"/>
    </row>
    <row r="356" spans="9:17" s="1" customFormat="1">
      <c r="I356" s="185"/>
      <c r="J356" s="185"/>
      <c r="K356" s="185"/>
      <c r="L356"/>
      <c r="M356"/>
      <c r="N356"/>
      <c r="O356"/>
      <c r="P356"/>
      <c r="Q356"/>
    </row>
    <row r="357" spans="9:17" s="1" customFormat="1">
      <c r="I357" s="185"/>
      <c r="J357" s="185"/>
      <c r="K357" s="185"/>
      <c r="L357"/>
      <c r="M357"/>
      <c r="N357"/>
      <c r="O357"/>
      <c r="P357"/>
      <c r="Q357"/>
    </row>
    <row r="358" spans="9:17" s="1" customFormat="1">
      <c r="I358" s="185"/>
      <c r="J358" s="185"/>
      <c r="K358" s="185"/>
      <c r="L358"/>
      <c r="M358"/>
      <c r="N358"/>
      <c r="O358"/>
      <c r="P358"/>
      <c r="Q358"/>
    </row>
    <row r="359" spans="9:17" s="1" customFormat="1">
      <c r="I359" s="185"/>
      <c r="J359" s="185"/>
      <c r="K359" s="185"/>
      <c r="L359"/>
      <c r="M359"/>
      <c r="N359"/>
      <c r="O359"/>
      <c r="P359"/>
      <c r="Q359"/>
    </row>
    <row r="360" spans="9:17" s="1" customFormat="1">
      <c r="I360" s="185"/>
      <c r="J360" s="185"/>
      <c r="K360" s="185"/>
      <c r="L360"/>
      <c r="M360"/>
      <c r="N360"/>
      <c r="O360"/>
      <c r="P360"/>
      <c r="Q360"/>
    </row>
    <row r="361" spans="9:17" s="1" customFormat="1">
      <c r="I361" s="185"/>
      <c r="J361" s="185"/>
      <c r="K361" s="185"/>
      <c r="L361"/>
      <c r="M361"/>
      <c r="N361"/>
      <c r="O361"/>
      <c r="P361"/>
      <c r="Q361"/>
    </row>
    <row r="362" spans="9:17" s="1" customFormat="1">
      <c r="I362" s="185"/>
      <c r="J362" s="185"/>
      <c r="K362" s="185"/>
      <c r="L362"/>
      <c r="M362"/>
      <c r="N362"/>
      <c r="O362"/>
      <c r="P362"/>
      <c r="Q362"/>
    </row>
    <row r="363" spans="9:17" s="1" customFormat="1">
      <c r="I363" s="185"/>
      <c r="J363" s="185"/>
      <c r="K363" s="185"/>
      <c r="L363"/>
      <c r="M363"/>
      <c r="N363"/>
      <c r="O363"/>
      <c r="P363"/>
      <c r="Q363"/>
    </row>
    <row r="364" spans="9:17" s="1" customFormat="1">
      <c r="I364" s="185"/>
      <c r="J364" s="185"/>
      <c r="K364" s="185"/>
      <c r="L364"/>
      <c r="M364"/>
      <c r="N364"/>
      <c r="O364"/>
      <c r="P364"/>
      <c r="Q364"/>
    </row>
    <row r="365" spans="9:17" s="1" customFormat="1">
      <c r="I365" s="185"/>
      <c r="J365" s="185"/>
      <c r="K365" s="185"/>
      <c r="L365"/>
      <c r="M365"/>
      <c r="N365"/>
      <c r="O365"/>
      <c r="P365"/>
      <c r="Q365"/>
    </row>
    <row r="366" spans="9:17" s="1" customFormat="1">
      <c r="I366" s="185"/>
      <c r="J366" s="185"/>
      <c r="K366" s="185"/>
      <c r="L366"/>
      <c r="M366"/>
      <c r="N366"/>
      <c r="O366"/>
      <c r="P366"/>
      <c r="Q366"/>
    </row>
    <row r="367" spans="9:17" s="1" customFormat="1">
      <c r="I367" s="185"/>
      <c r="J367" s="185"/>
      <c r="K367" s="185"/>
      <c r="L367"/>
      <c r="M367"/>
      <c r="N367"/>
      <c r="O367"/>
      <c r="P367"/>
      <c r="Q367"/>
    </row>
    <row r="368" spans="9:17" s="1" customFormat="1">
      <c r="I368" s="185"/>
      <c r="J368" s="185"/>
      <c r="K368" s="185"/>
      <c r="L368"/>
      <c r="M368"/>
      <c r="N368"/>
      <c r="O368"/>
      <c r="P368"/>
      <c r="Q368"/>
    </row>
    <row r="369" spans="9:17" s="1" customFormat="1">
      <c r="I369" s="185"/>
      <c r="J369" s="185"/>
      <c r="K369" s="185"/>
      <c r="L369"/>
      <c r="M369"/>
      <c r="N369"/>
      <c r="O369"/>
      <c r="P369"/>
      <c r="Q369"/>
    </row>
    <row r="370" spans="9:17" s="1" customFormat="1">
      <c r="I370" s="185"/>
      <c r="J370" s="185"/>
      <c r="K370" s="185"/>
      <c r="L370"/>
      <c r="M370"/>
      <c r="N370"/>
      <c r="O370"/>
      <c r="P370"/>
      <c r="Q370"/>
    </row>
    <row r="371" spans="9:17" s="1" customFormat="1">
      <c r="I371" s="185"/>
      <c r="J371" s="185"/>
      <c r="K371" s="185"/>
      <c r="L371"/>
      <c r="M371"/>
      <c r="N371"/>
      <c r="O371"/>
      <c r="P371"/>
      <c r="Q371"/>
    </row>
    <row r="372" spans="9:17" s="1" customFormat="1">
      <c r="I372" s="185"/>
      <c r="J372" s="185"/>
      <c r="K372" s="185"/>
      <c r="L372"/>
      <c r="M372"/>
      <c r="N372"/>
      <c r="O372"/>
      <c r="P372"/>
      <c r="Q372"/>
    </row>
    <row r="373" spans="9:17" s="1" customFormat="1">
      <c r="I373" s="185"/>
      <c r="J373" s="185"/>
      <c r="K373" s="185"/>
      <c r="L373"/>
      <c r="M373"/>
      <c r="N373"/>
      <c r="O373"/>
      <c r="P373"/>
      <c r="Q373"/>
    </row>
    <row r="374" spans="9:17" s="1" customFormat="1">
      <c r="I374" s="185"/>
      <c r="J374" s="185"/>
      <c r="K374" s="185"/>
      <c r="L374"/>
      <c r="M374"/>
      <c r="N374"/>
      <c r="O374"/>
      <c r="P374"/>
      <c r="Q374"/>
    </row>
    <row r="375" spans="9:17" s="1" customFormat="1">
      <c r="I375" s="185"/>
      <c r="J375" s="185"/>
      <c r="K375" s="185"/>
      <c r="L375"/>
      <c r="M375"/>
      <c r="N375"/>
      <c r="O375"/>
      <c r="P375"/>
      <c r="Q375"/>
    </row>
    <row r="376" spans="9:17" s="1" customFormat="1">
      <c r="I376" s="185"/>
      <c r="J376" s="185"/>
      <c r="K376" s="185"/>
      <c r="L376"/>
      <c r="M376"/>
      <c r="N376"/>
      <c r="O376"/>
      <c r="P376"/>
      <c r="Q376"/>
    </row>
    <row r="377" spans="9:17" s="1" customFormat="1">
      <c r="I377" s="185"/>
      <c r="J377" s="185"/>
      <c r="K377" s="185"/>
      <c r="L377"/>
      <c r="M377"/>
      <c r="N377"/>
      <c r="O377"/>
      <c r="P377"/>
      <c r="Q377"/>
    </row>
    <row r="378" spans="9:17" s="1" customFormat="1">
      <c r="I378" s="185"/>
      <c r="J378" s="185"/>
      <c r="K378" s="185"/>
      <c r="L378"/>
      <c r="M378"/>
      <c r="N378"/>
      <c r="O378"/>
      <c r="P378"/>
      <c r="Q378"/>
    </row>
    <row r="379" spans="9:17" s="1" customFormat="1">
      <c r="I379" s="185"/>
      <c r="J379" s="185"/>
      <c r="K379" s="185"/>
      <c r="L379"/>
      <c r="M379"/>
      <c r="N379"/>
      <c r="O379"/>
      <c r="P379"/>
      <c r="Q379"/>
    </row>
    <row r="380" spans="9:17" s="1" customFormat="1">
      <c r="I380" s="185"/>
      <c r="J380" s="185"/>
      <c r="K380" s="185"/>
      <c r="L380"/>
      <c r="M380"/>
      <c r="N380"/>
      <c r="O380"/>
      <c r="P380"/>
      <c r="Q380"/>
    </row>
    <row r="381" spans="9:17" s="1" customFormat="1">
      <c r="I381" s="185"/>
      <c r="J381" s="185"/>
      <c r="K381" s="185"/>
      <c r="L381"/>
      <c r="M381"/>
      <c r="N381"/>
      <c r="O381"/>
      <c r="P381"/>
      <c r="Q381"/>
    </row>
    <row r="382" spans="9:17" s="1" customFormat="1">
      <c r="I382" s="185"/>
      <c r="J382" s="185"/>
      <c r="K382" s="185"/>
      <c r="L382"/>
      <c r="M382"/>
      <c r="N382"/>
      <c r="O382"/>
      <c r="P382"/>
      <c r="Q382"/>
    </row>
    <row r="383" spans="9:17" s="1" customFormat="1">
      <c r="I383" s="185"/>
      <c r="J383" s="185"/>
      <c r="K383" s="185"/>
      <c r="L383"/>
      <c r="M383"/>
      <c r="N383"/>
      <c r="O383"/>
      <c r="P383"/>
      <c r="Q383"/>
    </row>
    <row r="384" spans="9:17" s="1" customFormat="1">
      <c r="I384" s="185"/>
      <c r="J384" s="185"/>
      <c r="K384" s="185"/>
      <c r="L384"/>
      <c r="M384"/>
      <c r="N384"/>
      <c r="O384"/>
      <c r="P384"/>
      <c r="Q384"/>
    </row>
    <row r="385" spans="9:17" s="1" customFormat="1">
      <c r="I385" s="185"/>
      <c r="J385" s="185"/>
      <c r="K385" s="185"/>
      <c r="L385"/>
      <c r="M385"/>
      <c r="N385"/>
      <c r="O385"/>
      <c r="P385"/>
      <c r="Q385"/>
    </row>
    <row r="386" spans="9:17" s="1" customFormat="1">
      <c r="I386" s="185"/>
      <c r="J386" s="185"/>
      <c r="K386" s="185"/>
      <c r="L386"/>
      <c r="M386"/>
      <c r="N386"/>
      <c r="O386"/>
      <c r="P386"/>
      <c r="Q386"/>
    </row>
    <row r="387" spans="9:17" s="1" customFormat="1">
      <c r="I387" s="185"/>
      <c r="J387" s="185"/>
      <c r="K387" s="185"/>
      <c r="L387"/>
      <c r="M387"/>
      <c r="N387"/>
      <c r="O387"/>
      <c r="P387"/>
      <c r="Q387"/>
    </row>
    <row r="388" spans="9:17" s="1" customFormat="1">
      <c r="I388" s="185"/>
      <c r="J388" s="185"/>
      <c r="K388" s="185"/>
      <c r="L388"/>
      <c r="M388"/>
      <c r="N388"/>
      <c r="O388"/>
      <c r="P388"/>
      <c r="Q388"/>
    </row>
    <row r="389" spans="9:17" s="1" customFormat="1">
      <c r="I389" s="185"/>
      <c r="J389" s="185"/>
      <c r="K389" s="185"/>
      <c r="L389"/>
      <c r="M389"/>
      <c r="N389"/>
      <c r="O389"/>
      <c r="P389"/>
      <c r="Q389"/>
    </row>
    <row r="390" spans="9:17" s="1" customFormat="1">
      <c r="I390" s="185"/>
      <c r="J390" s="185"/>
      <c r="K390" s="185"/>
      <c r="L390"/>
      <c r="M390"/>
      <c r="N390"/>
      <c r="O390"/>
      <c r="P390"/>
      <c r="Q390"/>
    </row>
    <row r="391" spans="9:17" s="1" customFormat="1">
      <c r="I391" s="185"/>
      <c r="J391" s="185"/>
      <c r="K391" s="185"/>
      <c r="L391"/>
      <c r="M391"/>
      <c r="N391"/>
      <c r="O391"/>
      <c r="P391"/>
      <c r="Q391"/>
    </row>
    <row r="392" spans="9:17" s="1" customFormat="1">
      <c r="I392" s="185"/>
      <c r="J392" s="185"/>
      <c r="K392" s="185"/>
      <c r="L392"/>
      <c r="M392"/>
      <c r="N392"/>
      <c r="O392"/>
      <c r="P392"/>
      <c r="Q392"/>
    </row>
    <row r="393" spans="9:17" s="1" customFormat="1">
      <c r="I393" s="185"/>
      <c r="J393" s="185"/>
      <c r="K393" s="185"/>
      <c r="L393"/>
      <c r="M393"/>
      <c r="N393"/>
      <c r="O393"/>
      <c r="P393"/>
      <c r="Q393"/>
    </row>
    <row r="394" spans="9:17" s="1" customFormat="1">
      <c r="I394" s="185"/>
      <c r="J394" s="185"/>
      <c r="K394" s="185"/>
      <c r="L394"/>
      <c r="M394"/>
      <c r="N394"/>
      <c r="O394"/>
      <c r="P394"/>
      <c r="Q394"/>
    </row>
    <row r="395" spans="9:17" s="1" customFormat="1">
      <c r="I395" s="185"/>
      <c r="J395" s="185"/>
      <c r="K395" s="185"/>
      <c r="L395"/>
      <c r="M395"/>
      <c r="N395"/>
      <c r="O395"/>
      <c r="P395"/>
      <c r="Q395"/>
    </row>
    <row r="396" spans="9:17" s="1" customFormat="1">
      <c r="I396" s="185"/>
      <c r="J396" s="185"/>
      <c r="K396" s="185"/>
      <c r="L396"/>
      <c r="M396"/>
      <c r="N396"/>
      <c r="O396"/>
      <c r="P396"/>
      <c r="Q396"/>
    </row>
    <row r="397" spans="9:17" s="1" customFormat="1">
      <c r="I397" s="185"/>
      <c r="J397" s="185"/>
      <c r="K397" s="185"/>
      <c r="L397"/>
      <c r="M397"/>
      <c r="N397"/>
      <c r="O397"/>
      <c r="P397"/>
      <c r="Q397"/>
    </row>
    <row r="398" spans="9:17" s="1" customFormat="1">
      <c r="I398" s="185"/>
      <c r="J398" s="185"/>
      <c r="K398" s="185"/>
      <c r="L398"/>
      <c r="M398"/>
      <c r="N398"/>
      <c r="O398"/>
      <c r="P398"/>
      <c r="Q398"/>
    </row>
    <row r="399" spans="9:17" s="1" customFormat="1">
      <c r="I399" s="185"/>
      <c r="J399" s="185"/>
      <c r="K399" s="185"/>
      <c r="L399"/>
      <c r="M399"/>
      <c r="N399"/>
      <c r="O399"/>
      <c r="P399"/>
      <c r="Q399"/>
    </row>
    <row r="400" spans="9:17" s="1" customFormat="1">
      <c r="I400" s="185"/>
      <c r="J400" s="185"/>
      <c r="K400" s="185"/>
      <c r="L400"/>
      <c r="M400"/>
      <c r="N400"/>
      <c r="O400"/>
      <c r="P400"/>
      <c r="Q400"/>
    </row>
    <row r="401" spans="9:17" s="1" customFormat="1">
      <c r="I401" s="185"/>
      <c r="J401" s="185"/>
      <c r="K401" s="185"/>
      <c r="L401"/>
      <c r="M401"/>
      <c r="N401"/>
      <c r="O401"/>
      <c r="P401"/>
      <c r="Q401"/>
    </row>
    <row r="402" spans="9:17" s="1" customFormat="1">
      <c r="I402" s="185"/>
      <c r="J402" s="185"/>
      <c r="K402" s="185"/>
      <c r="L402"/>
      <c r="M402"/>
      <c r="N402"/>
      <c r="O402"/>
      <c r="P402"/>
      <c r="Q402"/>
    </row>
    <row r="403" spans="9:17" s="1" customFormat="1">
      <c r="I403" s="185"/>
      <c r="J403" s="185"/>
      <c r="K403" s="185"/>
      <c r="L403"/>
      <c r="M403"/>
      <c r="N403"/>
      <c r="O403"/>
      <c r="P403"/>
      <c r="Q403"/>
    </row>
    <row r="404" spans="9:17" s="1" customFormat="1">
      <c r="I404" s="185"/>
      <c r="J404" s="185"/>
      <c r="K404" s="185"/>
      <c r="L404"/>
      <c r="M404"/>
      <c r="N404"/>
      <c r="O404"/>
      <c r="P404"/>
      <c r="Q404"/>
    </row>
    <row r="405" spans="9:17" s="1" customFormat="1">
      <c r="I405" s="185"/>
      <c r="J405" s="185"/>
      <c r="K405" s="185"/>
      <c r="L405"/>
      <c r="M405"/>
      <c r="N405"/>
      <c r="O405"/>
      <c r="P405"/>
      <c r="Q405"/>
    </row>
    <row r="406" spans="9:17" s="1" customFormat="1">
      <c r="I406" s="185"/>
      <c r="J406" s="185"/>
      <c r="K406" s="185"/>
      <c r="L406"/>
      <c r="M406"/>
      <c r="N406"/>
      <c r="O406"/>
      <c r="P406"/>
      <c r="Q406"/>
    </row>
    <row r="407" spans="9:17" s="1" customFormat="1">
      <c r="I407" s="185"/>
      <c r="J407" s="185"/>
      <c r="K407" s="185"/>
      <c r="L407"/>
      <c r="M407"/>
      <c r="N407"/>
      <c r="O407"/>
      <c r="P407"/>
      <c r="Q407"/>
    </row>
    <row r="408" spans="9:17" s="1" customFormat="1">
      <c r="I408" s="185"/>
      <c r="J408" s="185"/>
      <c r="K408" s="185"/>
      <c r="L408"/>
      <c r="M408"/>
      <c r="N408"/>
      <c r="O408"/>
      <c r="P408"/>
      <c r="Q408"/>
    </row>
    <row r="409" spans="9:17" s="1" customFormat="1">
      <c r="I409" s="185"/>
      <c r="J409" s="185"/>
      <c r="K409" s="185"/>
      <c r="L409"/>
      <c r="M409"/>
      <c r="N409"/>
      <c r="O409"/>
      <c r="P409"/>
      <c r="Q409"/>
    </row>
    <row r="410" spans="9:17" s="1" customFormat="1">
      <c r="I410" s="185"/>
      <c r="J410" s="185"/>
      <c r="K410" s="185"/>
      <c r="L410"/>
      <c r="M410"/>
      <c r="N410"/>
      <c r="O410"/>
      <c r="P410"/>
      <c r="Q410"/>
    </row>
    <row r="411" spans="9:17" s="1" customFormat="1">
      <c r="I411" s="185"/>
      <c r="J411" s="185"/>
      <c r="K411" s="185"/>
      <c r="L411"/>
      <c r="M411"/>
      <c r="N411"/>
      <c r="O411"/>
      <c r="P411"/>
      <c r="Q411"/>
    </row>
    <row r="412" spans="9:17" s="1" customFormat="1">
      <c r="I412" s="185"/>
      <c r="J412" s="185"/>
      <c r="K412" s="185"/>
      <c r="L412"/>
      <c r="M412"/>
      <c r="N412"/>
      <c r="O412"/>
      <c r="P412"/>
      <c r="Q412"/>
    </row>
    <row r="413" spans="9:17" s="1" customFormat="1">
      <c r="I413" s="185"/>
      <c r="J413" s="185"/>
      <c r="K413" s="185"/>
      <c r="L413"/>
      <c r="M413"/>
      <c r="N413"/>
      <c r="O413"/>
      <c r="P413"/>
      <c r="Q413"/>
    </row>
    <row r="414" spans="9:17" s="1" customFormat="1">
      <c r="I414" s="185"/>
      <c r="J414" s="185"/>
      <c r="K414" s="185"/>
      <c r="L414"/>
      <c r="M414"/>
      <c r="N414"/>
      <c r="O414"/>
      <c r="P414"/>
      <c r="Q414"/>
    </row>
    <row r="415" spans="9:17" s="1" customFormat="1">
      <c r="I415" s="185"/>
      <c r="J415" s="185"/>
      <c r="K415" s="185"/>
      <c r="L415"/>
      <c r="M415"/>
      <c r="N415"/>
      <c r="O415"/>
      <c r="P415"/>
      <c r="Q415"/>
    </row>
    <row r="416" spans="9:17" s="1" customFormat="1">
      <c r="I416" s="185"/>
      <c r="J416" s="185"/>
      <c r="K416" s="185"/>
      <c r="L416"/>
      <c r="M416"/>
      <c r="N416"/>
      <c r="O416"/>
      <c r="P416"/>
      <c r="Q416"/>
    </row>
    <row r="417" spans="9:17" s="1" customFormat="1">
      <c r="I417" s="185"/>
      <c r="J417" s="185"/>
      <c r="K417" s="185"/>
      <c r="L417"/>
      <c r="M417"/>
      <c r="N417"/>
      <c r="O417"/>
      <c r="P417"/>
      <c r="Q417"/>
    </row>
    <row r="418" spans="9:17" s="1" customFormat="1">
      <c r="I418" s="185"/>
      <c r="J418" s="185"/>
      <c r="K418" s="185"/>
      <c r="L418"/>
      <c r="M418"/>
      <c r="N418"/>
      <c r="O418"/>
      <c r="P418"/>
      <c r="Q418"/>
    </row>
    <row r="419" spans="9:17" s="1" customFormat="1">
      <c r="I419" s="185"/>
      <c r="J419" s="185"/>
      <c r="K419" s="185"/>
      <c r="L419"/>
      <c r="M419"/>
      <c r="N419"/>
      <c r="O419"/>
      <c r="P419"/>
      <c r="Q419"/>
    </row>
    <row r="420" spans="9:17" s="1" customFormat="1">
      <c r="I420" s="185"/>
      <c r="J420" s="185"/>
      <c r="K420" s="185"/>
      <c r="L420"/>
      <c r="M420"/>
      <c r="N420"/>
      <c r="O420"/>
      <c r="P420"/>
      <c r="Q420"/>
    </row>
    <row r="421" spans="9:17" s="1" customFormat="1">
      <c r="I421" s="185"/>
      <c r="J421" s="185"/>
      <c r="K421" s="185"/>
      <c r="L421"/>
      <c r="M421"/>
      <c r="N421"/>
      <c r="O421"/>
      <c r="P421"/>
      <c r="Q421"/>
    </row>
    <row r="422" spans="9:17" s="1" customFormat="1">
      <c r="I422" s="185"/>
      <c r="J422" s="185"/>
      <c r="K422" s="185"/>
      <c r="L422"/>
      <c r="M422"/>
      <c r="N422"/>
      <c r="O422"/>
      <c r="P422"/>
      <c r="Q422"/>
    </row>
    <row r="423" spans="9:17" s="1" customFormat="1">
      <c r="I423" s="185"/>
      <c r="J423" s="185"/>
      <c r="K423" s="185"/>
      <c r="L423"/>
      <c r="M423"/>
      <c r="N423"/>
      <c r="O423"/>
      <c r="P423"/>
      <c r="Q423"/>
    </row>
    <row r="424" spans="9:17" s="1" customFormat="1">
      <c r="I424" s="185"/>
      <c r="J424" s="185"/>
      <c r="K424" s="185"/>
      <c r="L424"/>
      <c r="M424"/>
      <c r="N424"/>
      <c r="O424"/>
      <c r="P424"/>
      <c r="Q424"/>
    </row>
    <row r="425" spans="9:17" s="1" customFormat="1">
      <c r="I425" s="185"/>
      <c r="J425" s="185"/>
      <c r="K425" s="185"/>
      <c r="L425"/>
      <c r="M425"/>
      <c r="N425"/>
      <c r="O425"/>
      <c r="P425"/>
      <c r="Q425"/>
    </row>
    <row r="426" spans="9:17" s="1" customFormat="1">
      <c r="I426" s="185"/>
      <c r="J426" s="185"/>
      <c r="K426" s="185"/>
      <c r="L426"/>
      <c r="M426"/>
      <c r="N426"/>
      <c r="O426"/>
      <c r="P426"/>
      <c r="Q426"/>
    </row>
    <row r="427" spans="9:17" s="1" customFormat="1">
      <c r="I427" s="185"/>
      <c r="J427" s="185"/>
      <c r="K427" s="185"/>
      <c r="L427"/>
      <c r="M427"/>
      <c r="N427"/>
      <c r="O427"/>
      <c r="P427"/>
      <c r="Q427"/>
    </row>
    <row r="428" spans="9:17" s="1" customFormat="1">
      <c r="I428" s="185"/>
      <c r="J428" s="185"/>
      <c r="K428" s="185"/>
      <c r="L428"/>
      <c r="M428"/>
      <c r="N428"/>
      <c r="O428"/>
      <c r="P428"/>
      <c r="Q428"/>
    </row>
    <row r="429" spans="9:17" s="1" customFormat="1">
      <c r="I429" s="185"/>
      <c r="J429" s="185"/>
      <c r="K429" s="185"/>
      <c r="L429"/>
      <c r="M429"/>
      <c r="N429"/>
      <c r="O429"/>
      <c r="P429"/>
      <c r="Q429"/>
    </row>
    <row r="430" spans="9:17" s="1" customFormat="1">
      <c r="I430" s="185"/>
      <c r="J430" s="185"/>
      <c r="K430" s="185"/>
      <c r="L430"/>
      <c r="M430"/>
      <c r="N430"/>
      <c r="O430"/>
      <c r="P430"/>
      <c r="Q430"/>
    </row>
    <row r="431" spans="9:17" s="1" customFormat="1">
      <c r="I431" s="185"/>
      <c r="J431" s="185"/>
      <c r="K431" s="185"/>
      <c r="L431"/>
      <c r="M431"/>
      <c r="N431"/>
      <c r="O431"/>
      <c r="P431"/>
      <c r="Q431"/>
    </row>
    <row r="432" spans="9:17" s="1" customFormat="1">
      <c r="I432" s="185"/>
      <c r="J432" s="185"/>
      <c r="K432" s="185"/>
      <c r="L432"/>
      <c r="M432"/>
      <c r="N432"/>
      <c r="O432"/>
      <c r="P432"/>
      <c r="Q432"/>
    </row>
    <row r="433" spans="9:17" s="1" customFormat="1">
      <c r="I433" s="185"/>
      <c r="J433" s="185"/>
      <c r="K433" s="185"/>
      <c r="L433"/>
      <c r="M433"/>
      <c r="N433"/>
      <c r="O433"/>
      <c r="P433"/>
      <c r="Q433"/>
    </row>
    <row r="434" spans="9:17" s="1" customFormat="1">
      <c r="I434" s="185"/>
      <c r="J434" s="185"/>
      <c r="K434" s="185"/>
      <c r="L434"/>
      <c r="M434"/>
      <c r="N434"/>
      <c r="O434"/>
      <c r="P434"/>
      <c r="Q434"/>
    </row>
    <row r="435" spans="9:17" s="1" customFormat="1">
      <c r="I435" s="185"/>
      <c r="J435" s="185"/>
      <c r="K435" s="185"/>
      <c r="L435"/>
      <c r="M435"/>
      <c r="N435"/>
      <c r="O435"/>
      <c r="P435"/>
      <c r="Q435"/>
    </row>
    <row r="436" spans="9:17" s="1" customFormat="1">
      <c r="I436" s="185"/>
      <c r="J436" s="185"/>
      <c r="K436" s="185"/>
      <c r="L436"/>
      <c r="M436"/>
      <c r="N436"/>
      <c r="O436"/>
      <c r="P436"/>
      <c r="Q436"/>
    </row>
    <row r="437" spans="9:17" s="1" customFormat="1">
      <c r="I437" s="185"/>
      <c r="J437" s="185"/>
      <c r="K437" s="185"/>
      <c r="L437"/>
      <c r="M437"/>
      <c r="N437"/>
      <c r="O437"/>
      <c r="P437"/>
      <c r="Q437"/>
    </row>
    <row r="438" spans="9:17" s="1" customFormat="1">
      <c r="I438" s="185"/>
      <c r="J438" s="185"/>
      <c r="K438" s="185"/>
      <c r="L438"/>
      <c r="M438"/>
      <c r="N438"/>
      <c r="O438"/>
      <c r="P438"/>
      <c r="Q438"/>
    </row>
    <row r="439" spans="9:17" s="1" customFormat="1">
      <c r="I439" s="185"/>
      <c r="J439" s="185"/>
      <c r="K439" s="185"/>
      <c r="L439"/>
      <c r="M439"/>
      <c r="N439"/>
      <c r="O439"/>
      <c r="P439"/>
      <c r="Q439"/>
    </row>
    <row r="440" spans="9:17" s="1" customFormat="1">
      <c r="I440" s="185"/>
      <c r="J440" s="185"/>
      <c r="K440" s="185"/>
      <c r="L440"/>
      <c r="M440"/>
      <c r="N440"/>
      <c r="O440"/>
      <c r="P440"/>
      <c r="Q440"/>
    </row>
    <row r="441" spans="9:17" s="1" customFormat="1">
      <c r="I441" s="185"/>
      <c r="J441" s="185"/>
      <c r="K441" s="185"/>
      <c r="L441"/>
      <c r="M441"/>
      <c r="N441"/>
      <c r="O441"/>
      <c r="P441"/>
      <c r="Q441"/>
    </row>
    <row r="442" spans="9:17" s="1" customFormat="1">
      <c r="I442" s="185"/>
      <c r="J442" s="185"/>
      <c r="K442" s="185"/>
      <c r="L442"/>
      <c r="M442"/>
      <c r="N442"/>
      <c r="O442"/>
      <c r="P442"/>
      <c r="Q442"/>
    </row>
    <row r="443" spans="9:17" s="1" customFormat="1">
      <c r="I443" s="185"/>
      <c r="J443" s="185"/>
      <c r="K443" s="185"/>
      <c r="L443"/>
      <c r="M443"/>
      <c r="N443"/>
      <c r="O443"/>
      <c r="P443"/>
      <c r="Q443"/>
    </row>
    <row r="444" spans="9:17" s="1" customFormat="1">
      <c r="I444" s="185"/>
      <c r="J444" s="185"/>
      <c r="K444" s="185"/>
      <c r="L444"/>
      <c r="M444"/>
      <c r="N444"/>
      <c r="O444"/>
      <c r="P444"/>
      <c r="Q444"/>
    </row>
    <row r="445" spans="9:17" s="1" customFormat="1">
      <c r="I445" s="185"/>
      <c r="J445" s="185"/>
      <c r="K445" s="185"/>
      <c r="L445"/>
      <c r="M445"/>
      <c r="N445"/>
      <c r="O445"/>
      <c r="P445"/>
      <c r="Q445"/>
    </row>
    <row r="446" spans="9:17" s="1" customFormat="1">
      <c r="I446" s="185"/>
      <c r="J446" s="185"/>
      <c r="K446" s="185"/>
      <c r="L446"/>
      <c r="M446"/>
      <c r="N446"/>
      <c r="O446"/>
      <c r="P446"/>
      <c r="Q446"/>
    </row>
    <row r="447" spans="9:17" s="1" customFormat="1">
      <c r="I447" s="185"/>
      <c r="J447" s="185"/>
      <c r="K447" s="185"/>
      <c r="L447"/>
      <c r="M447"/>
      <c r="N447"/>
      <c r="O447"/>
      <c r="P447"/>
      <c r="Q447"/>
    </row>
    <row r="448" spans="9:17" s="1" customFormat="1">
      <c r="I448" s="185"/>
      <c r="J448" s="185"/>
      <c r="K448" s="185"/>
      <c r="L448"/>
      <c r="M448"/>
      <c r="N448"/>
      <c r="O448"/>
      <c r="P448"/>
      <c r="Q448"/>
    </row>
    <row r="449" spans="9:17" s="1" customFormat="1">
      <c r="I449" s="185"/>
      <c r="J449" s="185"/>
      <c r="K449" s="185"/>
      <c r="L449"/>
      <c r="M449"/>
      <c r="N449"/>
      <c r="O449"/>
      <c r="P449"/>
      <c r="Q449"/>
    </row>
    <row r="450" spans="9:17" s="1" customFormat="1">
      <c r="I450" s="185"/>
      <c r="J450" s="185"/>
      <c r="K450" s="185"/>
      <c r="L450"/>
      <c r="M450"/>
      <c r="N450"/>
      <c r="O450"/>
      <c r="P450"/>
      <c r="Q450"/>
    </row>
    <row r="451" spans="9:17" s="1" customFormat="1">
      <c r="I451" s="185"/>
      <c r="J451" s="185"/>
      <c r="K451" s="185"/>
      <c r="L451"/>
      <c r="M451"/>
      <c r="N451"/>
      <c r="O451"/>
      <c r="P451"/>
      <c r="Q451"/>
    </row>
    <row r="452" spans="9:17" s="1" customFormat="1">
      <c r="I452" s="185"/>
      <c r="J452" s="185"/>
      <c r="K452" s="185"/>
      <c r="L452"/>
      <c r="M452"/>
      <c r="N452"/>
      <c r="O452"/>
      <c r="P452"/>
      <c r="Q452"/>
    </row>
    <row r="453" spans="9:17" s="1" customFormat="1">
      <c r="I453" s="185"/>
      <c r="J453" s="185"/>
      <c r="K453" s="185"/>
      <c r="L453"/>
      <c r="M453"/>
      <c r="N453"/>
      <c r="O453"/>
      <c r="P453"/>
      <c r="Q453"/>
    </row>
    <row r="454" spans="9:17" s="1" customFormat="1">
      <c r="I454" s="185"/>
      <c r="J454" s="185"/>
      <c r="K454" s="185"/>
      <c r="L454"/>
      <c r="M454"/>
      <c r="N454"/>
      <c r="O454"/>
      <c r="P454"/>
      <c r="Q454"/>
    </row>
    <row r="455" spans="9:17" s="1" customFormat="1">
      <c r="I455" s="185"/>
      <c r="J455" s="185"/>
      <c r="K455" s="185"/>
      <c r="L455"/>
      <c r="M455"/>
      <c r="N455"/>
      <c r="O455"/>
      <c r="P455"/>
      <c r="Q455"/>
    </row>
    <row r="456" spans="9:17" s="1" customFormat="1">
      <c r="I456" s="185"/>
      <c r="J456" s="185"/>
      <c r="K456" s="185"/>
      <c r="L456"/>
      <c r="M456"/>
      <c r="N456"/>
      <c r="O456"/>
      <c r="P456"/>
      <c r="Q456"/>
    </row>
    <row r="457" spans="9:17" s="1" customFormat="1">
      <c r="I457" s="185"/>
      <c r="J457" s="185"/>
      <c r="K457" s="185"/>
      <c r="L457"/>
      <c r="M457"/>
      <c r="N457"/>
      <c r="O457"/>
      <c r="P457"/>
      <c r="Q457"/>
    </row>
    <row r="458" spans="9:17" s="1" customFormat="1">
      <c r="I458" s="185"/>
      <c r="J458" s="185"/>
      <c r="K458" s="185"/>
      <c r="L458"/>
      <c r="M458"/>
      <c r="N458"/>
      <c r="O458"/>
      <c r="P458"/>
      <c r="Q458"/>
    </row>
    <row r="459" spans="9:17" s="1" customFormat="1">
      <c r="I459" s="185"/>
      <c r="J459" s="185"/>
      <c r="K459" s="185"/>
      <c r="L459"/>
      <c r="M459"/>
      <c r="N459"/>
      <c r="O459"/>
      <c r="P459"/>
      <c r="Q459"/>
    </row>
    <row r="460" spans="9:17" s="1" customFormat="1">
      <c r="I460" s="185"/>
      <c r="J460" s="185"/>
      <c r="K460" s="185"/>
      <c r="L460"/>
      <c r="M460"/>
      <c r="N460"/>
      <c r="O460"/>
      <c r="P460"/>
      <c r="Q460"/>
    </row>
    <row r="461" spans="9:17" s="1" customFormat="1">
      <c r="I461" s="185"/>
      <c r="J461" s="185"/>
      <c r="K461" s="185"/>
      <c r="L461"/>
      <c r="M461"/>
      <c r="N461"/>
      <c r="O461"/>
      <c r="P461"/>
      <c r="Q461"/>
    </row>
    <row r="462" spans="9:17" s="1" customFormat="1">
      <c r="I462" s="185"/>
      <c r="J462" s="185"/>
      <c r="K462" s="185"/>
      <c r="L462"/>
      <c r="M462"/>
      <c r="N462"/>
      <c r="O462"/>
      <c r="P462"/>
      <c r="Q462"/>
    </row>
    <row r="463" spans="9:17" s="1" customFormat="1">
      <c r="I463" s="185"/>
      <c r="J463" s="185"/>
      <c r="K463" s="185"/>
      <c r="L463"/>
      <c r="M463"/>
      <c r="N463"/>
      <c r="O463"/>
      <c r="P463"/>
      <c r="Q463"/>
    </row>
    <row r="464" spans="9:17" s="1" customFormat="1">
      <c r="I464" s="185"/>
      <c r="J464" s="185"/>
      <c r="K464" s="185"/>
      <c r="L464"/>
      <c r="M464"/>
      <c r="N464"/>
      <c r="O464"/>
      <c r="P464"/>
      <c r="Q464"/>
    </row>
    <row r="465" spans="9:17" s="1" customFormat="1">
      <c r="I465" s="185"/>
      <c r="J465" s="185"/>
      <c r="K465" s="185"/>
      <c r="L465"/>
      <c r="M465"/>
      <c r="N465"/>
      <c r="O465"/>
      <c r="P465"/>
      <c r="Q465"/>
    </row>
    <row r="466" spans="9:17" s="1" customFormat="1">
      <c r="I466" s="185"/>
      <c r="J466" s="185"/>
      <c r="K466" s="185"/>
      <c r="L466"/>
      <c r="M466"/>
      <c r="N466"/>
      <c r="O466"/>
      <c r="P466"/>
      <c r="Q466"/>
    </row>
    <row r="467" spans="9:17" s="1" customFormat="1">
      <c r="I467" s="185"/>
      <c r="J467" s="185"/>
      <c r="K467" s="185"/>
      <c r="L467"/>
      <c r="M467"/>
      <c r="N467"/>
      <c r="O467"/>
      <c r="P467"/>
      <c r="Q467"/>
    </row>
    <row r="468" spans="9:17" s="1" customFormat="1">
      <c r="I468" s="185"/>
      <c r="J468" s="185"/>
      <c r="K468" s="185"/>
      <c r="L468"/>
      <c r="M468"/>
      <c r="N468"/>
      <c r="O468"/>
      <c r="P468"/>
      <c r="Q468"/>
    </row>
    <row r="469" spans="9:17" s="1" customFormat="1">
      <c r="I469" s="185"/>
      <c r="J469" s="185"/>
      <c r="K469" s="185"/>
      <c r="L469"/>
      <c r="M469"/>
      <c r="N469"/>
      <c r="O469"/>
      <c r="P469"/>
      <c r="Q469"/>
    </row>
    <row r="470" spans="9:17" s="1" customFormat="1">
      <c r="I470" s="185"/>
      <c r="J470" s="185"/>
      <c r="K470" s="185"/>
      <c r="L470"/>
      <c r="M470"/>
      <c r="N470"/>
      <c r="O470"/>
      <c r="P470"/>
      <c r="Q470"/>
    </row>
    <row r="471" spans="9:17" s="1" customFormat="1">
      <c r="I471" s="185"/>
      <c r="J471" s="185"/>
      <c r="K471" s="185"/>
      <c r="L471"/>
      <c r="M471"/>
      <c r="N471"/>
      <c r="O471"/>
      <c r="P471"/>
      <c r="Q471"/>
    </row>
    <row r="472" spans="9:17" s="1" customFormat="1">
      <c r="I472" s="185"/>
      <c r="J472" s="185"/>
      <c r="K472" s="185"/>
      <c r="L472"/>
      <c r="M472"/>
      <c r="N472"/>
      <c r="O472"/>
      <c r="P472"/>
      <c r="Q472"/>
    </row>
    <row r="473" spans="9:17" s="1" customFormat="1">
      <c r="I473" s="185"/>
      <c r="J473" s="185"/>
      <c r="K473" s="185"/>
      <c r="L473"/>
      <c r="M473"/>
      <c r="N473"/>
      <c r="O473"/>
      <c r="P473"/>
      <c r="Q473"/>
    </row>
    <row r="474" spans="9:17" s="1" customFormat="1">
      <c r="I474" s="185"/>
      <c r="J474" s="185"/>
      <c r="K474" s="185"/>
      <c r="L474"/>
      <c r="M474"/>
      <c r="N474"/>
      <c r="O474"/>
      <c r="P474"/>
      <c r="Q474"/>
    </row>
    <row r="475" spans="9:17" s="1" customFormat="1">
      <c r="I475" s="185"/>
      <c r="J475" s="185"/>
      <c r="K475" s="185"/>
      <c r="L475"/>
      <c r="M475"/>
      <c r="N475"/>
      <c r="O475"/>
      <c r="P475"/>
      <c r="Q475"/>
    </row>
    <row r="476" spans="9:17" s="1" customFormat="1">
      <c r="I476" s="185"/>
      <c r="J476" s="185"/>
      <c r="K476" s="185"/>
      <c r="L476"/>
      <c r="M476"/>
      <c r="N476"/>
      <c r="O476"/>
      <c r="P476"/>
      <c r="Q476"/>
    </row>
    <row r="477" spans="9:17" s="1" customFormat="1">
      <c r="I477" s="185"/>
      <c r="J477" s="185"/>
      <c r="K477" s="185"/>
      <c r="L477"/>
      <c r="M477"/>
      <c r="N477"/>
      <c r="O477"/>
      <c r="P477"/>
      <c r="Q477"/>
    </row>
    <row r="478" spans="9:17" s="1" customFormat="1">
      <c r="I478" s="185"/>
      <c r="J478" s="185"/>
      <c r="K478" s="185"/>
      <c r="L478"/>
      <c r="M478"/>
      <c r="N478"/>
      <c r="O478"/>
      <c r="P478"/>
      <c r="Q478"/>
    </row>
    <row r="479" spans="9:17" s="1" customFormat="1">
      <c r="I479" s="185"/>
      <c r="J479" s="185"/>
      <c r="K479" s="185"/>
      <c r="L479"/>
      <c r="M479"/>
      <c r="N479"/>
      <c r="O479"/>
      <c r="P479"/>
      <c r="Q479"/>
    </row>
    <row r="480" spans="9:17" s="1" customFormat="1">
      <c r="I480" s="185"/>
      <c r="J480" s="185"/>
      <c r="K480" s="185"/>
      <c r="L480"/>
      <c r="M480"/>
      <c r="N480"/>
      <c r="O480"/>
      <c r="P480"/>
      <c r="Q480"/>
    </row>
    <row r="481" spans="9:17" s="1" customFormat="1">
      <c r="I481" s="185"/>
      <c r="J481" s="185"/>
      <c r="K481" s="185"/>
      <c r="L481"/>
      <c r="M481"/>
      <c r="N481"/>
      <c r="O481"/>
      <c r="P481"/>
      <c r="Q481"/>
    </row>
    <row r="482" spans="9:17" s="1" customFormat="1">
      <c r="I482" s="185"/>
      <c r="J482" s="185"/>
      <c r="K482" s="185"/>
      <c r="L482"/>
      <c r="M482"/>
      <c r="N482"/>
      <c r="O482"/>
      <c r="P482"/>
      <c r="Q482"/>
    </row>
    <row r="483" spans="9:17" s="1" customFormat="1">
      <c r="I483" s="185"/>
      <c r="J483" s="185"/>
      <c r="K483" s="185"/>
      <c r="L483"/>
      <c r="M483"/>
      <c r="N483"/>
      <c r="O483"/>
      <c r="P483"/>
      <c r="Q483"/>
    </row>
    <row r="484" spans="9:17" s="1" customFormat="1">
      <c r="I484" s="185"/>
      <c r="J484" s="185"/>
      <c r="K484" s="185"/>
      <c r="L484"/>
      <c r="M484"/>
      <c r="N484"/>
      <c r="O484"/>
      <c r="P484"/>
      <c r="Q484"/>
    </row>
    <row r="485" spans="9:17" s="1" customFormat="1">
      <c r="I485" s="185"/>
      <c r="J485" s="185"/>
      <c r="K485" s="185"/>
      <c r="L485"/>
      <c r="M485"/>
      <c r="N485"/>
      <c r="O485"/>
      <c r="P485"/>
      <c r="Q485"/>
    </row>
    <row r="486" spans="9:17" s="1" customFormat="1">
      <c r="I486" s="185"/>
      <c r="J486" s="185"/>
      <c r="K486" s="185"/>
      <c r="L486"/>
      <c r="M486"/>
      <c r="N486"/>
      <c r="O486"/>
      <c r="P486"/>
      <c r="Q486"/>
    </row>
    <row r="487" spans="9:17" s="1" customFormat="1">
      <c r="I487" s="185"/>
      <c r="J487" s="185"/>
      <c r="K487" s="185"/>
      <c r="L487"/>
      <c r="M487"/>
      <c r="N487"/>
      <c r="O487"/>
      <c r="P487"/>
      <c r="Q487"/>
    </row>
    <row r="488" spans="9:17" s="1" customFormat="1">
      <c r="I488" s="185"/>
      <c r="J488" s="185"/>
      <c r="K488" s="185"/>
      <c r="L488"/>
      <c r="M488"/>
      <c r="N488"/>
      <c r="O488"/>
      <c r="P488"/>
      <c r="Q488"/>
    </row>
    <row r="489" spans="9:17" s="1" customFormat="1">
      <c r="I489" s="185"/>
      <c r="J489" s="185"/>
      <c r="K489" s="185"/>
      <c r="L489"/>
      <c r="M489"/>
      <c r="N489"/>
      <c r="O489"/>
      <c r="P489"/>
      <c r="Q489"/>
    </row>
    <row r="490" spans="9:17" s="1" customFormat="1">
      <c r="I490" s="185"/>
      <c r="J490" s="185"/>
      <c r="K490" s="185"/>
      <c r="L490"/>
      <c r="M490"/>
      <c r="N490"/>
      <c r="O490"/>
      <c r="P490"/>
      <c r="Q490"/>
    </row>
    <row r="491" spans="9:17" s="1" customFormat="1">
      <c r="I491" s="185"/>
      <c r="J491" s="185"/>
      <c r="K491" s="185"/>
      <c r="L491"/>
      <c r="M491"/>
      <c r="N491"/>
      <c r="O491"/>
      <c r="P491"/>
      <c r="Q491"/>
    </row>
    <row r="492" spans="9:17" s="1" customFormat="1">
      <c r="I492" s="185"/>
      <c r="J492" s="185"/>
      <c r="K492" s="185"/>
      <c r="L492"/>
      <c r="M492"/>
      <c r="N492"/>
      <c r="O492"/>
      <c r="P492"/>
      <c r="Q492"/>
    </row>
    <row r="493" spans="9:17" s="1" customFormat="1">
      <c r="I493" s="185"/>
      <c r="J493" s="185"/>
      <c r="K493" s="185"/>
      <c r="L493"/>
      <c r="M493"/>
      <c r="N493"/>
      <c r="O493"/>
      <c r="P493"/>
      <c r="Q493"/>
    </row>
    <row r="494" spans="9:17" s="1" customFormat="1">
      <c r="I494" s="185"/>
      <c r="J494" s="185"/>
      <c r="K494" s="185"/>
      <c r="L494"/>
      <c r="M494"/>
      <c r="N494"/>
      <c r="O494"/>
      <c r="P494"/>
      <c r="Q494"/>
    </row>
    <row r="495" spans="9:17" s="1" customFormat="1">
      <c r="I495" s="185"/>
      <c r="J495" s="185"/>
      <c r="K495" s="185"/>
      <c r="L495"/>
      <c r="M495"/>
      <c r="N495"/>
      <c r="O495"/>
      <c r="P495"/>
      <c r="Q495"/>
    </row>
    <row r="496" spans="9:17" s="1" customFormat="1">
      <c r="I496" s="185"/>
      <c r="J496" s="185"/>
      <c r="K496" s="185"/>
      <c r="L496"/>
      <c r="M496"/>
      <c r="N496"/>
      <c r="O496"/>
      <c r="P496"/>
      <c r="Q496"/>
    </row>
    <row r="497" spans="9:17" s="1" customFormat="1">
      <c r="I497" s="185"/>
      <c r="J497" s="185"/>
      <c r="K497" s="185"/>
      <c r="L497"/>
      <c r="M497"/>
      <c r="N497"/>
      <c r="O497"/>
      <c r="P497"/>
      <c r="Q497"/>
    </row>
    <row r="498" spans="9:17" s="1" customFormat="1">
      <c r="I498" s="185"/>
      <c r="J498" s="185"/>
      <c r="K498" s="185"/>
      <c r="L498"/>
      <c r="M498"/>
      <c r="N498"/>
      <c r="O498"/>
      <c r="P498"/>
      <c r="Q498"/>
    </row>
    <row r="499" spans="9:17" s="1" customFormat="1">
      <c r="I499" s="185"/>
      <c r="J499" s="185"/>
      <c r="K499" s="185"/>
      <c r="L499"/>
      <c r="M499"/>
      <c r="N499"/>
      <c r="O499"/>
      <c r="P499"/>
      <c r="Q499"/>
    </row>
    <row r="500" spans="9:17" s="1" customFormat="1">
      <c r="I500" s="185"/>
      <c r="J500" s="185"/>
      <c r="K500" s="185"/>
      <c r="L500"/>
      <c r="M500"/>
      <c r="N500"/>
      <c r="O500"/>
      <c r="P500"/>
      <c r="Q500"/>
    </row>
    <row r="501" spans="9:17" s="1" customFormat="1">
      <c r="I501" s="185"/>
      <c r="J501" s="185"/>
      <c r="K501" s="185"/>
      <c r="L501"/>
      <c r="M501"/>
      <c r="N501"/>
      <c r="O501"/>
      <c r="P501"/>
      <c r="Q501"/>
    </row>
    <row r="502" spans="9:17" s="1" customFormat="1">
      <c r="I502" s="185"/>
      <c r="J502" s="185"/>
      <c r="K502" s="185"/>
      <c r="L502"/>
      <c r="M502"/>
      <c r="N502"/>
      <c r="O502"/>
      <c r="P502"/>
      <c r="Q502"/>
    </row>
    <row r="503" spans="9:17" s="1" customFormat="1">
      <c r="I503" s="185"/>
      <c r="J503" s="185"/>
      <c r="K503" s="185"/>
      <c r="L503"/>
      <c r="M503"/>
      <c r="N503"/>
      <c r="O503"/>
      <c r="P503"/>
      <c r="Q503"/>
    </row>
    <row r="504" spans="9:17" s="1" customFormat="1">
      <c r="I504" s="185"/>
      <c r="J504" s="185"/>
      <c r="K504" s="185"/>
      <c r="L504"/>
      <c r="M504"/>
      <c r="N504"/>
      <c r="O504"/>
      <c r="P504"/>
      <c r="Q504"/>
    </row>
    <row r="505" spans="9:17" s="1" customFormat="1">
      <c r="I505" s="185"/>
      <c r="J505" s="185"/>
      <c r="K505" s="185"/>
      <c r="L505"/>
      <c r="M505"/>
      <c r="N505"/>
      <c r="O505"/>
      <c r="P505"/>
      <c r="Q505"/>
    </row>
    <row r="506" spans="9:17" s="1" customFormat="1">
      <c r="I506" s="185"/>
      <c r="J506" s="185"/>
      <c r="K506" s="185"/>
      <c r="L506"/>
      <c r="M506"/>
      <c r="N506"/>
      <c r="O506"/>
      <c r="P506"/>
      <c r="Q506"/>
    </row>
    <row r="507" spans="9:17" s="1" customFormat="1">
      <c r="I507" s="185"/>
      <c r="J507" s="185"/>
      <c r="K507" s="185"/>
      <c r="L507"/>
      <c r="M507"/>
      <c r="N507"/>
      <c r="O507"/>
      <c r="P507"/>
      <c r="Q507"/>
    </row>
    <row r="508" spans="9:17" s="1" customFormat="1">
      <c r="I508" s="185"/>
      <c r="J508" s="185"/>
      <c r="K508" s="185"/>
      <c r="L508"/>
      <c r="M508"/>
      <c r="N508"/>
      <c r="O508"/>
      <c r="P508"/>
      <c r="Q508"/>
    </row>
    <row r="509" spans="9:17" s="1" customFormat="1">
      <c r="I509" s="185"/>
      <c r="J509" s="185"/>
      <c r="K509" s="185"/>
      <c r="L509"/>
      <c r="M509"/>
      <c r="N509"/>
      <c r="O509"/>
      <c r="P509"/>
      <c r="Q509"/>
    </row>
    <row r="510" spans="9:17" s="1" customFormat="1">
      <c r="I510" s="185"/>
      <c r="J510" s="185"/>
      <c r="K510" s="185"/>
      <c r="L510"/>
      <c r="M510"/>
      <c r="N510"/>
      <c r="O510"/>
      <c r="P510"/>
      <c r="Q510"/>
    </row>
    <row r="511" spans="9:17" s="1" customFormat="1">
      <c r="I511" s="185"/>
      <c r="J511" s="185"/>
      <c r="K511" s="185"/>
      <c r="L511"/>
      <c r="M511"/>
      <c r="N511"/>
      <c r="O511"/>
      <c r="P511"/>
      <c r="Q511"/>
    </row>
    <row r="512" spans="9:17" s="1" customFormat="1">
      <c r="I512" s="185"/>
      <c r="J512" s="185"/>
      <c r="K512" s="185"/>
      <c r="L512"/>
      <c r="M512"/>
      <c r="N512"/>
      <c r="O512"/>
      <c r="P512"/>
      <c r="Q512"/>
    </row>
    <row r="513" spans="9:17" s="1" customFormat="1">
      <c r="I513" s="185"/>
      <c r="J513" s="185"/>
      <c r="K513" s="185"/>
      <c r="L513"/>
      <c r="M513"/>
      <c r="N513"/>
      <c r="O513"/>
      <c r="P513"/>
      <c r="Q513"/>
    </row>
    <row r="514" spans="9:17" s="1" customFormat="1">
      <c r="I514" s="185"/>
      <c r="J514" s="185"/>
      <c r="K514" s="185"/>
      <c r="L514"/>
      <c r="M514"/>
      <c r="N514"/>
      <c r="O514"/>
      <c r="P514"/>
      <c r="Q514"/>
    </row>
    <row r="515" spans="9:17" s="1" customFormat="1">
      <c r="I515" s="185"/>
      <c r="J515" s="185"/>
      <c r="K515" s="185"/>
      <c r="L515"/>
      <c r="M515"/>
      <c r="N515"/>
      <c r="O515"/>
      <c r="P515"/>
      <c r="Q515"/>
    </row>
    <row r="516" spans="9:17" s="1" customFormat="1">
      <c r="I516" s="185"/>
      <c r="J516" s="185"/>
      <c r="K516" s="185"/>
      <c r="L516"/>
      <c r="M516"/>
      <c r="N516"/>
      <c r="O516"/>
      <c r="P516"/>
      <c r="Q516"/>
    </row>
    <row r="517" spans="9:17" s="1" customFormat="1">
      <c r="I517" s="185"/>
      <c r="J517" s="185"/>
      <c r="K517" s="185"/>
      <c r="L517"/>
      <c r="M517"/>
      <c r="N517"/>
      <c r="O517"/>
      <c r="P517"/>
      <c r="Q517"/>
    </row>
    <row r="518" spans="9:17" s="1" customFormat="1">
      <c r="I518" s="185"/>
      <c r="J518" s="185"/>
      <c r="K518" s="185"/>
      <c r="L518"/>
      <c r="M518"/>
      <c r="N518"/>
      <c r="O518"/>
      <c r="P518"/>
      <c r="Q518"/>
    </row>
    <row r="519" spans="9:17" s="1" customFormat="1">
      <c r="I519" s="185"/>
      <c r="J519" s="185"/>
      <c r="K519" s="185"/>
      <c r="L519"/>
      <c r="M519"/>
      <c r="N519"/>
      <c r="O519"/>
      <c r="P519"/>
      <c r="Q519"/>
    </row>
    <row r="520" spans="9:17" s="1" customFormat="1">
      <c r="I520" s="185"/>
      <c r="J520" s="185"/>
      <c r="K520" s="185"/>
      <c r="L520"/>
      <c r="M520"/>
      <c r="N520"/>
      <c r="O520"/>
      <c r="P520"/>
      <c r="Q520"/>
    </row>
    <row r="521" spans="9:17" s="1" customFormat="1">
      <c r="I521" s="185"/>
      <c r="J521" s="185"/>
      <c r="K521" s="185"/>
      <c r="L521"/>
      <c r="M521"/>
      <c r="N521"/>
      <c r="O521"/>
      <c r="P521"/>
      <c r="Q521"/>
    </row>
    <row r="522" spans="9:17" s="1" customFormat="1">
      <c r="I522" s="185"/>
      <c r="J522" s="185"/>
      <c r="K522" s="185"/>
      <c r="L522"/>
      <c r="M522"/>
      <c r="N522"/>
      <c r="O522"/>
      <c r="P522"/>
      <c r="Q522"/>
    </row>
    <row r="523" spans="9:17" s="1" customFormat="1">
      <c r="I523" s="185"/>
      <c r="J523" s="185"/>
      <c r="K523" s="185"/>
      <c r="L523"/>
      <c r="M523"/>
      <c r="N523"/>
      <c r="O523"/>
      <c r="P523"/>
      <c r="Q523"/>
    </row>
    <row r="524" spans="9:17" s="1" customFormat="1">
      <c r="I524" s="185"/>
      <c r="J524" s="185"/>
      <c r="K524" s="185"/>
      <c r="L524"/>
      <c r="M524"/>
      <c r="N524"/>
      <c r="O524"/>
      <c r="P524"/>
      <c r="Q524"/>
    </row>
    <row r="525" spans="9:17" s="1" customFormat="1">
      <c r="I525" s="185"/>
      <c r="J525" s="185"/>
      <c r="K525" s="185"/>
      <c r="L525"/>
      <c r="M525"/>
      <c r="N525"/>
      <c r="O525"/>
      <c r="P525"/>
      <c r="Q525"/>
    </row>
    <row r="526" spans="9:17" s="1" customFormat="1">
      <c r="I526" s="185"/>
      <c r="J526" s="185"/>
      <c r="K526" s="185"/>
      <c r="L526"/>
      <c r="M526"/>
      <c r="N526"/>
      <c r="O526"/>
      <c r="P526"/>
      <c r="Q526"/>
    </row>
    <row r="527" spans="9:17" s="1" customFormat="1">
      <c r="I527" s="185"/>
      <c r="J527" s="185"/>
      <c r="K527" s="185"/>
      <c r="L527"/>
      <c r="M527"/>
      <c r="N527"/>
      <c r="O527"/>
      <c r="P527"/>
      <c r="Q527"/>
    </row>
    <row r="528" spans="9:17" s="1" customFormat="1">
      <c r="I528" s="185"/>
      <c r="J528" s="185"/>
      <c r="K528" s="185"/>
      <c r="L528"/>
      <c r="M528"/>
      <c r="N528"/>
      <c r="O528"/>
      <c r="P528"/>
      <c r="Q528"/>
    </row>
    <row r="529" spans="9:17" s="1" customFormat="1">
      <c r="I529" s="185"/>
      <c r="J529" s="185"/>
      <c r="K529" s="185"/>
      <c r="L529"/>
      <c r="M529"/>
      <c r="N529"/>
      <c r="O529"/>
      <c r="P529"/>
      <c r="Q529"/>
    </row>
    <row r="530" spans="9:17" s="1" customFormat="1">
      <c r="I530" s="185"/>
      <c r="J530" s="185"/>
      <c r="K530" s="185"/>
      <c r="L530"/>
      <c r="M530"/>
      <c r="N530"/>
      <c r="O530"/>
      <c r="P530"/>
      <c r="Q530"/>
    </row>
    <row r="531" spans="9:17" s="1" customFormat="1">
      <c r="I531" s="185"/>
      <c r="J531" s="185"/>
      <c r="K531" s="185"/>
      <c r="L531"/>
      <c r="M531"/>
      <c r="N531"/>
      <c r="O531"/>
      <c r="P531"/>
      <c r="Q531"/>
    </row>
    <row r="532" spans="9:17" s="1" customFormat="1">
      <c r="I532" s="185"/>
      <c r="J532" s="185"/>
      <c r="K532" s="185"/>
      <c r="L532"/>
      <c r="M532"/>
      <c r="N532"/>
      <c r="O532"/>
      <c r="P532"/>
      <c r="Q532"/>
    </row>
    <row r="533" spans="9:17" s="1" customFormat="1">
      <c r="I533" s="185"/>
      <c r="J533" s="185"/>
      <c r="K533" s="185"/>
      <c r="L533"/>
      <c r="M533"/>
      <c r="N533"/>
      <c r="O533"/>
      <c r="P533"/>
      <c r="Q533"/>
    </row>
    <row r="534" spans="9:17" s="1" customFormat="1">
      <c r="I534" s="185"/>
      <c r="J534" s="185"/>
      <c r="K534" s="185"/>
      <c r="L534"/>
      <c r="M534"/>
      <c r="N534"/>
      <c r="O534"/>
      <c r="P534"/>
      <c r="Q534"/>
    </row>
    <row r="535" spans="9:17" s="1" customFormat="1">
      <c r="I535" s="185"/>
      <c r="J535" s="185"/>
      <c r="K535" s="185"/>
      <c r="L535"/>
      <c r="M535"/>
      <c r="N535"/>
      <c r="O535"/>
      <c r="P535"/>
      <c r="Q535"/>
    </row>
    <row r="536" spans="9:17" s="1" customFormat="1">
      <c r="I536" s="185"/>
      <c r="J536" s="185"/>
      <c r="K536" s="185"/>
      <c r="L536"/>
      <c r="M536"/>
      <c r="N536"/>
      <c r="O536"/>
      <c r="P536"/>
      <c r="Q536"/>
    </row>
    <row r="537" spans="9:17" s="1" customFormat="1">
      <c r="I537" s="185"/>
      <c r="J537" s="185"/>
      <c r="K537" s="185"/>
      <c r="L537"/>
      <c r="M537"/>
      <c r="N537"/>
      <c r="O537"/>
      <c r="P537"/>
      <c r="Q537"/>
    </row>
    <row r="538" spans="9:17" s="1" customFormat="1">
      <c r="I538" s="185"/>
      <c r="J538" s="185"/>
      <c r="K538" s="185"/>
      <c r="L538"/>
      <c r="M538"/>
      <c r="N538"/>
      <c r="O538"/>
      <c r="P538"/>
      <c r="Q538"/>
    </row>
    <row r="539" spans="9:17" s="1" customFormat="1">
      <c r="I539" s="185"/>
      <c r="J539" s="185"/>
      <c r="K539" s="185"/>
      <c r="L539"/>
      <c r="M539"/>
      <c r="N539"/>
      <c r="O539"/>
      <c r="P539"/>
      <c r="Q539"/>
    </row>
    <row r="540" spans="9:17" s="1" customFormat="1">
      <c r="I540" s="185"/>
      <c r="J540" s="185"/>
      <c r="K540" s="185"/>
      <c r="L540"/>
      <c r="M540"/>
      <c r="N540"/>
      <c r="O540"/>
      <c r="P540"/>
      <c r="Q540"/>
    </row>
    <row r="541" spans="9:17" s="1" customFormat="1">
      <c r="I541" s="185"/>
      <c r="J541" s="185"/>
      <c r="K541" s="185"/>
      <c r="L541"/>
      <c r="M541"/>
      <c r="N541"/>
      <c r="O541"/>
      <c r="P541"/>
      <c r="Q541"/>
    </row>
    <row r="542" spans="9:17" s="1" customFormat="1">
      <c r="I542" s="185"/>
      <c r="J542" s="185"/>
      <c r="K542" s="185"/>
      <c r="L542"/>
      <c r="M542"/>
      <c r="N542"/>
      <c r="O542"/>
      <c r="P542"/>
      <c r="Q542"/>
    </row>
    <row r="543" spans="9:17" s="1" customFormat="1">
      <c r="I543" s="185"/>
      <c r="J543" s="185"/>
      <c r="K543" s="185"/>
      <c r="L543"/>
      <c r="M543"/>
      <c r="N543"/>
      <c r="O543"/>
      <c r="P543"/>
      <c r="Q543"/>
    </row>
    <row r="544" spans="9:17" s="1" customFormat="1">
      <c r="I544" s="185"/>
      <c r="J544" s="185"/>
      <c r="K544" s="185"/>
      <c r="L544"/>
      <c r="M544"/>
      <c r="N544"/>
      <c r="O544"/>
      <c r="P544"/>
      <c r="Q544"/>
    </row>
    <row r="545" spans="9:17" s="1" customFormat="1">
      <c r="I545" s="185"/>
      <c r="J545" s="185"/>
      <c r="K545" s="185"/>
      <c r="L545"/>
      <c r="M545"/>
      <c r="N545"/>
      <c r="O545"/>
      <c r="P545"/>
      <c r="Q545"/>
    </row>
    <row r="546" spans="9:17" s="1" customFormat="1">
      <c r="I546" s="185"/>
      <c r="J546" s="185"/>
      <c r="K546" s="185"/>
      <c r="L546"/>
      <c r="M546"/>
      <c r="N546"/>
      <c r="O546"/>
      <c r="P546"/>
      <c r="Q546"/>
    </row>
    <row r="547" spans="9:17" s="1" customFormat="1">
      <c r="I547" s="185"/>
      <c r="J547" s="185"/>
      <c r="K547" s="185"/>
      <c r="L547"/>
      <c r="M547"/>
      <c r="N547"/>
      <c r="O547"/>
      <c r="P547"/>
      <c r="Q547"/>
    </row>
    <row r="548" spans="9:17" s="1" customFormat="1">
      <c r="I548" s="185"/>
      <c r="J548" s="185"/>
      <c r="K548" s="185"/>
      <c r="L548"/>
      <c r="M548"/>
      <c r="N548"/>
      <c r="O548"/>
      <c r="P548"/>
      <c r="Q548"/>
    </row>
    <row r="549" spans="9:17" s="1" customFormat="1">
      <c r="I549" s="185"/>
      <c r="J549" s="185"/>
      <c r="K549" s="185"/>
      <c r="L549"/>
      <c r="M549"/>
      <c r="N549"/>
      <c r="O549"/>
      <c r="P549"/>
      <c r="Q549"/>
    </row>
    <row r="550" spans="9:17" s="1" customFormat="1">
      <c r="I550" s="185"/>
      <c r="J550" s="185"/>
      <c r="K550" s="185"/>
      <c r="L550"/>
      <c r="M550"/>
      <c r="N550"/>
      <c r="O550"/>
      <c r="P550"/>
      <c r="Q550"/>
    </row>
    <row r="551" spans="9:17" s="1" customFormat="1">
      <c r="I551" s="185"/>
      <c r="J551" s="185"/>
      <c r="K551" s="185"/>
      <c r="L551"/>
      <c r="M551"/>
      <c r="N551"/>
      <c r="O551"/>
      <c r="P551"/>
      <c r="Q551"/>
    </row>
    <row r="552" spans="9:17" s="1" customFormat="1">
      <c r="I552" s="185"/>
      <c r="J552" s="185"/>
      <c r="K552" s="185"/>
      <c r="L552"/>
      <c r="M552"/>
      <c r="N552"/>
      <c r="O552"/>
      <c r="P552"/>
      <c r="Q552"/>
    </row>
    <row r="553" spans="9:17" s="1" customFormat="1">
      <c r="I553" s="185"/>
      <c r="J553" s="185"/>
      <c r="K553" s="185"/>
      <c r="L553"/>
      <c r="M553"/>
      <c r="N553"/>
      <c r="O553"/>
      <c r="P553"/>
      <c r="Q553"/>
    </row>
    <row r="554" spans="9:17" s="1" customFormat="1">
      <c r="I554" s="185"/>
      <c r="J554" s="185"/>
      <c r="K554" s="185"/>
      <c r="L554"/>
      <c r="M554"/>
      <c r="N554"/>
      <c r="O554"/>
      <c r="P554"/>
      <c r="Q554"/>
    </row>
    <row r="555" spans="9:17" s="1" customFormat="1">
      <c r="I555" s="185"/>
      <c r="J555" s="185"/>
      <c r="K555" s="185"/>
      <c r="L555"/>
      <c r="M555"/>
      <c r="N555"/>
      <c r="O555"/>
      <c r="P555"/>
      <c r="Q555"/>
    </row>
    <row r="556" spans="9:17" s="1" customFormat="1">
      <c r="I556" s="185"/>
      <c r="J556" s="185"/>
      <c r="K556" s="185"/>
      <c r="L556"/>
      <c r="M556"/>
      <c r="N556"/>
      <c r="O556"/>
      <c r="P556"/>
      <c r="Q556"/>
    </row>
    <row r="557" spans="9:17" s="1" customFormat="1">
      <c r="I557" s="185"/>
      <c r="J557" s="185"/>
      <c r="K557" s="185"/>
      <c r="L557"/>
      <c r="M557"/>
      <c r="N557"/>
      <c r="O557"/>
      <c r="P557"/>
      <c r="Q557"/>
    </row>
    <row r="558" spans="9:17" s="1" customFormat="1">
      <c r="I558" s="185"/>
      <c r="J558" s="185"/>
      <c r="K558" s="185"/>
      <c r="L558"/>
      <c r="M558"/>
      <c r="N558"/>
      <c r="O558"/>
      <c r="P558"/>
      <c r="Q558"/>
    </row>
    <row r="559" spans="9:17" s="1" customFormat="1">
      <c r="I559" s="185"/>
      <c r="J559" s="185"/>
      <c r="K559" s="185"/>
      <c r="L559"/>
      <c r="M559"/>
      <c r="N559"/>
      <c r="O559"/>
      <c r="P559"/>
      <c r="Q559"/>
    </row>
    <row r="560" spans="9:17" s="1" customFormat="1">
      <c r="I560" s="185"/>
      <c r="J560" s="185"/>
      <c r="K560" s="185"/>
      <c r="L560"/>
      <c r="M560"/>
      <c r="N560"/>
      <c r="O560"/>
      <c r="P560"/>
      <c r="Q560"/>
    </row>
    <row r="561" spans="9:17" s="1" customFormat="1">
      <c r="I561" s="185"/>
      <c r="J561" s="185"/>
      <c r="K561" s="185"/>
      <c r="L561"/>
      <c r="M561"/>
      <c r="N561"/>
      <c r="O561"/>
      <c r="P561"/>
      <c r="Q561"/>
    </row>
    <row r="562" spans="9:17" s="1" customFormat="1">
      <c r="I562" s="185"/>
      <c r="J562" s="185"/>
      <c r="K562" s="185"/>
      <c r="L562"/>
      <c r="M562"/>
      <c r="N562"/>
      <c r="O562"/>
      <c r="P562"/>
      <c r="Q562"/>
    </row>
    <row r="563" spans="9:17" s="1" customFormat="1">
      <c r="I563" s="185"/>
      <c r="J563" s="185"/>
      <c r="K563" s="185"/>
      <c r="L563"/>
      <c r="M563"/>
      <c r="N563"/>
      <c r="O563"/>
      <c r="P563"/>
      <c r="Q563"/>
    </row>
    <row r="564" spans="9:17" s="1" customFormat="1">
      <c r="I564" s="185"/>
      <c r="J564" s="185"/>
      <c r="K564" s="185"/>
      <c r="L564"/>
      <c r="M564"/>
      <c r="N564"/>
      <c r="O564"/>
      <c r="P564"/>
      <c r="Q564"/>
    </row>
    <row r="565" spans="9:17" s="1" customFormat="1">
      <c r="I565" s="185"/>
      <c r="J565" s="185"/>
      <c r="K565" s="185"/>
      <c r="L565"/>
      <c r="M565"/>
      <c r="N565"/>
      <c r="O565"/>
      <c r="P565"/>
      <c r="Q565"/>
    </row>
    <row r="566" spans="9:17" s="1" customFormat="1">
      <c r="I566" s="185"/>
      <c r="J566" s="185"/>
      <c r="K566" s="185"/>
      <c r="L566"/>
      <c r="M566"/>
      <c r="N566"/>
      <c r="O566"/>
      <c r="P566"/>
      <c r="Q566"/>
    </row>
    <row r="567" spans="9:17" s="1" customFormat="1">
      <c r="I567" s="185"/>
      <c r="J567" s="185"/>
      <c r="K567" s="185"/>
      <c r="L567"/>
      <c r="M567"/>
      <c r="N567"/>
      <c r="O567"/>
      <c r="P567"/>
      <c r="Q567"/>
    </row>
    <row r="568" spans="9:17" s="1" customFormat="1">
      <c r="I568" s="185"/>
      <c r="J568" s="185"/>
      <c r="K568" s="185"/>
      <c r="L568"/>
      <c r="M568"/>
      <c r="N568"/>
      <c r="O568"/>
      <c r="P568"/>
      <c r="Q568"/>
    </row>
    <row r="569" spans="9:17" s="1" customFormat="1">
      <c r="I569" s="185"/>
      <c r="J569" s="185"/>
      <c r="K569" s="185"/>
      <c r="L569"/>
      <c r="M569"/>
      <c r="N569"/>
      <c r="O569"/>
      <c r="P569"/>
      <c r="Q569"/>
    </row>
    <row r="570" spans="9:17" s="1" customFormat="1">
      <c r="I570" s="185"/>
      <c r="J570" s="185"/>
      <c r="K570" s="185"/>
      <c r="L570"/>
      <c r="M570"/>
      <c r="N570"/>
      <c r="O570"/>
      <c r="P570"/>
      <c r="Q570"/>
    </row>
    <row r="571" spans="9:17" s="1" customFormat="1">
      <c r="I571" s="185"/>
      <c r="J571" s="185"/>
      <c r="K571" s="185"/>
      <c r="L571"/>
      <c r="M571"/>
      <c r="N571"/>
      <c r="O571"/>
      <c r="P571"/>
      <c r="Q571"/>
    </row>
    <row r="572" spans="9:17" s="1" customFormat="1">
      <c r="I572" s="185"/>
      <c r="J572" s="185"/>
      <c r="K572" s="185"/>
      <c r="L572"/>
      <c r="M572"/>
      <c r="N572"/>
      <c r="O572"/>
      <c r="P572"/>
      <c r="Q572"/>
    </row>
    <row r="573" spans="9:17" s="1" customFormat="1">
      <c r="I573" s="185"/>
      <c r="J573" s="185"/>
      <c r="K573" s="185"/>
      <c r="L573"/>
      <c r="M573"/>
      <c r="N573"/>
      <c r="O573"/>
      <c r="P573"/>
      <c r="Q573"/>
    </row>
    <row r="574" spans="9:17" s="1" customFormat="1">
      <c r="I574" s="185"/>
      <c r="J574" s="185"/>
      <c r="K574" s="185"/>
      <c r="L574"/>
      <c r="M574"/>
      <c r="N574"/>
      <c r="O574"/>
      <c r="P574"/>
      <c r="Q574"/>
    </row>
    <row r="575" spans="9:17" s="1" customFormat="1">
      <c r="I575" s="185"/>
      <c r="J575" s="185"/>
      <c r="K575" s="185"/>
      <c r="L575"/>
      <c r="M575"/>
      <c r="N575"/>
      <c r="O575"/>
      <c r="P575"/>
      <c r="Q575"/>
    </row>
    <row r="576" spans="9:17" s="1" customFormat="1">
      <c r="I576" s="185"/>
      <c r="J576" s="185"/>
      <c r="K576" s="185"/>
      <c r="L576"/>
      <c r="M576"/>
      <c r="N576"/>
      <c r="O576"/>
      <c r="P576"/>
      <c r="Q576"/>
    </row>
    <row r="577" spans="9:17" s="1" customFormat="1">
      <c r="I577" s="185"/>
      <c r="J577" s="185"/>
      <c r="K577" s="185"/>
      <c r="L577"/>
      <c r="M577"/>
      <c r="N577"/>
      <c r="O577"/>
      <c r="P577"/>
      <c r="Q577"/>
    </row>
    <row r="578" spans="9:17" s="1" customFormat="1">
      <c r="I578" s="185"/>
      <c r="J578" s="185"/>
      <c r="K578" s="185"/>
      <c r="L578"/>
      <c r="M578"/>
      <c r="N578"/>
      <c r="O578"/>
      <c r="P578"/>
      <c r="Q578"/>
    </row>
    <row r="579" spans="9:17" s="1" customFormat="1">
      <c r="I579" s="185"/>
      <c r="J579" s="185"/>
      <c r="K579" s="185"/>
      <c r="L579"/>
      <c r="M579"/>
      <c r="N579"/>
      <c r="O579"/>
      <c r="P579"/>
      <c r="Q579"/>
    </row>
    <row r="580" spans="9:17" s="1" customFormat="1">
      <c r="I580" s="185"/>
      <c r="J580" s="185"/>
      <c r="K580" s="185"/>
      <c r="L580"/>
      <c r="M580"/>
      <c r="N580"/>
      <c r="O580"/>
      <c r="P580"/>
      <c r="Q580"/>
    </row>
    <row r="581" spans="9:17" s="1" customFormat="1">
      <c r="I581" s="185"/>
      <c r="J581" s="185"/>
      <c r="K581" s="185"/>
      <c r="L581"/>
      <c r="M581"/>
      <c r="N581"/>
      <c r="O581"/>
      <c r="P581"/>
      <c r="Q581"/>
    </row>
    <row r="582" spans="9:17" s="1" customFormat="1">
      <c r="I582" s="185"/>
      <c r="J582" s="185"/>
      <c r="K582" s="185"/>
      <c r="L582"/>
      <c r="M582"/>
      <c r="N582"/>
      <c r="O582"/>
      <c r="P582"/>
      <c r="Q582"/>
    </row>
    <row r="583" spans="9:17" s="1" customFormat="1">
      <c r="I583" s="185"/>
      <c r="J583" s="185"/>
      <c r="K583" s="185"/>
      <c r="L583"/>
      <c r="M583"/>
      <c r="N583"/>
      <c r="O583"/>
      <c r="P583"/>
      <c r="Q583"/>
    </row>
    <row r="584" spans="9:17" s="1" customFormat="1">
      <c r="I584" s="185"/>
      <c r="J584" s="185"/>
      <c r="K584" s="185"/>
      <c r="L584"/>
      <c r="M584"/>
      <c r="N584"/>
      <c r="O584"/>
      <c r="P584"/>
      <c r="Q584"/>
    </row>
    <row r="585" spans="9:17" s="1" customFormat="1">
      <c r="I585" s="185"/>
      <c r="J585" s="185"/>
      <c r="K585" s="185"/>
      <c r="L585"/>
      <c r="M585"/>
      <c r="N585"/>
      <c r="O585"/>
      <c r="P585"/>
      <c r="Q585"/>
    </row>
    <row r="586" spans="9:17" s="1" customFormat="1">
      <c r="I586" s="185"/>
      <c r="J586" s="185"/>
      <c r="K586" s="185"/>
      <c r="L586"/>
      <c r="M586"/>
      <c r="N586"/>
      <c r="O586"/>
      <c r="P586"/>
      <c r="Q586"/>
    </row>
    <row r="587" spans="9:17" s="1" customFormat="1">
      <c r="I587" s="185"/>
      <c r="J587" s="185"/>
      <c r="K587" s="185"/>
      <c r="L587"/>
      <c r="M587"/>
      <c r="N587"/>
      <c r="O587"/>
      <c r="P587"/>
      <c r="Q587"/>
    </row>
    <row r="588" spans="9:17" s="1" customFormat="1">
      <c r="I588" s="185"/>
      <c r="J588" s="185"/>
      <c r="K588" s="185"/>
      <c r="L588"/>
      <c r="M588"/>
      <c r="N588"/>
      <c r="O588"/>
      <c r="P588"/>
      <c r="Q588"/>
    </row>
    <row r="589" spans="9:17" s="1" customFormat="1">
      <c r="I589" s="185"/>
      <c r="J589" s="185"/>
      <c r="K589" s="185"/>
      <c r="L589"/>
      <c r="M589"/>
      <c r="N589"/>
      <c r="O589"/>
      <c r="P589"/>
      <c r="Q589"/>
    </row>
    <row r="590" spans="9:17" s="1" customFormat="1">
      <c r="I590" s="185"/>
      <c r="J590" s="185"/>
      <c r="K590" s="185"/>
      <c r="L590"/>
      <c r="M590"/>
      <c r="N590"/>
      <c r="O590"/>
      <c r="P590"/>
      <c r="Q590"/>
    </row>
    <row r="591" spans="9:17" s="1" customFormat="1">
      <c r="I591" s="185"/>
      <c r="J591" s="185"/>
      <c r="K591" s="185"/>
      <c r="L591"/>
      <c r="M591"/>
      <c r="N591"/>
      <c r="O591"/>
      <c r="P591"/>
      <c r="Q591"/>
    </row>
    <row r="592" spans="9:17" s="1" customFormat="1">
      <c r="I592" s="185"/>
      <c r="J592" s="185"/>
      <c r="K592" s="185"/>
      <c r="L592"/>
      <c r="M592"/>
      <c r="N592"/>
      <c r="O592"/>
      <c r="P592"/>
      <c r="Q592"/>
    </row>
    <row r="593" spans="9:17" s="1" customFormat="1">
      <c r="I593" s="185"/>
      <c r="J593" s="185"/>
      <c r="K593" s="185"/>
      <c r="L593"/>
      <c r="M593"/>
      <c r="N593"/>
      <c r="O593"/>
      <c r="P593"/>
      <c r="Q593"/>
    </row>
    <row r="594" spans="9:17" s="1" customFormat="1">
      <c r="I594" s="185"/>
      <c r="J594" s="185"/>
      <c r="K594" s="185"/>
      <c r="L594"/>
      <c r="M594"/>
      <c r="N594"/>
      <c r="O594"/>
      <c r="P594"/>
      <c r="Q594"/>
    </row>
    <row r="595" spans="9:17" s="1" customFormat="1">
      <c r="I595" s="185"/>
      <c r="J595" s="185"/>
      <c r="K595" s="185"/>
      <c r="L595"/>
      <c r="M595"/>
      <c r="N595"/>
      <c r="O595"/>
      <c r="P595"/>
      <c r="Q595"/>
    </row>
    <row r="596" spans="9:17" s="1" customFormat="1">
      <c r="I596" s="185"/>
      <c r="J596" s="185"/>
      <c r="K596" s="185"/>
      <c r="L596"/>
      <c r="M596"/>
      <c r="N596"/>
      <c r="O596"/>
      <c r="P596"/>
      <c r="Q596"/>
    </row>
    <row r="597" spans="9:17" s="1" customFormat="1">
      <c r="I597" s="185"/>
      <c r="J597" s="185"/>
      <c r="K597" s="185"/>
      <c r="L597"/>
      <c r="M597"/>
      <c r="N597"/>
      <c r="O597"/>
      <c r="P597"/>
      <c r="Q597"/>
    </row>
    <row r="598" spans="9:17" s="1" customFormat="1">
      <c r="I598" s="185"/>
      <c r="J598" s="185"/>
      <c r="K598" s="185"/>
      <c r="L598"/>
      <c r="M598"/>
      <c r="N598"/>
      <c r="O598"/>
      <c r="P598"/>
      <c r="Q598"/>
    </row>
    <row r="599" spans="9:17" s="1" customFormat="1">
      <c r="I599" s="185"/>
      <c r="J599" s="185"/>
      <c r="K599" s="185"/>
      <c r="L599"/>
      <c r="M599"/>
      <c r="N599"/>
      <c r="O599"/>
      <c r="P599"/>
      <c r="Q599"/>
    </row>
    <row r="600" spans="9:17" s="1" customFormat="1">
      <c r="I600" s="185"/>
      <c r="J600" s="185"/>
      <c r="K600" s="185"/>
      <c r="L600"/>
      <c r="M600"/>
      <c r="N600"/>
      <c r="O600"/>
      <c r="P600"/>
      <c r="Q600"/>
    </row>
    <row r="601" spans="9:17" s="1" customFormat="1">
      <c r="I601" s="185"/>
      <c r="J601" s="185"/>
      <c r="K601" s="185"/>
      <c r="L601"/>
      <c r="M601"/>
      <c r="N601"/>
      <c r="O601"/>
      <c r="P601"/>
      <c r="Q601"/>
    </row>
    <row r="602" spans="9:17" s="1" customFormat="1">
      <c r="I602" s="185"/>
      <c r="J602" s="185"/>
      <c r="K602" s="185"/>
      <c r="L602"/>
      <c r="M602"/>
      <c r="N602"/>
      <c r="O602"/>
      <c r="P602"/>
      <c r="Q602"/>
    </row>
    <row r="603" spans="9:17" s="1" customFormat="1">
      <c r="I603" s="185"/>
      <c r="J603" s="185"/>
      <c r="K603" s="185"/>
      <c r="L603"/>
      <c r="M603"/>
      <c r="N603"/>
      <c r="O603"/>
      <c r="P603"/>
      <c r="Q603"/>
    </row>
    <row r="604" spans="9:17" s="1" customFormat="1">
      <c r="I604" s="185"/>
      <c r="J604" s="185"/>
      <c r="K604" s="185"/>
      <c r="L604"/>
      <c r="M604"/>
      <c r="N604"/>
      <c r="O604"/>
      <c r="P604"/>
      <c r="Q604"/>
    </row>
    <row r="605" spans="9:17" s="1" customFormat="1">
      <c r="I605" s="185"/>
      <c r="J605" s="185"/>
      <c r="K605" s="185"/>
      <c r="L605"/>
      <c r="M605"/>
      <c r="N605"/>
      <c r="O605"/>
      <c r="P605"/>
      <c r="Q605"/>
    </row>
    <row r="606" spans="9:17" s="1" customFormat="1">
      <c r="I606" s="185"/>
      <c r="J606" s="185"/>
      <c r="K606" s="185"/>
      <c r="L606"/>
      <c r="M606"/>
      <c r="N606"/>
      <c r="O606"/>
      <c r="P606"/>
      <c r="Q606"/>
    </row>
    <row r="607" spans="9:17" s="1" customFormat="1">
      <c r="I607" s="185"/>
      <c r="J607" s="185"/>
      <c r="K607" s="185"/>
      <c r="L607"/>
      <c r="M607"/>
      <c r="N607"/>
      <c r="O607"/>
      <c r="P607"/>
      <c r="Q607"/>
    </row>
    <row r="608" spans="9:17" s="1" customFormat="1">
      <c r="I608" s="185"/>
      <c r="J608" s="185"/>
      <c r="K608" s="185"/>
      <c r="L608"/>
      <c r="M608"/>
      <c r="N608"/>
      <c r="O608"/>
      <c r="P608"/>
      <c r="Q608"/>
    </row>
    <row r="609" spans="9:17" s="1" customFormat="1">
      <c r="I609" s="185"/>
      <c r="J609" s="185"/>
      <c r="K609" s="185"/>
      <c r="L609"/>
      <c r="M609"/>
      <c r="N609"/>
      <c r="O609"/>
      <c r="P609"/>
      <c r="Q609"/>
    </row>
    <row r="610" spans="9:17" s="1" customFormat="1">
      <c r="I610" s="185"/>
      <c r="J610" s="185"/>
      <c r="K610" s="185"/>
      <c r="L610"/>
      <c r="M610"/>
      <c r="N610"/>
      <c r="O610"/>
      <c r="P610"/>
      <c r="Q610"/>
    </row>
    <row r="611" spans="9:17" s="1" customFormat="1">
      <c r="I611" s="185"/>
      <c r="J611" s="185"/>
      <c r="K611" s="185"/>
      <c r="L611"/>
      <c r="M611"/>
      <c r="N611"/>
      <c r="O611"/>
      <c r="P611"/>
      <c r="Q611"/>
    </row>
    <row r="612" spans="9:17" s="1" customFormat="1">
      <c r="I612" s="185"/>
      <c r="J612" s="185"/>
      <c r="K612" s="185"/>
      <c r="L612"/>
      <c r="M612"/>
      <c r="N612"/>
      <c r="O612"/>
      <c r="P612"/>
      <c r="Q612"/>
    </row>
    <row r="613" spans="9:17" s="1" customFormat="1">
      <c r="I613" s="185"/>
      <c r="J613" s="185"/>
      <c r="K613" s="185"/>
      <c r="L613"/>
      <c r="M613"/>
      <c r="N613"/>
      <c r="O613"/>
      <c r="P613"/>
      <c r="Q613"/>
    </row>
    <row r="614" spans="9:17" s="1" customFormat="1">
      <c r="I614" s="185"/>
      <c r="J614" s="185"/>
      <c r="K614" s="185"/>
      <c r="L614"/>
      <c r="M614"/>
      <c r="N614"/>
      <c r="O614"/>
      <c r="P614"/>
      <c r="Q614"/>
    </row>
    <row r="615" spans="9:17" s="1" customFormat="1">
      <c r="I615" s="185"/>
      <c r="J615" s="185"/>
      <c r="K615" s="185"/>
      <c r="L615"/>
      <c r="M615"/>
      <c r="N615"/>
      <c r="O615"/>
      <c r="P615"/>
      <c r="Q615"/>
    </row>
    <row r="616" spans="9:17" s="1" customFormat="1">
      <c r="I616" s="185"/>
      <c r="J616" s="185"/>
      <c r="K616" s="185"/>
      <c r="L616"/>
      <c r="M616"/>
      <c r="N616"/>
      <c r="O616"/>
      <c r="P616"/>
      <c r="Q616"/>
    </row>
    <row r="617" spans="9:17" s="1" customFormat="1">
      <c r="I617" s="185"/>
      <c r="J617" s="185"/>
      <c r="K617" s="185"/>
      <c r="L617"/>
      <c r="M617"/>
      <c r="N617"/>
      <c r="O617"/>
      <c r="P617"/>
      <c r="Q617"/>
    </row>
    <row r="618" spans="9:17" s="1" customFormat="1">
      <c r="I618" s="185"/>
      <c r="J618" s="185"/>
      <c r="K618" s="185"/>
      <c r="L618"/>
      <c r="M618"/>
      <c r="N618"/>
      <c r="O618"/>
      <c r="P618"/>
      <c r="Q618"/>
    </row>
    <row r="619" spans="9:17" s="1" customFormat="1">
      <c r="I619" s="185"/>
      <c r="J619" s="185"/>
      <c r="K619" s="185"/>
      <c r="L619"/>
      <c r="M619"/>
      <c r="N619"/>
      <c r="O619"/>
      <c r="P619"/>
      <c r="Q619"/>
    </row>
    <row r="620" spans="9:17" s="1" customFormat="1">
      <c r="I620" s="185"/>
      <c r="J620" s="185"/>
      <c r="K620" s="185"/>
      <c r="L620"/>
      <c r="M620"/>
      <c r="N620"/>
      <c r="O620"/>
      <c r="P620"/>
      <c r="Q620"/>
    </row>
    <row r="621" spans="9:17" s="1" customFormat="1">
      <c r="I621" s="185"/>
      <c r="J621" s="185"/>
      <c r="K621" s="185"/>
      <c r="L621"/>
      <c r="M621"/>
      <c r="N621"/>
      <c r="O621"/>
      <c r="P621"/>
      <c r="Q621"/>
    </row>
    <row r="622" spans="9:17" s="1" customFormat="1">
      <c r="I622" s="185"/>
      <c r="J622" s="185"/>
      <c r="K622" s="185"/>
      <c r="L622"/>
      <c r="M622"/>
      <c r="N622"/>
      <c r="O622"/>
      <c r="P622"/>
      <c r="Q622"/>
    </row>
    <row r="623" spans="9:17" s="1" customFormat="1">
      <c r="I623" s="185"/>
      <c r="J623" s="185"/>
      <c r="K623" s="185"/>
      <c r="L623"/>
      <c r="M623"/>
      <c r="N623"/>
      <c r="O623"/>
      <c r="P623"/>
      <c r="Q623"/>
    </row>
    <row r="624" spans="9:17" s="1" customFormat="1">
      <c r="I624" s="185"/>
      <c r="J624" s="185"/>
      <c r="K624" s="185"/>
      <c r="L624"/>
      <c r="M624"/>
      <c r="N624"/>
      <c r="O624"/>
      <c r="P624"/>
      <c r="Q624"/>
    </row>
    <row r="625" spans="9:17" s="1" customFormat="1">
      <c r="I625" s="185"/>
      <c r="J625" s="185"/>
      <c r="K625" s="185"/>
      <c r="L625"/>
      <c r="M625"/>
      <c r="N625"/>
      <c r="O625"/>
      <c r="P625"/>
      <c r="Q625"/>
    </row>
    <row r="626" spans="9:17" s="1" customFormat="1">
      <c r="I626" s="185"/>
      <c r="J626" s="185"/>
      <c r="K626" s="185"/>
      <c r="L626"/>
      <c r="M626"/>
      <c r="N626"/>
      <c r="O626"/>
      <c r="P626"/>
      <c r="Q626"/>
    </row>
    <row r="627" spans="9:17" s="1" customFormat="1">
      <c r="I627" s="185"/>
      <c r="J627" s="185"/>
      <c r="K627" s="185"/>
      <c r="L627"/>
      <c r="M627"/>
      <c r="N627"/>
      <c r="O627"/>
      <c r="P627"/>
      <c r="Q627"/>
    </row>
    <row r="628" spans="9:17" s="1" customFormat="1">
      <c r="I628" s="185"/>
      <c r="J628" s="185"/>
      <c r="K628" s="185"/>
      <c r="L628"/>
      <c r="M628"/>
      <c r="N628"/>
      <c r="O628"/>
      <c r="P628"/>
      <c r="Q628"/>
    </row>
    <row r="629" spans="9:17" s="1" customFormat="1">
      <c r="I629" s="185"/>
      <c r="J629" s="185"/>
      <c r="K629" s="185"/>
      <c r="L629"/>
      <c r="M629"/>
      <c r="N629"/>
      <c r="O629"/>
      <c r="P629"/>
      <c r="Q629"/>
    </row>
    <row r="630" spans="9:17" s="1" customFormat="1">
      <c r="I630" s="185"/>
      <c r="J630" s="185"/>
      <c r="K630" s="185"/>
      <c r="L630"/>
      <c r="M630"/>
      <c r="N630"/>
      <c r="O630"/>
      <c r="P630"/>
      <c r="Q630"/>
    </row>
    <row r="631" spans="9:17" s="1" customFormat="1">
      <c r="I631" s="185"/>
      <c r="J631" s="185"/>
      <c r="K631" s="185"/>
      <c r="L631"/>
      <c r="M631"/>
      <c r="N631"/>
      <c r="O631"/>
      <c r="P631"/>
      <c r="Q631"/>
    </row>
    <row r="632" spans="9:17" s="1" customFormat="1">
      <c r="I632" s="185"/>
      <c r="J632" s="185"/>
      <c r="K632" s="185"/>
      <c r="L632"/>
      <c r="M632"/>
      <c r="N632"/>
      <c r="O632"/>
      <c r="P632"/>
      <c r="Q632"/>
    </row>
    <row r="633" spans="9:17" s="1" customFormat="1">
      <c r="I633" s="185"/>
      <c r="J633" s="185"/>
      <c r="K633" s="185"/>
      <c r="L633"/>
      <c r="M633"/>
      <c r="N633"/>
      <c r="O633"/>
      <c r="P633"/>
      <c r="Q633"/>
    </row>
    <row r="634" spans="9:17" s="1" customFormat="1">
      <c r="I634" s="185"/>
      <c r="J634" s="185"/>
      <c r="K634" s="185"/>
      <c r="L634"/>
      <c r="M634"/>
      <c r="N634"/>
      <c r="O634"/>
      <c r="P634"/>
      <c r="Q634"/>
    </row>
    <row r="635" spans="9:17" s="1" customFormat="1">
      <c r="I635" s="185"/>
      <c r="J635" s="185"/>
      <c r="K635" s="185"/>
      <c r="L635"/>
      <c r="M635"/>
      <c r="N635"/>
      <c r="O635"/>
      <c r="P635"/>
      <c r="Q635"/>
    </row>
    <row r="636" spans="9:17" s="1" customFormat="1">
      <c r="I636" s="185"/>
      <c r="J636" s="185"/>
      <c r="K636" s="185"/>
      <c r="L636"/>
      <c r="M636"/>
      <c r="N636"/>
      <c r="O636"/>
      <c r="P636"/>
      <c r="Q636"/>
    </row>
    <row r="637" spans="9:17" s="1" customFormat="1">
      <c r="I637" s="185"/>
      <c r="J637" s="185"/>
      <c r="K637" s="185"/>
      <c r="L637"/>
      <c r="M637"/>
      <c r="N637"/>
      <c r="O637"/>
      <c r="P637"/>
      <c r="Q637"/>
    </row>
    <row r="638" spans="9:17" s="1" customFormat="1">
      <c r="I638" s="185"/>
      <c r="J638" s="185"/>
      <c r="K638" s="185"/>
      <c r="L638"/>
      <c r="M638"/>
      <c r="N638"/>
      <c r="O638"/>
      <c r="P638"/>
      <c r="Q638"/>
    </row>
    <row r="639" spans="9:17" s="1" customFormat="1">
      <c r="I639" s="185"/>
      <c r="J639" s="185"/>
      <c r="K639" s="185"/>
      <c r="L639"/>
      <c r="M639"/>
      <c r="N639"/>
      <c r="O639"/>
      <c r="P639"/>
      <c r="Q639"/>
    </row>
    <row r="640" spans="9:17" s="1" customFormat="1">
      <c r="I640" s="185"/>
      <c r="J640" s="185"/>
      <c r="K640" s="185"/>
      <c r="L640"/>
      <c r="M640"/>
      <c r="N640"/>
      <c r="O640"/>
      <c r="P640"/>
      <c r="Q640"/>
    </row>
    <row r="641" spans="9:17" s="1" customFormat="1">
      <c r="I641" s="185"/>
      <c r="J641" s="185"/>
      <c r="K641" s="185"/>
      <c r="L641"/>
      <c r="M641"/>
      <c r="N641"/>
      <c r="O641"/>
      <c r="P641"/>
      <c r="Q641"/>
    </row>
    <row r="642" spans="9:17" s="1" customFormat="1">
      <c r="I642" s="185"/>
      <c r="J642" s="185"/>
      <c r="K642" s="185"/>
      <c r="L642"/>
      <c r="M642"/>
      <c r="N642"/>
      <c r="O642"/>
      <c r="P642"/>
      <c r="Q642"/>
    </row>
    <row r="643" spans="9:17" s="1" customFormat="1">
      <c r="I643" s="185"/>
      <c r="J643" s="185"/>
      <c r="K643" s="185"/>
      <c r="L643"/>
      <c r="M643"/>
      <c r="N643"/>
      <c r="O643"/>
      <c r="P643"/>
      <c r="Q643"/>
    </row>
    <row r="644" spans="9:17" s="1" customFormat="1">
      <c r="I644" s="185"/>
      <c r="J644" s="185"/>
      <c r="K644" s="185"/>
      <c r="L644"/>
      <c r="M644"/>
      <c r="N644"/>
      <c r="O644"/>
      <c r="P644"/>
      <c r="Q644"/>
    </row>
    <row r="645" spans="9:17" s="1" customFormat="1">
      <c r="I645" s="185"/>
      <c r="J645" s="185"/>
      <c r="K645" s="185"/>
      <c r="L645"/>
      <c r="M645"/>
      <c r="N645"/>
      <c r="O645"/>
      <c r="P645"/>
      <c r="Q645"/>
    </row>
    <row r="646" spans="9:17" s="1" customFormat="1">
      <c r="I646" s="185"/>
      <c r="J646" s="185"/>
      <c r="K646" s="185"/>
      <c r="L646"/>
      <c r="M646"/>
      <c r="N646"/>
      <c r="O646"/>
      <c r="P646"/>
      <c r="Q646"/>
    </row>
    <row r="647" spans="9:17" s="1" customFormat="1">
      <c r="I647" s="185"/>
      <c r="J647" s="185"/>
      <c r="K647" s="185"/>
      <c r="L647"/>
      <c r="M647"/>
      <c r="N647"/>
      <c r="O647"/>
      <c r="P647"/>
      <c r="Q647"/>
    </row>
    <row r="648" spans="9:17" s="1" customFormat="1">
      <c r="I648" s="185"/>
      <c r="J648" s="185"/>
      <c r="K648" s="185"/>
      <c r="L648"/>
      <c r="M648"/>
      <c r="N648"/>
      <c r="O648"/>
      <c r="P648"/>
      <c r="Q648"/>
    </row>
    <row r="649" spans="9:17" s="1" customFormat="1">
      <c r="I649" s="185"/>
      <c r="J649" s="185"/>
      <c r="K649" s="185"/>
      <c r="L649"/>
      <c r="M649"/>
      <c r="N649"/>
      <c r="O649"/>
      <c r="P649"/>
      <c r="Q649"/>
    </row>
    <row r="650" spans="9:17" s="1" customFormat="1">
      <c r="I650" s="185"/>
      <c r="J650" s="185"/>
      <c r="K650" s="185"/>
      <c r="L650"/>
      <c r="M650"/>
      <c r="N650"/>
      <c r="O650"/>
      <c r="P650"/>
      <c r="Q650"/>
    </row>
    <row r="651" spans="9:17" s="1" customFormat="1">
      <c r="I651" s="185"/>
      <c r="J651" s="185"/>
      <c r="K651" s="185"/>
      <c r="L651"/>
      <c r="M651"/>
      <c r="N651"/>
      <c r="O651"/>
      <c r="P651"/>
      <c r="Q651"/>
    </row>
    <row r="652" spans="9:17" s="1" customFormat="1">
      <c r="I652" s="185"/>
      <c r="J652" s="185"/>
      <c r="K652" s="185"/>
      <c r="L652"/>
      <c r="M652"/>
      <c r="N652"/>
      <c r="O652"/>
      <c r="P652"/>
      <c r="Q652"/>
    </row>
    <row r="653" spans="9:17" s="1" customFormat="1">
      <c r="I653" s="185"/>
      <c r="J653" s="185"/>
      <c r="K653" s="185"/>
      <c r="L653"/>
      <c r="M653"/>
      <c r="N653"/>
      <c r="O653"/>
      <c r="P653"/>
      <c r="Q653"/>
    </row>
    <row r="654" spans="9:17" s="1" customFormat="1">
      <c r="I654" s="185"/>
      <c r="J654" s="185"/>
      <c r="K654" s="185"/>
      <c r="L654"/>
      <c r="M654"/>
      <c r="N654"/>
      <c r="O654"/>
      <c r="P654"/>
      <c r="Q654"/>
    </row>
    <row r="655" spans="9:17" s="1" customFormat="1">
      <c r="I655" s="185"/>
      <c r="J655" s="185"/>
      <c r="K655" s="185"/>
      <c r="L655"/>
      <c r="M655"/>
      <c r="N655"/>
      <c r="O655"/>
      <c r="P655"/>
      <c r="Q655"/>
    </row>
    <row r="656" spans="9:17" s="1" customFormat="1">
      <c r="I656" s="185"/>
      <c r="J656" s="185"/>
      <c r="K656" s="185"/>
      <c r="L656"/>
      <c r="M656"/>
      <c r="N656"/>
      <c r="O656"/>
      <c r="P656"/>
      <c r="Q656"/>
    </row>
    <row r="657" spans="9:17" s="1" customFormat="1">
      <c r="I657" s="185"/>
      <c r="J657" s="185"/>
      <c r="K657" s="185"/>
      <c r="L657"/>
      <c r="M657"/>
      <c r="N657"/>
      <c r="O657"/>
      <c r="P657"/>
      <c r="Q657"/>
    </row>
    <row r="658" spans="9:17" s="1" customFormat="1">
      <c r="I658" s="185"/>
      <c r="J658" s="185"/>
      <c r="K658" s="185"/>
      <c r="L658"/>
      <c r="M658"/>
      <c r="N658"/>
      <c r="O658"/>
      <c r="P658"/>
      <c r="Q658"/>
    </row>
    <row r="659" spans="9:17" s="1" customFormat="1">
      <c r="I659" s="185"/>
      <c r="J659" s="185"/>
      <c r="K659" s="185"/>
      <c r="L659"/>
      <c r="M659"/>
      <c r="N659"/>
      <c r="O659"/>
      <c r="P659"/>
      <c r="Q659"/>
    </row>
    <row r="660" spans="9:17" s="1" customFormat="1">
      <c r="I660" s="185"/>
      <c r="J660" s="185"/>
      <c r="K660" s="185"/>
      <c r="L660"/>
      <c r="M660"/>
      <c r="N660"/>
      <c r="O660"/>
      <c r="P660"/>
      <c r="Q660"/>
    </row>
    <row r="661" spans="9:17" s="1" customFormat="1">
      <c r="I661" s="185"/>
      <c r="J661" s="185"/>
      <c r="K661" s="185"/>
      <c r="L661"/>
      <c r="M661"/>
      <c r="N661"/>
      <c r="O661"/>
      <c r="P661"/>
      <c r="Q661"/>
    </row>
    <row r="662" spans="9:17" s="1" customFormat="1">
      <c r="I662" s="185"/>
      <c r="J662" s="185"/>
      <c r="K662" s="185"/>
      <c r="L662"/>
      <c r="M662"/>
      <c r="N662"/>
      <c r="O662"/>
      <c r="P662"/>
      <c r="Q662"/>
    </row>
    <row r="663" spans="9:17" s="1" customFormat="1">
      <c r="I663" s="185"/>
      <c r="J663" s="185"/>
      <c r="K663" s="185"/>
      <c r="L663"/>
      <c r="M663"/>
      <c r="N663"/>
      <c r="O663"/>
      <c r="P663"/>
      <c r="Q663"/>
    </row>
    <row r="664" spans="9:17" s="1" customFormat="1">
      <c r="I664" s="185"/>
      <c r="J664" s="185"/>
      <c r="K664" s="185"/>
      <c r="L664"/>
      <c r="M664"/>
      <c r="N664"/>
      <c r="O664"/>
      <c r="P664"/>
      <c r="Q664"/>
    </row>
    <row r="665" spans="9:17" s="1" customFormat="1">
      <c r="I665" s="185"/>
      <c r="J665" s="185"/>
      <c r="K665" s="185"/>
      <c r="L665"/>
      <c r="M665"/>
      <c r="N665"/>
      <c r="O665"/>
      <c r="P665"/>
      <c r="Q665"/>
    </row>
    <row r="666" spans="9:17" s="1" customFormat="1">
      <c r="I666" s="185"/>
      <c r="J666" s="185"/>
      <c r="K666" s="185"/>
      <c r="L666"/>
      <c r="M666"/>
      <c r="N666"/>
      <c r="O666"/>
      <c r="P666"/>
      <c r="Q666"/>
    </row>
    <row r="667" spans="9:17" s="1" customFormat="1">
      <c r="I667" s="185"/>
      <c r="J667" s="185"/>
      <c r="K667" s="185"/>
      <c r="L667"/>
      <c r="M667"/>
      <c r="N667"/>
      <c r="O667"/>
      <c r="P667"/>
      <c r="Q667"/>
    </row>
    <row r="668" spans="9:17" s="1" customFormat="1">
      <c r="I668" s="185"/>
      <c r="J668" s="185"/>
      <c r="K668" s="185"/>
      <c r="L668"/>
      <c r="M668"/>
      <c r="N668"/>
      <c r="O668"/>
      <c r="P668"/>
      <c r="Q668"/>
    </row>
    <row r="669" spans="9:17" s="1" customFormat="1">
      <c r="I669" s="185"/>
      <c r="J669" s="185"/>
      <c r="K669" s="185"/>
      <c r="L669"/>
      <c r="M669"/>
      <c r="N669"/>
      <c r="O669"/>
      <c r="P669"/>
      <c r="Q669"/>
    </row>
    <row r="670" spans="9:17" s="1" customFormat="1">
      <c r="I670" s="185"/>
      <c r="J670" s="185"/>
      <c r="K670" s="185"/>
      <c r="L670"/>
      <c r="M670"/>
      <c r="N670"/>
      <c r="O670"/>
      <c r="P670"/>
      <c r="Q670"/>
    </row>
    <row r="671" spans="9:17" s="1" customFormat="1">
      <c r="I671" s="185"/>
      <c r="J671" s="185"/>
      <c r="K671" s="185"/>
      <c r="L671"/>
      <c r="M671"/>
      <c r="N671"/>
      <c r="O671"/>
      <c r="P671"/>
      <c r="Q671"/>
    </row>
    <row r="672" spans="9:17" s="1" customFormat="1">
      <c r="I672" s="185"/>
      <c r="J672" s="185"/>
      <c r="K672" s="185"/>
      <c r="L672"/>
      <c r="M672"/>
      <c r="N672"/>
      <c r="O672"/>
      <c r="P672"/>
      <c r="Q672"/>
    </row>
    <row r="673" spans="9:17" s="1" customFormat="1">
      <c r="I673" s="185"/>
      <c r="J673" s="185"/>
      <c r="K673" s="185"/>
      <c r="L673"/>
      <c r="M673"/>
      <c r="N673"/>
      <c r="O673"/>
      <c r="P673"/>
      <c r="Q673"/>
    </row>
    <row r="674" spans="9:17" s="1" customFormat="1">
      <c r="I674" s="185"/>
      <c r="J674" s="185"/>
      <c r="K674" s="185"/>
      <c r="L674"/>
      <c r="M674"/>
      <c r="N674"/>
      <c r="O674"/>
      <c r="P674"/>
      <c r="Q674"/>
    </row>
    <row r="675" spans="9:17" s="1" customFormat="1">
      <c r="I675" s="185"/>
      <c r="J675" s="185"/>
      <c r="K675" s="185"/>
      <c r="L675"/>
      <c r="M675"/>
      <c r="N675"/>
      <c r="O675"/>
      <c r="P675"/>
      <c r="Q675"/>
    </row>
    <row r="676" spans="9:17" s="1" customFormat="1">
      <c r="I676" s="185"/>
      <c r="J676" s="185"/>
      <c r="K676" s="185"/>
      <c r="L676"/>
      <c r="M676"/>
      <c r="N676"/>
      <c r="O676"/>
      <c r="P676"/>
      <c r="Q676"/>
    </row>
    <row r="677" spans="9:17" s="1" customFormat="1">
      <c r="I677" s="185"/>
      <c r="J677" s="185"/>
      <c r="K677" s="185"/>
      <c r="L677"/>
      <c r="M677"/>
      <c r="N677"/>
      <c r="O677"/>
      <c r="P677"/>
      <c r="Q677"/>
    </row>
    <row r="678" spans="9:17" s="1" customFormat="1">
      <c r="I678" s="185"/>
      <c r="J678" s="185"/>
      <c r="K678" s="185"/>
      <c r="L678"/>
      <c r="M678"/>
      <c r="N678"/>
      <c r="O678"/>
      <c r="P678"/>
      <c r="Q678"/>
    </row>
    <row r="679" spans="9:17" s="1" customFormat="1">
      <c r="I679" s="185"/>
      <c r="J679" s="185"/>
      <c r="K679" s="185"/>
      <c r="L679"/>
      <c r="M679"/>
      <c r="N679"/>
      <c r="O679"/>
      <c r="P679"/>
      <c r="Q679"/>
    </row>
    <row r="680" spans="9:17" s="1" customFormat="1">
      <c r="I680" s="185"/>
      <c r="J680" s="185"/>
      <c r="K680" s="185"/>
      <c r="L680"/>
      <c r="M680"/>
      <c r="N680"/>
      <c r="O680"/>
      <c r="P680"/>
      <c r="Q680"/>
    </row>
    <row r="681" spans="9:17" s="1" customFormat="1">
      <c r="I681" s="185"/>
      <c r="J681" s="185"/>
      <c r="K681" s="185"/>
      <c r="L681"/>
      <c r="M681"/>
      <c r="N681"/>
      <c r="O681"/>
      <c r="P681"/>
      <c r="Q681"/>
    </row>
    <row r="682" spans="9:17" s="1" customFormat="1">
      <c r="I682" s="185"/>
      <c r="J682" s="185"/>
      <c r="K682" s="185"/>
      <c r="L682"/>
      <c r="M682"/>
      <c r="N682"/>
      <c r="O682"/>
      <c r="P682"/>
      <c r="Q682"/>
    </row>
    <row r="683" spans="9:17" s="1" customFormat="1">
      <c r="I683" s="185"/>
      <c r="J683" s="185"/>
      <c r="K683" s="185"/>
      <c r="L683"/>
      <c r="M683"/>
      <c r="N683"/>
      <c r="O683"/>
      <c r="P683"/>
      <c r="Q683"/>
    </row>
    <row r="684" spans="9:17" s="1" customFormat="1">
      <c r="I684" s="185"/>
      <c r="J684" s="185"/>
      <c r="K684" s="185"/>
      <c r="L684"/>
      <c r="M684"/>
      <c r="N684"/>
      <c r="O684"/>
      <c r="P684"/>
      <c r="Q684"/>
    </row>
    <row r="685" spans="9:17" s="1" customFormat="1">
      <c r="I685" s="185"/>
      <c r="J685" s="185"/>
      <c r="K685" s="185"/>
      <c r="L685"/>
      <c r="M685"/>
      <c r="N685"/>
      <c r="O685"/>
      <c r="P685"/>
      <c r="Q685"/>
    </row>
    <row r="686" spans="9:17" s="1" customFormat="1">
      <c r="I686" s="185"/>
      <c r="J686" s="185"/>
      <c r="K686" s="185"/>
      <c r="L686"/>
      <c r="M686"/>
      <c r="N686"/>
      <c r="O686"/>
      <c r="P686"/>
      <c r="Q686"/>
    </row>
    <row r="687" spans="9:17" s="1" customFormat="1">
      <c r="I687" s="185"/>
      <c r="J687" s="185"/>
      <c r="K687" s="185"/>
      <c r="L687"/>
      <c r="M687"/>
      <c r="N687"/>
      <c r="O687"/>
      <c r="P687"/>
      <c r="Q687"/>
    </row>
    <row r="688" spans="9:17" s="1" customFormat="1">
      <c r="I688" s="185"/>
      <c r="J688" s="185"/>
      <c r="K688" s="185"/>
      <c r="L688"/>
      <c r="M688"/>
      <c r="N688"/>
      <c r="O688"/>
      <c r="P688"/>
      <c r="Q688"/>
    </row>
    <row r="689" spans="9:17" s="1" customFormat="1">
      <c r="I689" s="185"/>
      <c r="J689" s="185"/>
      <c r="K689" s="185"/>
      <c r="L689"/>
      <c r="M689"/>
      <c r="N689"/>
      <c r="O689"/>
      <c r="P689"/>
      <c r="Q689"/>
    </row>
    <row r="690" spans="9:17" s="1" customFormat="1">
      <c r="I690" s="185"/>
      <c r="J690" s="185"/>
      <c r="K690" s="185"/>
      <c r="L690"/>
      <c r="M690"/>
      <c r="N690"/>
      <c r="O690"/>
      <c r="P690"/>
      <c r="Q690"/>
    </row>
    <row r="691" spans="9:17" s="1" customFormat="1">
      <c r="I691" s="185"/>
      <c r="J691" s="185"/>
      <c r="K691" s="185"/>
      <c r="L691"/>
      <c r="M691"/>
      <c r="N691"/>
      <c r="O691"/>
      <c r="P691"/>
      <c r="Q691"/>
    </row>
    <row r="692" spans="9:17" s="1" customFormat="1">
      <c r="I692" s="185"/>
      <c r="J692" s="185"/>
      <c r="K692" s="185"/>
      <c r="L692"/>
      <c r="M692"/>
      <c r="N692"/>
      <c r="O692"/>
      <c r="P692"/>
      <c r="Q692"/>
    </row>
    <row r="693" spans="9:17" s="1" customFormat="1">
      <c r="I693" s="185"/>
      <c r="J693" s="185"/>
      <c r="K693" s="185"/>
      <c r="L693"/>
      <c r="M693"/>
      <c r="N693"/>
      <c r="O693"/>
      <c r="P693"/>
      <c r="Q693"/>
    </row>
    <row r="694" spans="9:17" s="1" customFormat="1">
      <c r="I694" s="185"/>
      <c r="J694" s="185"/>
      <c r="K694" s="185"/>
      <c r="L694"/>
      <c r="M694"/>
      <c r="N694"/>
      <c r="O694"/>
      <c r="P694"/>
      <c r="Q694"/>
    </row>
    <row r="695" spans="9:17" s="1" customFormat="1">
      <c r="I695" s="185"/>
      <c r="J695" s="185"/>
      <c r="K695" s="185"/>
      <c r="L695"/>
      <c r="M695"/>
      <c r="N695"/>
      <c r="O695"/>
      <c r="P695"/>
      <c r="Q695"/>
    </row>
    <row r="696" spans="9:17" s="1" customFormat="1">
      <c r="I696" s="185"/>
      <c r="J696" s="185"/>
      <c r="K696" s="185"/>
      <c r="L696"/>
      <c r="M696"/>
      <c r="N696"/>
      <c r="O696"/>
      <c r="P696"/>
      <c r="Q696"/>
    </row>
    <row r="697" spans="9:17" s="1" customFormat="1">
      <c r="I697" s="185"/>
      <c r="J697" s="185"/>
      <c r="K697" s="185"/>
      <c r="L697"/>
      <c r="M697"/>
      <c r="N697"/>
      <c r="O697"/>
      <c r="P697"/>
      <c r="Q697"/>
    </row>
    <row r="698" spans="9:17" s="1" customFormat="1">
      <c r="I698" s="185"/>
      <c r="J698" s="185"/>
      <c r="K698" s="185"/>
      <c r="L698"/>
      <c r="M698"/>
      <c r="N698"/>
      <c r="O698"/>
      <c r="P698"/>
      <c r="Q698"/>
    </row>
    <row r="699" spans="9:17" s="1" customFormat="1">
      <c r="I699" s="185"/>
      <c r="J699" s="185"/>
      <c r="K699" s="185"/>
      <c r="L699"/>
      <c r="M699"/>
      <c r="N699"/>
      <c r="O699"/>
      <c r="P699"/>
      <c r="Q699"/>
    </row>
    <row r="700" spans="9:17" s="1" customFormat="1">
      <c r="I700" s="185"/>
      <c r="J700" s="185"/>
      <c r="K700" s="185"/>
      <c r="L700"/>
      <c r="M700"/>
      <c r="N700"/>
      <c r="O700"/>
      <c r="P700"/>
      <c r="Q700"/>
    </row>
    <row r="701" spans="9:17" s="1" customFormat="1">
      <c r="I701" s="185"/>
      <c r="J701" s="185"/>
      <c r="K701" s="185"/>
      <c r="L701"/>
      <c r="M701"/>
      <c r="N701"/>
      <c r="O701"/>
      <c r="P701"/>
      <c r="Q701"/>
    </row>
    <row r="702" spans="9:17" s="1" customFormat="1">
      <c r="I702" s="185"/>
      <c r="J702" s="185"/>
      <c r="K702" s="185"/>
      <c r="L702"/>
      <c r="M702"/>
      <c r="N702"/>
      <c r="O702"/>
      <c r="P702"/>
      <c r="Q702"/>
    </row>
    <row r="703" spans="9:17" s="1" customFormat="1">
      <c r="I703" s="185"/>
      <c r="J703" s="185"/>
      <c r="K703" s="185"/>
      <c r="L703"/>
      <c r="M703"/>
      <c r="N703"/>
      <c r="O703"/>
      <c r="P703"/>
      <c r="Q703"/>
    </row>
    <row r="704" spans="9:17" s="1" customFormat="1">
      <c r="I704" s="185"/>
      <c r="J704" s="185"/>
      <c r="K704" s="185"/>
      <c r="L704"/>
      <c r="M704"/>
      <c r="N704"/>
      <c r="O704"/>
      <c r="P704"/>
      <c r="Q704"/>
    </row>
    <row r="705" spans="9:17" s="1" customFormat="1">
      <c r="I705" s="185"/>
      <c r="J705" s="185"/>
      <c r="K705" s="185"/>
      <c r="L705"/>
      <c r="M705"/>
      <c r="N705"/>
      <c r="O705"/>
      <c r="P705"/>
      <c r="Q705"/>
    </row>
    <row r="706" spans="9:17" s="1" customFormat="1">
      <c r="I706" s="185"/>
      <c r="J706" s="185"/>
      <c r="K706" s="185"/>
      <c r="L706"/>
      <c r="M706"/>
      <c r="N706"/>
      <c r="O706"/>
      <c r="P706"/>
      <c r="Q706"/>
    </row>
    <row r="707" spans="9:17" s="1" customFormat="1">
      <c r="I707" s="185"/>
      <c r="J707" s="185"/>
      <c r="K707" s="185"/>
      <c r="L707"/>
      <c r="M707"/>
      <c r="N707"/>
      <c r="O707"/>
      <c r="P707"/>
      <c r="Q707"/>
    </row>
    <row r="708" spans="9:17" s="1" customFormat="1">
      <c r="I708" s="185"/>
      <c r="J708" s="185"/>
      <c r="K708" s="185"/>
      <c r="L708"/>
      <c r="M708"/>
      <c r="N708"/>
      <c r="O708"/>
      <c r="P708"/>
      <c r="Q708"/>
    </row>
    <row r="709" spans="9:17" s="1" customFormat="1">
      <c r="I709" s="185"/>
      <c r="J709" s="185"/>
      <c r="K709" s="185"/>
      <c r="L709"/>
      <c r="M709"/>
      <c r="N709"/>
      <c r="O709"/>
      <c r="P709"/>
      <c r="Q709"/>
    </row>
    <row r="710" spans="9:17" s="1" customFormat="1">
      <c r="I710" s="185"/>
      <c r="J710" s="185"/>
      <c r="K710" s="185"/>
      <c r="L710"/>
      <c r="M710"/>
      <c r="N710"/>
      <c r="O710"/>
      <c r="P710"/>
      <c r="Q710"/>
    </row>
    <row r="711" spans="9:17" s="1" customFormat="1">
      <c r="I711" s="185"/>
      <c r="J711" s="185"/>
      <c r="K711" s="185"/>
      <c r="L711"/>
      <c r="M711"/>
      <c r="N711"/>
      <c r="O711"/>
      <c r="P711"/>
      <c r="Q711"/>
    </row>
    <row r="712" spans="9:17" s="1" customFormat="1">
      <c r="I712" s="185"/>
      <c r="J712" s="185"/>
      <c r="K712" s="185"/>
      <c r="L712"/>
      <c r="M712"/>
      <c r="N712"/>
      <c r="O712"/>
      <c r="P712"/>
      <c r="Q712"/>
    </row>
    <row r="713" spans="9:17" s="1" customFormat="1">
      <c r="I713" s="185"/>
      <c r="J713" s="185"/>
      <c r="K713" s="185"/>
      <c r="L713"/>
      <c r="M713"/>
      <c r="N713"/>
      <c r="O713"/>
      <c r="P713"/>
      <c r="Q713"/>
    </row>
    <row r="714" spans="9:17" s="1" customFormat="1">
      <c r="I714" s="185"/>
      <c r="J714" s="185"/>
      <c r="K714" s="185"/>
      <c r="L714"/>
      <c r="M714"/>
      <c r="N714"/>
      <c r="O714"/>
      <c r="P714"/>
      <c r="Q714"/>
    </row>
    <row r="715" spans="9:17" s="1" customFormat="1">
      <c r="I715" s="185"/>
      <c r="J715" s="185"/>
      <c r="K715" s="185"/>
      <c r="L715"/>
      <c r="M715"/>
      <c r="N715"/>
      <c r="O715"/>
      <c r="P715"/>
      <c r="Q715"/>
    </row>
    <row r="716" spans="9:17" s="1" customFormat="1">
      <c r="I716" s="185"/>
      <c r="J716" s="185"/>
      <c r="K716" s="185"/>
      <c r="L716"/>
      <c r="M716"/>
      <c r="N716"/>
      <c r="O716"/>
      <c r="P716"/>
      <c r="Q716"/>
    </row>
    <row r="717" spans="9:17" s="1" customFormat="1">
      <c r="I717" s="185"/>
      <c r="J717" s="185"/>
      <c r="K717" s="185"/>
      <c r="L717"/>
      <c r="M717"/>
      <c r="N717"/>
      <c r="O717"/>
      <c r="P717"/>
      <c r="Q717"/>
    </row>
    <row r="718" spans="9:17" s="1" customFormat="1">
      <c r="I718" s="185"/>
      <c r="J718" s="185"/>
      <c r="K718" s="185"/>
      <c r="L718"/>
      <c r="M718"/>
      <c r="N718"/>
      <c r="O718"/>
      <c r="P718"/>
      <c r="Q718"/>
    </row>
    <row r="719" spans="9:17" s="1" customFormat="1">
      <c r="I719" s="185"/>
      <c r="J719" s="185"/>
      <c r="K719" s="185"/>
      <c r="L719"/>
      <c r="M719"/>
      <c r="N719"/>
      <c r="O719"/>
      <c r="P719"/>
      <c r="Q719"/>
    </row>
    <row r="720" spans="9:17" s="1" customFormat="1">
      <c r="I720" s="185"/>
      <c r="J720" s="185"/>
      <c r="K720" s="185"/>
      <c r="L720"/>
      <c r="M720"/>
      <c r="N720"/>
      <c r="O720"/>
      <c r="P720"/>
      <c r="Q720"/>
    </row>
    <row r="721" spans="9:17" s="1" customFormat="1">
      <c r="I721" s="185"/>
      <c r="J721" s="185"/>
      <c r="K721" s="185"/>
      <c r="L721"/>
      <c r="M721"/>
      <c r="N721"/>
      <c r="O721"/>
      <c r="P721"/>
      <c r="Q721"/>
    </row>
    <row r="722" spans="9:17" s="1" customFormat="1">
      <c r="I722" s="185"/>
      <c r="J722" s="185"/>
      <c r="K722" s="185"/>
      <c r="L722"/>
      <c r="M722"/>
      <c r="N722"/>
      <c r="O722"/>
      <c r="P722"/>
      <c r="Q722"/>
    </row>
    <row r="723" spans="9:17" s="1" customFormat="1">
      <c r="I723" s="185"/>
      <c r="J723" s="185"/>
      <c r="K723" s="185"/>
      <c r="L723"/>
      <c r="M723"/>
      <c r="N723"/>
      <c r="O723"/>
      <c r="P723"/>
      <c r="Q723"/>
    </row>
    <row r="724" spans="9:17" s="1" customFormat="1">
      <c r="I724" s="185"/>
      <c r="J724" s="185"/>
      <c r="K724" s="185"/>
      <c r="L724"/>
      <c r="M724"/>
      <c r="N724"/>
      <c r="O724"/>
      <c r="P724"/>
      <c r="Q724"/>
    </row>
    <row r="725" spans="9:17" s="1" customFormat="1">
      <c r="I725" s="185"/>
      <c r="J725" s="185"/>
      <c r="K725" s="185"/>
      <c r="L725"/>
      <c r="M725"/>
      <c r="N725"/>
      <c r="O725"/>
      <c r="P725"/>
      <c r="Q725"/>
    </row>
    <row r="726" spans="9:17" s="1" customFormat="1">
      <c r="I726" s="185"/>
      <c r="J726" s="185"/>
      <c r="K726" s="185"/>
      <c r="L726"/>
      <c r="M726"/>
      <c r="N726"/>
      <c r="O726"/>
      <c r="P726"/>
      <c r="Q726"/>
    </row>
    <row r="727" spans="9:17" s="1" customFormat="1">
      <c r="I727" s="185"/>
      <c r="J727" s="185"/>
      <c r="K727" s="185"/>
      <c r="L727"/>
      <c r="M727"/>
      <c r="N727"/>
      <c r="O727"/>
      <c r="P727"/>
      <c r="Q727"/>
    </row>
    <row r="728" spans="9:17" s="1" customFormat="1">
      <c r="I728" s="185"/>
      <c r="J728" s="185"/>
      <c r="K728" s="185"/>
      <c r="L728"/>
      <c r="M728"/>
      <c r="N728"/>
      <c r="O728"/>
      <c r="P728"/>
      <c r="Q728"/>
    </row>
    <row r="729" spans="9:17" s="1" customFormat="1">
      <c r="I729" s="185"/>
      <c r="J729" s="185"/>
      <c r="K729" s="185"/>
      <c r="L729"/>
      <c r="M729"/>
      <c r="N729"/>
      <c r="O729"/>
      <c r="P729"/>
      <c r="Q729"/>
    </row>
    <row r="730" spans="9:17" s="1" customFormat="1">
      <c r="I730" s="185"/>
      <c r="J730" s="185"/>
      <c r="K730" s="185"/>
      <c r="L730"/>
      <c r="M730"/>
      <c r="N730"/>
      <c r="O730"/>
      <c r="P730"/>
      <c r="Q730"/>
    </row>
    <row r="731" spans="9:17" s="1" customFormat="1">
      <c r="I731" s="185"/>
      <c r="J731" s="185"/>
      <c r="K731" s="185"/>
      <c r="L731"/>
      <c r="M731"/>
      <c r="N731"/>
      <c r="O731"/>
      <c r="P731"/>
      <c r="Q731"/>
    </row>
    <row r="732" spans="9:17" s="1" customFormat="1">
      <c r="I732" s="185"/>
      <c r="J732" s="185"/>
      <c r="K732" s="185"/>
      <c r="L732"/>
      <c r="M732"/>
      <c r="N732"/>
      <c r="O732"/>
      <c r="P732"/>
      <c r="Q732"/>
    </row>
    <row r="733" spans="9:17" s="1" customFormat="1">
      <c r="I733" s="185"/>
      <c r="J733" s="185"/>
      <c r="K733" s="185"/>
      <c r="L733"/>
      <c r="M733"/>
      <c r="N733"/>
      <c r="O733"/>
      <c r="P733"/>
      <c r="Q733"/>
    </row>
    <row r="734" spans="9:17" s="1" customFormat="1">
      <c r="I734" s="185"/>
      <c r="J734" s="185"/>
      <c r="K734" s="185"/>
      <c r="L734"/>
      <c r="M734"/>
      <c r="N734"/>
      <c r="O734"/>
      <c r="P734"/>
      <c r="Q734"/>
    </row>
    <row r="735" spans="9:17" s="1" customFormat="1">
      <c r="I735" s="185"/>
      <c r="J735" s="185"/>
      <c r="K735" s="185"/>
      <c r="L735"/>
      <c r="M735"/>
      <c r="N735"/>
      <c r="O735"/>
      <c r="P735"/>
      <c r="Q735"/>
    </row>
    <row r="736" spans="9:17" s="1" customFormat="1">
      <c r="I736" s="185"/>
      <c r="J736" s="185"/>
      <c r="K736" s="185"/>
      <c r="L736"/>
      <c r="M736"/>
      <c r="N736"/>
      <c r="O736"/>
      <c r="P736"/>
      <c r="Q736"/>
    </row>
    <row r="737" spans="9:17" s="1" customFormat="1">
      <c r="I737" s="185"/>
      <c r="J737" s="185"/>
      <c r="K737" s="185"/>
      <c r="L737"/>
      <c r="M737"/>
      <c r="N737"/>
      <c r="O737"/>
      <c r="P737"/>
      <c r="Q737"/>
    </row>
    <row r="738" spans="9:17" s="1" customFormat="1">
      <c r="I738" s="185"/>
      <c r="J738" s="185"/>
      <c r="K738" s="185"/>
      <c r="L738"/>
      <c r="M738"/>
      <c r="N738"/>
      <c r="O738"/>
      <c r="P738"/>
      <c r="Q738"/>
    </row>
    <row r="739" spans="9:17" s="1" customFormat="1">
      <c r="I739" s="185"/>
      <c r="J739" s="185"/>
      <c r="K739" s="185"/>
      <c r="L739"/>
      <c r="M739"/>
      <c r="N739"/>
      <c r="O739"/>
      <c r="P739"/>
      <c r="Q739"/>
    </row>
    <row r="740" spans="9:17" s="1" customFormat="1">
      <c r="I740" s="185"/>
      <c r="J740" s="185"/>
      <c r="K740" s="185"/>
      <c r="L740"/>
      <c r="M740"/>
      <c r="N740"/>
      <c r="O740"/>
      <c r="P740"/>
      <c r="Q740"/>
    </row>
    <row r="741" spans="9:17" s="1" customFormat="1">
      <c r="I741" s="185"/>
      <c r="J741" s="185"/>
      <c r="K741" s="185"/>
      <c r="L741"/>
      <c r="M741"/>
      <c r="N741"/>
      <c r="O741"/>
      <c r="P741"/>
      <c r="Q741"/>
    </row>
    <row r="742" spans="9:17" s="1" customFormat="1">
      <c r="I742" s="185"/>
      <c r="J742" s="185"/>
      <c r="K742" s="185"/>
      <c r="L742"/>
      <c r="M742"/>
      <c r="N742"/>
      <c r="O742"/>
      <c r="P742"/>
      <c r="Q742"/>
    </row>
    <row r="743" spans="9:17" s="1" customFormat="1">
      <c r="I743" s="185"/>
      <c r="J743" s="185"/>
      <c r="K743" s="185"/>
      <c r="L743"/>
      <c r="M743"/>
      <c r="N743"/>
      <c r="O743"/>
      <c r="P743"/>
      <c r="Q743"/>
    </row>
    <row r="744" spans="9:17" s="1" customFormat="1">
      <c r="I744" s="185"/>
      <c r="J744" s="185"/>
      <c r="K744" s="185"/>
      <c r="L744"/>
      <c r="M744"/>
      <c r="N744"/>
      <c r="O744"/>
      <c r="P744"/>
      <c r="Q744"/>
    </row>
    <row r="745" spans="9:17" s="1" customFormat="1">
      <c r="I745" s="185"/>
      <c r="J745" s="185"/>
      <c r="K745" s="185"/>
      <c r="L745"/>
      <c r="M745"/>
      <c r="N745"/>
      <c r="O745"/>
      <c r="P745"/>
      <c r="Q745"/>
    </row>
    <row r="746" spans="9:17" s="1" customFormat="1">
      <c r="I746" s="185"/>
      <c r="J746" s="185"/>
      <c r="K746" s="185"/>
      <c r="L746"/>
      <c r="M746"/>
      <c r="N746"/>
      <c r="O746"/>
      <c r="P746"/>
      <c r="Q746"/>
    </row>
    <row r="747" spans="9:17" s="1" customFormat="1">
      <c r="I747" s="185"/>
      <c r="J747" s="185"/>
      <c r="K747" s="185"/>
      <c r="L747"/>
      <c r="M747"/>
      <c r="N747"/>
      <c r="O747"/>
      <c r="P747"/>
      <c r="Q747"/>
    </row>
    <row r="748" spans="9:17" s="1" customFormat="1">
      <c r="I748" s="185"/>
      <c r="J748" s="185"/>
      <c r="K748" s="185"/>
      <c r="L748"/>
      <c r="M748"/>
      <c r="N748"/>
      <c r="O748"/>
      <c r="P748"/>
      <c r="Q748"/>
    </row>
    <row r="749" spans="9:17" s="1" customFormat="1">
      <c r="I749" s="185"/>
      <c r="J749" s="185"/>
      <c r="K749" s="185"/>
      <c r="L749"/>
      <c r="M749"/>
      <c r="N749"/>
      <c r="O749"/>
      <c r="P749"/>
      <c r="Q749"/>
    </row>
    <row r="750" spans="9:17" s="1" customFormat="1">
      <c r="I750" s="185"/>
      <c r="J750" s="185"/>
      <c r="K750" s="185"/>
      <c r="L750"/>
      <c r="M750"/>
      <c r="N750"/>
      <c r="O750"/>
      <c r="P750"/>
      <c r="Q750"/>
    </row>
    <row r="751" spans="9:17" s="1" customFormat="1">
      <c r="I751" s="185"/>
      <c r="J751" s="185"/>
      <c r="K751" s="185"/>
      <c r="L751"/>
      <c r="M751"/>
      <c r="N751"/>
      <c r="O751"/>
      <c r="P751"/>
      <c r="Q751"/>
    </row>
    <row r="752" spans="9:17" s="1" customFormat="1">
      <c r="I752" s="185"/>
      <c r="J752" s="185"/>
      <c r="K752" s="185"/>
      <c r="L752"/>
      <c r="M752"/>
      <c r="N752"/>
      <c r="O752"/>
      <c r="P752"/>
      <c r="Q752"/>
    </row>
    <row r="753" spans="9:17" s="1" customFormat="1">
      <c r="I753" s="185"/>
      <c r="J753" s="185"/>
      <c r="K753" s="185"/>
      <c r="L753"/>
      <c r="M753"/>
      <c r="N753"/>
      <c r="O753"/>
      <c r="P753"/>
      <c r="Q753"/>
    </row>
    <row r="754" spans="9:17" s="1" customFormat="1">
      <c r="I754" s="185"/>
      <c r="J754" s="185"/>
      <c r="K754" s="185"/>
      <c r="L754"/>
      <c r="M754"/>
      <c r="N754"/>
      <c r="O754"/>
      <c r="P754"/>
      <c r="Q754"/>
    </row>
    <row r="755" spans="9:17" s="1" customFormat="1">
      <c r="I755" s="185"/>
      <c r="J755" s="185"/>
      <c r="K755" s="185"/>
      <c r="L755"/>
      <c r="M755"/>
      <c r="N755"/>
      <c r="O755"/>
      <c r="P755"/>
      <c r="Q755"/>
    </row>
    <row r="756" spans="9:17" s="1" customFormat="1">
      <c r="I756" s="185"/>
      <c r="J756" s="185"/>
      <c r="K756" s="185"/>
      <c r="L756"/>
      <c r="M756"/>
      <c r="N756"/>
      <c r="O756"/>
      <c r="P756"/>
      <c r="Q756"/>
    </row>
    <row r="757" spans="9:17" s="1" customFormat="1">
      <c r="I757" s="185"/>
      <c r="J757" s="185"/>
      <c r="K757" s="185"/>
      <c r="L757"/>
      <c r="M757"/>
      <c r="N757"/>
      <c r="O757"/>
      <c r="P757"/>
      <c r="Q757"/>
    </row>
    <row r="758" spans="9:17" s="1" customFormat="1">
      <c r="I758" s="185"/>
      <c r="J758" s="185"/>
      <c r="K758" s="185"/>
      <c r="L758"/>
      <c r="M758"/>
      <c r="N758"/>
      <c r="O758"/>
      <c r="P758"/>
      <c r="Q758"/>
    </row>
    <row r="759" spans="9:17" s="1" customFormat="1">
      <c r="I759" s="185"/>
      <c r="J759" s="185"/>
      <c r="K759" s="185"/>
      <c r="L759"/>
      <c r="M759"/>
      <c r="N759"/>
      <c r="O759"/>
      <c r="P759"/>
      <c r="Q759"/>
    </row>
    <row r="760" spans="9:17" s="1" customFormat="1">
      <c r="I760" s="185"/>
      <c r="J760" s="185"/>
      <c r="K760" s="185"/>
      <c r="L760"/>
      <c r="M760"/>
      <c r="N760"/>
      <c r="O760"/>
      <c r="P760"/>
      <c r="Q760"/>
    </row>
    <row r="761" spans="9:17" s="1" customFormat="1">
      <c r="I761" s="185"/>
      <c r="J761" s="185"/>
      <c r="K761" s="185"/>
      <c r="L761"/>
      <c r="M761"/>
      <c r="N761"/>
      <c r="O761"/>
      <c r="P761"/>
      <c r="Q761"/>
    </row>
    <row r="762" spans="9:17" s="1" customFormat="1">
      <c r="I762" s="185"/>
      <c r="J762" s="185"/>
      <c r="K762" s="185"/>
      <c r="L762"/>
      <c r="M762"/>
      <c r="N762"/>
      <c r="O762"/>
      <c r="P762"/>
      <c r="Q762"/>
    </row>
    <row r="763" spans="9:17" s="1" customFormat="1">
      <c r="I763" s="185"/>
      <c r="J763" s="185"/>
      <c r="K763" s="185"/>
      <c r="L763"/>
      <c r="M763"/>
      <c r="N763"/>
      <c r="O763"/>
      <c r="P763"/>
      <c r="Q763"/>
    </row>
    <row r="764" spans="9:17" s="1" customFormat="1">
      <c r="I764" s="185"/>
      <c r="J764" s="185"/>
      <c r="K764" s="185"/>
      <c r="L764"/>
      <c r="M764"/>
      <c r="N764"/>
      <c r="O764"/>
      <c r="P764"/>
      <c r="Q764"/>
    </row>
    <row r="765" spans="9:17" s="1" customFormat="1">
      <c r="I765" s="185"/>
      <c r="J765" s="185"/>
      <c r="K765" s="185"/>
      <c r="L765"/>
      <c r="M765"/>
      <c r="N765"/>
      <c r="O765"/>
      <c r="P765"/>
      <c r="Q765"/>
    </row>
    <row r="766" spans="9:17" s="1" customFormat="1">
      <c r="I766" s="185"/>
      <c r="J766" s="185"/>
      <c r="K766" s="185"/>
      <c r="L766"/>
      <c r="M766"/>
      <c r="N766"/>
      <c r="O766"/>
      <c r="P766"/>
      <c r="Q766"/>
    </row>
    <row r="767" spans="9:17" s="1" customFormat="1">
      <c r="I767" s="185"/>
      <c r="J767" s="185"/>
      <c r="K767" s="185"/>
      <c r="L767"/>
      <c r="M767"/>
      <c r="N767"/>
      <c r="O767"/>
      <c r="P767"/>
      <c r="Q767"/>
    </row>
    <row r="768" spans="9:17" s="1" customFormat="1">
      <c r="I768" s="185"/>
      <c r="J768" s="185"/>
      <c r="K768" s="185"/>
      <c r="L768"/>
      <c r="M768"/>
      <c r="N768"/>
      <c r="O768"/>
      <c r="P768"/>
      <c r="Q768"/>
    </row>
    <row r="769" spans="9:17" s="1" customFormat="1">
      <c r="I769" s="185"/>
      <c r="J769" s="185"/>
      <c r="K769" s="185"/>
      <c r="L769"/>
      <c r="M769"/>
      <c r="N769"/>
      <c r="O769"/>
      <c r="P769"/>
      <c r="Q769"/>
    </row>
    <row r="770" spans="9:17" s="1" customFormat="1">
      <c r="I770" s="185"/>
      <c r="J770" s="185"/>
      <c r="K770" s="185"/>
      <c r="L770"/>
      <c r="M770"/>
      <c r="N770"/>
      <c r="O770"/>
      <c r="P770"/>
      <c r="Q770"/>
    </row>
    <row r="771" spans="9:17" s="1" customFormat="1">
      <c r="I771" s="185"/>
      <c r="J771" s="185"/>
      <c r="K771" s="185"/>
      <c r="L771"/>
      <c r="M771"/>
      <c r="N771"/>
      <c r="O771"/>
      <c r="P771"/>
      <c r="Q771"/>
    </row>
    <row r="772" spans="9:17" s="1" customFormat="1">
      <c r="I772" s="185"/>
      <c r="J772" s="185"/>
      <c r="K772" s="185"/>
      <c r="L772"/>
      <c r="M772"/>
      <c r="N772"/>
      <c r="O772"/>
      <c r="P772"/>
      <c r="Q772"/>
    </row>
    <row r="773" spans="9:17" s="1" customFormat="1">
      <c r="I773" s="185"/>
      <c r="J773" s="185"/>
      <c r="K773" s="185"/>
      <c r="L773"/>
      <c r="M773"/>
      <c r="N773"/>
      <c r="O773"/>
      <c r="P773"/>
      <c r="Q773"/>
    </row>
    <row r="774" spans="9:17" s="1" customFormat="1">
      <c r="I774" s="185"/>
      <c r="J774" s="185"/>
      <c r="K774" s="185"/>
      <c r="L774"/>
      <c r="M774"/>
      <c r="N774"/>
      <c r="O774"/>
      <c r="P774"/>
      <c r="Q774"/>
    </row>
    <row r="775" spans="9:17" s="1" customFormat="1">
      <c r="I775" s="185"/>
      <c r="J775" s="185"/>
      <c r="K775" s="185"/>
      <c r="L775"/>
      <c r="M775"/>
      <c r="N775"/>
      <c r="O775"/>
      <c r="P775"/>
      <c r="Q775"/>
    </row>
    <row r="776" spans="9:17" s="1" customFormat="1">
      <c r="I776" s="185"/>
      <c r="J776" s="185"/>
      <c r="K776" s="185"/>
      <c r="L776"/>
      <c r="M776"/>
      <c r="N776"/>
      <c r="O776"/>
      <c r="P776"/>
      <c r="Q776"/>
    </row>
    <row r="777" spans="9:17" s="1" customFormat="1">
      <c r="I777" s="185"/>
      <c r="J777" s="185"/>
      <c r="K777" s="185"/>
      <c r="L777"/>
      <c r="M777"/>
      <c r="N777"/>
      <c r="O777"/>
      <c r="P777"/>
      <c r="Q777"/>
    </row>
    <row r="778" spans="9:17" s="1" customFormat="1">
      <c r="I778" s="185"/>
      <c r="J778" s="185"/>
      <c r="K778" s="185"/>
      <c r="L778"/>
      <c r="M778"/>
      <c r="N778"/>
      <c r="O778"/>
      <c r="P778"/>
      <c r="Q778"/>
    </row>
    <row r="779" spans="9:17" s="1" customFormat="1">
      <c r="I779" s="185"/>
      <c r="J779" s="185"/>
      <c r="K779" s="185"/>
      <c r="L779"/>
      <c r="M779"/>
      <c r="N779"/>
      <c r="O779"/>
      <c r="P779"/>
      <c r="Q779"/>
    </row>
    <row r="780" spans="9:17" s="1" customFormat="1">
      <c r="I780" s="185"/>
      <c r="J780" s="185"/>
      <c r="K780" s="185"/>
      <c r="L780"/>
      <c r="M780"/>
      <c r="N780"/>
      <c r="O780"/>
      <c r="P780"/>
      <c r="Q780"/>
    </row>
    <row r="781" spans="9:17" s="1" customFormat="1">
      <c r="I781" s="185"/>
      <c r="J781" s="185"/>
      <c r="K781" s="185"/>
      <c r="L781"/>
      <c r="M781"/>
      <c r="N781"/>
      <c r="O781"/>
      <c r="P781"/>
      <c r="Q781"/>
    </row>
    <row r="782" spans="9:17" s="1" customFormat="1">
      <c r="I782" s="185"/>
      <c r="J782" s="185"/>
      <c r="K782" s="185"/>
      <c r="L782"/>
      <c r="M782"/>
      <c r="N782"/>
      <c r="O782"/>
      <c r="P782"/>
      <c r="Q782"/>
    </row>
    <row r="783" spans="9:17" s="1" customFormat="1">
      <c r="I783" s="185"/>
      <c r="J783" s="185"/>
      <c r="K783" s="185"/>
      <c r="L783"/>
      <c r="M783"/>
      <c r="N783"/>
      <c r="O783"/>
      <c r="P783"/>
      <c r="Q783"/>
    </row>
    <row r="784" spans="9:17" s="1" customFormat="1">
      <c r="I784" s="185"/>
      <c r="J784" s="185"/>
      <c r="K784" s="185"/>
      <c r="L784"/>
      <c r="M784"/>
      <c r="N784"/>
      <c r="O784"/>
      <c r="P784"/>
      <c r="Q784"/>
    </row>
    <row r="785" spans="9:17" s="1" customFormat="1">
      <c r="I785" s="185"/>
      <c r="J785" s="185"/>
      <c r="K785" s="185"/>
      <c r="L785"/>
      <c r="M785"/>
      <c r="N785"/>
      <c r="O785"/>
      <c r="P785"/>
      <c r="Q785"/>
    </row>
    <row r="786" spans="9:17" s="1" customFormat="1">
      <c r="I786" s="185"/>
      <c r="J786" s="185"/>
      <c r="K786" s="185"/>
      <c r="L786"/>
      <c r="M786"/>
      <c r="N786"/>
      <c r="O786"/>
      <c r="P786"/>
      <c r="Q786"/>
    </row>
    <row r="787" spans="9:17" s="1" customFormat="1">
      <c r="I787" s="185"/>
      <c r="J787" s="185"/>
      <c r="K787" s="185"/>
      <c r="L787"/>
      <c r="M787"/>
      <c r="N787"/>
      <c r="O787"/>
      <c r="P787"/>
      <c r="Q787"/>
    </row>
    <row r="788" spans="9:17" s="1" customFormat="1">
      <c r="I788" s="185"/>
      <c r="J788" s="185"/>
      <c r="K788" s="185"/>
      <c r="L788"/>
      <c r="M788"/>
      <c r="N788"/>
      <c r="O788"/>
      <c r="P788"/>
      <c r="Q788"/>
    </row>
    <row r="789" spans="9:17" s="1" customFormat="1">
      <c r="I789" s="185"/>
      <c r="J789" s="185"/>
      <c r="K789" s="185"/>
      <c r="L789"/>
      <c r="M789"/>
      <c r="N789"/>
      <c r="O789"/>
      <c r="P789"/>
      <c r="Q789"/>
    </row>
    <row r="790" spans="9:17" s="1" customFormat="1">
      <c r="I790" s="185"/>
      <c r="J790" s="185"/>
      <c r="K790" s="185"/>
      <c r="L790"/>
      <c r="M790"/>
      <c r="N790"/>
      <c r="O790"/>
      <c r="P790"/>
      <c r="Q790"/>
    </row>
    <row r="791" spans="9:17" s="1" customFormat="1">
      <c r="I791" s="185"/>
      <c r="J791" s="185"/>
      <c r="K791" s="185"/>
      <c r="L791"/>
      <c r="M791"/>
      <c r="N791"/>
      <c r="O791"/>
      <c r="P791"/>
      <c r="Q791"/>
    </row>
    <row r="792" spans="9:17" s="1" customFormat="1">
      <c r="I792" s="185"/>
      <c r="J792" s="185"/>
      <c r="K792" s="185"/>
      <c r="L792"/>
      <c r="M792"/>
      <c r="N792"/>
      <c r="O792"/>
      <c r="P792"/>
      <c r="Q792"/>
    </row>
    <row r="793" spans="9:17" s="1" customFormat="1">
      <c r="I793" s="185"/>
      <c r="J793" s="185"/>
      <c r="K793" s="185"/>
      <c r="L793"/>
      <c r="M793"/>
      <c r="N793"/>
      <c r="O793"/>
      <c r="P793"/>
      <c r="Q793"/>
    </row>
    <row r="794" spans="9:17" s="1" customFormat="1">
      <c r="I794" s="185"/>
      <c r="J794" s="185"/>
      <c r="K794" s="185"/>
      <c r="L794"/>
      <c r="M794"/>
      <c r="N794"/>
      <c r="O794"/>
      <c r="P794"/>
      <c r="Q794"/>
    </row>
    <row r="795" spans="9:17" s="1" customFormat="1">
      <c r="I795" s="185"/>
      <c r="J795" s="185"/>
      <c r="K795" s="185"/>
      <c r="L795"/>
      <c r="M795"/>
      <c r="N795"/>
      <c r="O795"/>
      <c r="P795"/>
      <c r="Q795"/>
    </row>
    <row r="796" spans="9:17" s="1" customFormat="1">
      <c r="I796" s="185"/>
      <c r="J796" s="185"/>
      <c r="K796" s="185"/>
      <c r="L796"/>
      <c r="M796"/>
      <c r="N796"/>
      <c r="O796"/>
      <c r="P796"/>
      <c r="Q796"/>
    </row>
    <row r="797" spans="9:17" s="1" customFormat="1">
      <c r="I797" s="185"/>
      <c r="J797" s="185"/>
      <c r="K797" s="185"/>
      <c r="L797"/>
      <c r="M797"/>
      <c r="N797"/>
      <c r="O797"/>
      <c r="P797"/>
      <c r="Q797"/>
    </row>
    <row r="798" spans="9:17" s="1" customFormat="1">
      <c r="I798" s="185"/>
      <c r="J798" s="185"/>
      <c r="K798" s="185"/>
      <c r="L798"/>
      <c r="M798"/>
      <c r="N798"/>
      <c r="O798"/>
      <c r="P798"/>
      <c r="Q798"/>
    </row>
    <row r="799" spans="9:17" s="1" customFormat="1">
      <c r="I799" s="185"/>
      <c r="J799" s="185"/>
      <c r="K799" s="185"/>
      <c r="L799"/>
      <c r="M799"/>
      <c r="N799"/>
      <c r="O799"/>
      <c r="P799"/>
      <c r="Q799"/>
    </row>
    <row r="800" spans="9:17" s="1" customFormat="1">
      <c r="I800" s="185"/>
      <c r="J800" s="185"/>
      <c r="K800" s="185"/>
      <c r="L800"/>
      <c r="M800"/>
      <c r="N800"/>
      <c r="O800"/>
      <c r="P800"/>
      <c r="Q800"/>
    </row>
    <row r="801" spans="9:17" s="1" customFormat="1">
      <c r="I801" s="185"/>
      <c r="J801" s="185"/>
      <c r="K801" s="185"/>
      <c r="L801"/>
      <c r="M801"/>
      <c r="N801"/>
      <c r="O801"/>
      <c r="P801"/>
      <c r="Q801"/>
    </row>
    <row r="802" spans="9:17" s="1" customFormat="1">
      <c r="I802" s="185"/>
      <c r="J802" s="185"/>
      <c r="K802" s="185"/>
      <c r="L802"/>
      <c r="M802"/>
      <c r="N802"/>
      <c r="O802"/>
      <c r="P802"/>
      <c r="Q802"/>
    </row>
    <row r="803" spans="9:17" s="1" customFormat="1">
      <c r="I803" s="185"/>
      <c r="J803" s="185"/>
      <c r="K803" s="185"/>
      <c r="L803"/>
      <c r="M803"/>
      <c r="N803"/>
      <c r="O803"/>
      <c r="P803"/>
      <c r="Q803"/>
    </row>
    <row r="804" spans="9:17" s="1" customFormat="1">
      <c r="I804" s="185"/>
      <c r="J804" s="185"/>
      <c r="K804" s="185"/>
      <c r="L804"/>
      <c r="M804"/>
      <c r="N804"/>
      <c r="O804"/>
      <c r="P804"/>
      <c r="Q804"/>
    </row>
    <row r="805" spans="9:17" s="1" customFormat="1">
      <c r="I805" s="185"/>
      <c r="J805" s="185"/>
      <c r="K805" s="185"/>
      <c r="L805"/>
      <c r="M805"/>
      <c r="N805"/>
      <c r="O805"/>
      <c r="P805"/>
      <c r="Q805"/>
    </row>
    <row r="806" spans="9:17" s="1" customFormat="1">
      <c r="I806" s="185"/>
      <c r="J806" s="185"/>
      <c r="K806" s="185"/>
      <c r="L806"/>
      <c r="M806"/>
      <c r="N806"/>
      <c r="O806"/>
      <c r="P806"/>
      <c r="Q806"/>
    </row>
    <row r="807" spans="9:17" s="1" customFormat="1">
      <c r="I807" s="185"/>
      <c r="J807" s="185"/>
      <c r="K807" s="185"/>
      <c r="L807"/>
      <c r="M807"/>
      <c r="N807"/>
      <c r="O807"/>
      <c r="P807"/>
      <c r="Q807"/>
    </row>
    <row r="808" spans="9:17" s="1" customFormat="1">
      <c r="I808" s="185"/>
      <c r="J808" s="185"/>
      <c r="K808" s="185"/>
      <c r="L808"/>
      <c r="M808"/>
      <c r="N808"/>
      <c r="O808"/>
      <c r="P808"/>
      <c r="Q808"/>
    </row>
    <row r="809" spans="9:17" s="1" customFormat="1">
      <c r="I809" s="185"/>
      <c r="J809" s="185"/>
      <c r="K809" s="185"/>
      <c r="L809"/>
      <c r="M809"/>
      <c r="N809"/>
      <c r="O809"/>
      <c r="P809"/>
      <c r="Q809"/>
    </row>
    <row r="810" spans="9:17" s="1" customFormat="1">
      <c r="I810" s="185"/>
      <c r="J810" s="185"/>
      <c r="K810" s="185"/>
      <c r="L810"/>
      <c r="M810"/>
      <c r="N810"/>
      <c r="O810"/>
      <c r="P810"/>
      <c r="Q810"/>
    </row>
    <row r="811" spans="9:17" s="1" customFormat="1">
      <c r="I811" s="185"/>
      <c r="J811" s="185"/>
      <c r="K811" s="185"/>
      <c r="L811"/>
      <c r="M811"/>
      <c r="N811"/>
      <c r="O811"/>
      <c r="P811"/>
      <c r="Q811"/>
    </row>
    <row r="812" spans="9:17" s="1" customFormat="1">
      <c r="I812" s="185"/>
      <c r="J812" s="185"/>
      <c r="K812" s="185"/>
      <c r="L812"/>
      <c r="M812"/>
      <c r="N812"/>
      <c r="O812"/>
      <c r="P812"/>
      <c r="Q812"/>
    </row>
    <row r="813" spans="9:17" s="1" customFormat="1">
      <c r="I813" s="185"/>
      <c r="J813" s="185"/>
      <c r="K813" s="185"/>
      <c r="L813"/>
      <c r="M813"/>
      <c r="N813"/>
      <c r="O813"/>
      <c r="P813"/>
      <c r="Q813"/>
    </row>
    <row r="814" spans="9:17" s="1" customFormat="1">
      <c r="I814" s="185"/>
      <c r="J814" s="185"/>
      <c r="K814" s="185"/>
      <c r="L814"/>
      <c r="M814"/>
      <c r="N814"/>
      <c r="O814"/>
      <c r="P814"/>
      <c r="Q814"/>
    </row>
    <row r="815" spans="9:17" s="1" customFormat="1">
      <c r="I815" s="185"/>
      <c r="J815" s="185"/>
      <c r="K815" s="185"/>
      <c r="L815"/>
      <c r="M815"/>
      <c r="N815"/>
      <c r="O815"/>
      <c r="P815"/>
      <c r="Q815"/>
    </row>
    <row r="816" spans="9:17" s="1" customFormat="1">
      <c r="I816" s="185"/>
      <c r="J816" s="185"/>
      <c r="K816" s="185"/>
      <c r="L816"/>
      <c r="M816"/>
      <c r="N816"/>
      <c r="O816"/>
      <c r="P816"/>
      <c r="Q816"/>
    </row>
    <row r="817" spans="9:17" s="1" customFormat="1">
      <c r="I817" s="185"/>
      <c r="J817" s="185"/>
      <c r="K817" s="185"/>
      <c r="L817"/>
      <c r="M817"/>
      <c r="N817"/>
      <c r="O817"/>
      <c r="P817"/>
      <c r="Q817"/>
    </row>
    <row r="818" spans="9:17" s="1" customFormat="1">
      <c r="I818" s="185"/>
      <c r="J818" s="185"/>
      <c r="K818" s="185"/>
      <c r="L818"/>
      <c r="M818"/>
      <c r="N818"/>
      <c r="O818"/>
      <c r="P818"/>
      <c r="Q818"/>
    </row>
    <row r="819" spans="9:17" s="1" customFormat="1">
      <c r="I819" s="185"/>
      <c r="J819" s="185"/>
      <c r="K819" s="185"/>
      <c r="L819"/>
      <c r="M819"/>
      <c r="N819"/>
      <c r="O819"/>
      <c r="P819"/>
      <c r="Q819"/>
    </row>
    <row r="820" spans="9:17" s="1" customFormat="1">
      <c r="I820" s="185"/>
      <c r="J820" s="185"/>
      <c r="K820" s="185"/>
      <c r="L820"/>
      <c r="M820"/>
      <c r="N820"/>
      <c r="O820"/>
      <c r="P820"/>
      <c r="Q820"/>
    </row>
    <row r="821" spans="9:17" s="1" customFormat="1">
      <c r="I821" s="185"/>
      <c r="J821" s="185"/>
      <c r="K821" s="185"/>
      <c r="L821"/>
      <c r="M821"/>
      <c r="N821"/>
      <c r="O821"/>
      <c r="P821"/>
      <c r="Q821"/>
    </row>
    <row r="822" spans="9:17" s="1" customFormat="1">
      <c r="I822" s="185"/>
      <c r="J822" s="185"/>
      <c r="K822" s="185"/>
      <c r="L822"/>
      <c r="M822"/>
      <c r="N822"/>
      <c r="O822"/>
      <c r="P822"/>
      <c r="Q822"/>
    </row>
    <row r="823" spans="9:17" s="1" customFormat="1">
      <c r="I823" s="185"/>
      <c r="J823" s="185"/>
      <c r="K823" s="185"/>
      <c r="L823"/>
      <c r="M823"/>
      <c r="N823"/>
      <c r="O823"/>
      <c r="P823"/>
      <c r="Q823"/>
    </row>
    <row r="824" spans="9:17" s="1" customFormat="1">
      <c r="I824" s="185"/>
      <c r="J824" s="185"/>
      <c r="K824" s="185"/>
      <c r="L824"/>
      <c r="M824"/>
      <c r="N824"/>
      <c r="O824"/>
      <c r="P824"/>
      <c r="Q824"/>
    </row>
    <row r="825" spans="9:17" s="1" customFormat="1">
      <c r="I825" s="185"/>
      <c r="J825" s="185"/>
      <c r="K825" s="185"/>
      <c r="L825"/>
      <c r="M825"/>
      <c r="N825"/>
      <c r="O825"/>
      <c r="P825"/>
      <c r="Q825"/>
    </row>
    <row r="826" spans="9:17" s="1" customFormat="1">
      <c r="I826" s="185"/>
      <c r="J826" s="185"/>
      <c r="K826" s="185"/>
      <c r="L826"/>
      <c r="M826"/>
      <c r="N826"/>
      <c r="O826"/>
      <c r="P826"/>
      <c r="Q826"/>
    </row>
    <row r="827" spans="9:17" s="1" customFormat="1">
      <c r="I827" s="185"/>
      <c r="J827" s="185"/>
      <c r="K827" s="185"/>
      <c r="L827"/>
      <c r="M827"/>
      <c r="N827"/>
      <c r="O827"/>
      <c r="P827"/>
      <c r="Q827"/>
    </row>
    <row r="828" spans="9:17" s="1" customFormat="1">
      <c r="I828" s="185"/>
      <c r="J828" s="185"/>
      <c r="K828" s="185"/>
      <c r="L828"/>
      <c r="M828"/>
      <c r="N828"/>
      <c r="O828"/>
      <c r="P828"/>
      <c r="Q828"/>
    </row>
    <row r="829" spans="9:17" s="1" customFormat="1">
      <c r="I829" s="185"/>
      <c r="J829" s="185"/>
      <c r="K829" s="185"/>
      <c r="L829"/>
      <c r="M829"/>
      <c r="N829"/>
      <c r="O829"/>
      <c r="P829"/>
      <c r="Q829"/>
    </row>
    <row r="830" spans="9:17" s="1" customFormat="1">
      <c r="I830" s="185"/>
      <c r="J830" s="185"/>
      <c r="K830" s="185"/>
      <c r="L830"/>
      <c r="M830"/>
      <c r="N830"/>
      <c r="O830"/>
      <c r="P830"/>
      <c r="Q830"/>
    </row>
    <row r="831" spans="9:17" s="1" customFormat="1">
      <c r="I831" s="185"/>
      <c r="J831" s="185"/>
      <c r="K831" s="185"/>
      <c r="L831"/>
      <c r="M831"/>
      <c r="N831"/>
      <c r="O831"/>
      <c r="P831"/>
      <c r="Q831"/>
    </row>
    <row r="832" spans="9:17" s="1" customFormat="1">
      <c r="I832" s="185"/>
      <c r="J832" s="185"/>
      <c r="K832" s="185"/>
      <c r="L832"/>
      <c r="M832"/>
      <c r="N832"/>
      <c r="O832"/>
      <c r="P832"/>
      <c r="Q832"/>
    </row>
    <row r="833" spans="9:17" s="1" customFormat="1">
      <c r="I833" s="185"/>
      <c r="J833" s="185"/>
      <c r="K833" s="185"/>
      <c r="L833"/>
      <c r="M833"/>
      <c r="N833"/>
      <c r="O833"/>
      <c r="P833"/>
      <c r="Q833"/>
    </row>
    <row r="834" spans="9:17" s="1" customFormat="1">
      <c r="I834" s="185"/>
      <c r="J834" s="185"/>
      <c r="K834" s="185"/>
      <c r="L834"/>
      <c r="M834"/>
      <c r="N834"/>
      <c r="O834"/>
      <c r="P834"/>
      <c r="Q834"/>
    </row>
    <row r="835" spans="9:17" s="1" customFormat="1">
      <c r="I835" s="185"/>
      <c r="J835" s="185"/>
      <c r="K835" s="185"/>
      <c r="L835"/>
      <c r="M835"/>
      <c r="N835"/>
      <c r="O835"/>
      <c r="P835"/>
      <c r="Q835"/>
    </row>
    <row r="836" spans="9:17" s="1" customFormat="1">
      <c r="I836" s="185"/>
      <c r="J836" s="185"/>
      <c r="K836" s="185"/>
      <c r="L836"/>
      <c r="M836"/>
      <c r="N836"/>
      <c r="O836"/>
      <c r="P836"/>
      <c r="Q836"/>
    </row>
    <row r="837" spans="9:17" s="1" customFormat="1">
      <c r="I837" s="185"/>
      <c r="J837" s="185"/>
      <c r="K837" s="185"/>
      <c r="L837"/>
      <c r="M837"/>
      <c r="N837"/>
      <c r="O837"/>
      <c r="P837"/>
      <c r="Q837"/>
    </row>
    <row r="838" spans="9:17" s="1" customFormat="1">
      <c r="I838" s="185"/>
      <c r="J838" s="185"/>
      <c r="K838" s="185"/>
      <c r="L838"/>
      <c r="M838"/>
      <c r="N838"/>
      <c r="O838"/>
      <c r="P838"/>
      <c r="Q838"/>
    </row>
    <row r="839" spans="9:17" s="1" customFormat="1">
      <c r="I839" s="185"/>
      <c r="J839" s="185"/>
      <c r="K839" s="185"/>
      <c r="L839"/>
      <c r="M839"/>
      <c r="N839"/>
      <c r="O839"/>
      <c r="P839"/>
      <c r="Q839"/>
    </row>
    <row r="840" spans="9:17" s="1" customFormat="1">
      <c r="I840" s="185"/>
      <c r="J840" s="185"/>
      <c r="K840" s="185"/>
      <c r="L840"/>
      <c r="M840"/>
      <c r="N840"/>
      <c r="O840"/>
      <c r="P840"/>
      <c r="Q840"/>
    </row>
    <row r="841" spans="9:17" s="1" customFormat="1">
      <c r="I841" s="185"/>
      <c r="J841" s="185"/>
      <c r="K841" s="185"/>
      <c r="L841"/>
      <c r="M841"/>
      <c r="N841"/>
      <c r="O841"/>
      <c r="P841"/>
      <c r="Q841"/>
    </row>
    <row r="842" spans="9:17" s="1" customFormat="1">
      <c r="I842" s="185"/>
      <c r="J842" s="185"/>
      <c r="K842" s="185"/>
      <c r="L842"/>
      <c r="M842"/>
      <c r="N842"/>
      <c r="O842"/>
      <c r="P842"/>
      <c r="Q842"/>
    </row>
    <row r="843" spans="9:17" s="1" customFormat="1">
      <c r="I843" s="185"/>
      <c r="J843" s="185"/>
      <c r="K843" s="185"/>
      <c r="L843"/>
      <c r="M843"/>
      <c r="N843"/>
      <c r="O843"/>
      <c r="P843"/>
      <c r="Q843"/>
    </row>
    <row r="844" spans="9:17" s="1" customFormat="1">
      <c r="I844" s="185"/>
      <c r="J844" s="185"/>
      <c r="K844" s="185"/>
      <c r="L844"/>
      <c r="M844"/>
      <c r="N844"/>
      <c r="O844"/>
      <c r="P844"/>
      <c r="Q844"/>
    </row>
    <row r="845" spans="9:17" s="1" customFormat="1">
      <c r="I845" s="185"/>
      <c r="J845" s="185"/>
      <c r="K845" s="185"/>
      <c r="L845"/>
      <c r="M845"/>
      <c r="N845"/>
      <c r="O845"/>
      <c r="P845"/>
      <c r="Q845"/>
    </row>
    <row r="846" spans="9:17" s="1" customFormat="1">
      <c r="I846" s="185"/>
      <c r="J846" s="185"/>
      <c r="K846" s="185"/>
      <c r="L846"/>
      <c r="M846"/>
      <c r="N846"/>
      <c r="O846"/>
      <c r="P846"/>
      <c r="Q846"/>
    </row>
    <row r="847" spans="9:17" s="1" customFormat="1">
      <c r="I847" s="185"/>
      <c r="J847" s="185"/>
      <c r="K847" s="185"/>
      <c r="L847"/>
      <c r="M847"/>
      <c r="N847"/>
      <c r="O847"/>
      <c r="P847"/>
      <c r="Q847"/>
    </row>
    <row r="848" spans="9:17" s="1" customFormat="1">
      <c r="I848" s="185"/>
      <c r="J848" s="185"/>
      <c r="K848" s="185"/>
      <c r="L848"/>
      <c r="M848"/>
      <c r="N848"/>
      <c r="O848"/>
      <c r="P848"/>
      <c r="Q848"/>
    </row>
    <row r="849" spans="9:17" s="1" customFormat="1">
      <c r="I849" s="185"/>
      <c r="J849" s="185"/>
      <c r="K849" s="185"/>
      <c r="L849"/>
      <c r="M849"/>
      <c r="N849"/>
      <c r="O849"/>
      <c r="P849"/>
      <c r="Q849"/>
    </row>
    <row r="850" spans="9:17" s="1" customFormat="1">
      <c r="I850" s="185"/>
      <c r="J850" s="185"/>
      <c r="K850" s="185"/>
      <c r="L850"/>
      <c r="M850"/>
      <c r="N850"/>
      <c r="O850"/>
      <c r="P850"/>
      <c r="Q850"/>
    </row>
    <row r="851" spans="9:17" s="1" customFormat="1">
      <c r="I851" s="185"/>
      <c r="J851" s="185"/>
      <c r="K851" s="185"/>
      <c r="L851"/>
      <c r="M851"/>
      <c r="N851"/>
      <c r="O851"/>
      <c r="P851"/>
      <c r="Q851"/>
    </row>
    <row r="852" spans="9:17" s="1" customFormat="1">
      <c r="I852" s="185"/>
      <c r="J852" s="185"/>
      <c r="K852" s="185"/>
      <c r="L852"/>
      <c r="M852"/>
      <c r="N852"/>
      <c r="O852"/>
      <c r="P852"/>
      <c r="Q852"/>
    </row>
    <row r="853" spans="9:17" s="1" customFormat="1">
      <c r="I853" s="185"/>
      <c r="J853" s="185"/>
      <c r="K853" s="185"/>
      <c r="L853"/>
      <c r="M853"/>
      <c r="N853"/>
      <c r="O853"/>
      <c r="P853"/>
      <c r="Q853"/>
    </row>
    <row r="854" spans="9:17" s="1" customFormat="1">
      <c r="I854" s="185"/>
      <c r="J854" s="185"/>
      <c r="K854" s="185"/>
      <c r="L854"/>
      <c r="M854"/>
      <c r="N854"/>
      <c r="O854"/>
      <c r="P854"/>
      <c r="Q854"/>
    </row>
    <row r="855" spans="9:17" s="1" customFormat="1">
      <c r="I855" s="185"/>
      <c r="J855" s="185"/>
      <c r="K855" s="185"/>
      <c r="L855"/>
      <c r="M855"/>
      <c r="N855"/>
      <c r="O855"/>
      <c r="P855"/>
      <c r="Q855"/>
    </row>
    <row r="856" spans="9:17" s="1" customFormat="1">
      <c r="I856" s="185"/>
      <c r="J856" s="185"/>
      <c r="K856" s="185"/>
      <c r="L856"/>
      <c r="M856"/>
      <c r="N856"/>
      <c r="O856"/>
      <c r="P856"/>
      <c r="Q856"/>
    </row>
    <row r="857" spans="9:17" s="1" customFormat="1">
      <c r="I857" s="185"/>
      <c r="J857" s="185"/>
      <c r="K857" s="185"/>
      <c r="L857"/>
      <c r="M857"/>
      <c r="N857"/>
      <c r="O857"/>
      <c r="P857"/>
      <c r="Q857"/>
    </row>
    <row r="858" spans="9:17" s="1" customFormat="1">
      <c r="I858" s="185"/>
      <c r="J858" s="185"/>
      <c r="K858" s="185"/>
      <c r="L858"/>
      <c r="M858"/>
      <c r="N858"/>
      <c r="O858"/>
      <c r="P858"/>
      <c r="Q858"/>
    </row>
    <row r="859" spans="9:17" s="1" customFormat="1">
      <c r="I859" s="185"/>
      <c r="J859" s="185"/>
      <c r="K859" s="185"/>
      <c r="L859"/>
      <c r="M859"/>
      <c r="N859"/>
      <c r="O859"/>
      <c r="P859"/>
      <c r="Q859"/>
    </row>
    <row r="860" spans="9:17" s="1" customFormat="1">
      <c r="I860" s="185"/>
      <c r="J860" s="185"/>
      <c r="K860" s="185"/>
      <c r="L860"/>
      <c r="M860"/>
      <c r="N860"/>
      <c r="O860"/>
      <c r="P860"/>
      <c r="Q860"/>
    </row>
    <row r="861" spans="9:17" s="1" customFormat="1">
      <c r="I861" s="185"/>
      <c r="J861" s="185"/>
      <c r="K861" s="185"/>
      <c r="L861"/>
      <c r="M861"/>
      <c r="N861"/>
      <c r="O861"/>
      <c r="P861"/>
      <c r="Q861"/>
    </row>
    <row r="862" spans="9:17" s="1" customFormat="1">
      <c r="I862" s="185"/>
      <c r="J862" s="185"/>
      <c r="K862" s="185"/>
      <c r="L862"/>
      <c r="M862"/>
      <c r="N862"/>
      <c r="O862"/>
      <c r="P862"/>
      <c r="Q862"/>
    </row>
    <row r="863" spans="9:17" s="1" customFormat="1">
      <c r="I863" s="185"/>
      <c r="J863" s="185"/>
      <c r="K863" s="185"/>
      <c r="L863"/>
      <c r="M863"/>
      <c r="N863"/>
      <c r="O863"/>
      <c r="P863"/>
      <c r="Q863"/>
    </row>
    <row r="864" spans="9:17" s="1" customFormat="1">
      <c r="I864" s="185"/>
      <c r="J864" s="185"/>
      <c r="K864" s="185"/>
      <c r="L864"/>
      <c r="M864"/>
      <c r="N864"/>
      <c r="O864"/>
      <c r="P864"/>
      <c r="Q864"/>
    </row>
    <row r="865" spans="9:17" s="1" customFormat="1">
      <c r="I865" s="185"/>
      <c r="J865" s="185"/>
      <c r="K865" s="185"/>
      <c r="L865"/>
      <c r="M865"/>
      <c r="N865"/>
      <c r="O865"/>
      <c r="P865"/>
      <c r="Q865"/>
    </row>
    <row r="866" spans="9:17" s="1" customFormat="1">
      <c r="I866" s="185"/>
      <c r="J866" s="185"/>
      <c r="K866" s="185"/>
      <c r="L866"/>
      <c r="M866"/>
      <c r="N866"/>
      <c r="O866"/>
      <c r="P866"/>
      <c r="Q866"/>
    </row>
    <row r="867" spans="9:17" s="1" customFormat="1">
      <c r="I867" s="185"/>
      <c r="J867" s="185"/>
      <c r="K867" s="185"/>
      <c r="L867"/>
      <c r="M867"/>
      <c r="N867"/>
      <c r="O867"/>
      <c r="P867"/>
      <c r="Q867"/>
    </row>
    <row r="868" spans="9:17" s="1" customFormat="1">
      <c r="I868" s="185"/>
      <c r="J868" s="185"/>
      <c r="K868" s="185"/>
      <c r="L868"/>
      <c r="M868"/>
      <c r="N868"/>
      <c r="O868"/>
      <c r="P868"/>
      <c r="Q868"/>
    </row>
    <row r="869" spans="9:17" s="1" customFormat="1">
      <c r="I869" s="185"/>
      <c r="J869" s="185"/>
      <c r="K869" s="185"/>
      <c r="L869"/>
      <c r="M869"/>
      <c r="N869"/>
      <c r="O869"/>
      <c r="P869"/>
      <c r="Q869"/>
    </row>
    <row r="870" spans="9:17" s="1" customFormat="1">
      <c r="I870" s="185"/>
      <c r="J870" s="185"/>
      <c r="K870" s="185"/>
      <c r="L870"/>
      <c r="M870"/>
      <c r="N870"/>
      <c r="O870"/>
      <c r="P870"/>
      <c r="Q870"/>
    </row>
    <row r="871" spans="9:17" s="1" customFormat="1">
      <c r="I871" s="185"/>
      <c r="J871" s="185"/>
      <c r="K871" s="185"/>
      <c r="L871"/>
      <c r="M871"/>
      <c r="N871"/>
      <c r="O871"/>
      <c r="P871"/>
      <c r="Q871"/>
    </row>
    <row r="872" spans="9:17" s="1" customFormat="1">
      <c r="I872" s="185"/>
      <c r="J872" s="185"/>
      <c r="K872" s="185"/>
      <c r="L872"/>
      <c r="M872"/>
      <c r="N872"/>
      <c r="O872"/>
      <c r="P872"/>
      <c r="Q872"/>
    </row>
    <row r="873" spans="9:17" s="1" customFormat="1">
      <c r="I873" s="185"/>
      <c r="J873" s="185"/>
      <c r="K873" s="185"/>
      <c r="L873"/>
      <c r="M873"/>
      <c r="N873"/>
      <c r="O873"/>
      <c r="P873"/>
      <c r="Q873"/>
    </row>
    <row r="874" spans="9:17" s="1" customFormat="1">
      <c r="I874" s="185"/>
      <c r="J874" s="185"/>
      <c r="K874" s="185"/>
      <c r="L874"/>
      <c r="M874"/>
      <c r="N874"/>
      <c r="O874"/>
      <c r="P874"/>
      <c r="Q874"/>
    </row>
    <row r="875" spans="9:17" s="1" customFormat="1">
      <c r="I875" s="185"/>
      <c r="J875" s="185"/>
      <c r="K875" s="185"/>
      <c r="L875"/>
      <c r="M875"/>
      <c r="N875"/>
      <c r="O875"/>
      <c r="P875"/>
      <c r="Q875"/>
    </row>
    <row r="876" spans="9:17" s="1" customFormat="1">
      <c r="I876" s="185"/>
      <c r="J876" s="185"/>
      <c r="K876" s="185"/>
      <c r="L876"/>
      <c r="M876"/>
      <c r="N876"/>
      <c r="O876"/>
      <c r="P876"/>
      <c r="Q876"/>
    </row>
    <row r="877" spans="9:17" s="1" customFormat="1">
      <c r="I877" s="185"/>
      <c r="J877" s="185"/>
      <c r="K877" s="185"/>
      <c r="L877"/>
      <c r="M877"/>
      <c r="N877"/>
      <c r="O877"/>
      <c r="P877"/>
      <c r="Q877"/>
    </row>
    <row r="878" spans="9:17" s="1" customFormat="1">
      <c r="I878" s="185"/>
      <c r="J878" s="185"/>
      <c r="K878" s="185"/>
      <c r="L878"/>
      <c r="M878"/>
      <c r="N878"/>
      <c r="O878"/>
      <c r="P878"/>
      <c r="Q878"/>
    </row>
    <row r="879" spans="9:17" s="1" customFormat="1">
      <c r="I879" s="185"/>
      <c r="J879" s="185"/>
      <c r="K879" s="185"/>
      <c r="L879"/>
      <c r="M879"/>
      <c r="N879"/>
      <c r="O879"/>
      <c r="P879"/>
      <c r="Q879"/>
    </row>
    <row r="880" spans="9:17" s="1" customFormat="1">
      <c r="I880" s="185"/>
      <c r="J880" s="185"/>
      <c r="K880" s="185"/>
      <c r="L880"/>
      <c r="M880"/>
      <c r="N880"/>
      <c r="O880"/>
      <c r="P880"/>
      <c r="Q880"/>
    </row>
    <row r="881" spans="9:17" s="1" customFormat="1">
      <c r="I881" s="185"/>
      <c r="J881" s="185"/>
      <c r="K881" s="185"/>
      <c r="L881"/>
      <c r="M881"/>
      <c r="N881"/>
      <c r="O881"/>
      <c r="P881"/>
      <c r="Q881"/>
    </row>
    <row r="882" spans="9:17" s="1" customFormat="1">
      <c r="I882" s="185"/>
      <c r="J882" s="185"/>
      <c r="K882" s="185"/>
      <c r="L882"/>
      <c r="M882"/>
      <c r="N882"/>
      <c r="O882"/>
      <c r="P882"/>
      <c r="Q882"/>
    </row>
    <row r="883" spans="9:17" s="1" customFormat="1">
      <c r="I883" s="185"/>
      <c r="J883" s="185"/>
      <c r="K883" s="185"/>
      <c r="L883"/>
      <c r="M883"/>
      <c r="N883"/>
      <c r="O883"/>
      <c r="P883"/>
      <c r="Q883"/>
    </row>
    <row r="884" spans="9:17" s="1" customFormat="1">
      <c r="I884" s="185"/>
      <c r="J884" s="185"/>
      <c r="K884" s="185"/>
      <c r="L884"/>
      <c r="M884"/>
      <c r="N884"/>
      <c r="O884"/>
      <c r="P884"/>
      <c r="Q884"/>
    </row>
    <row r="885" spans="9:17" s="1" customFormat="1">
      <c r="I885" s="185"/>
      <c r="J885" s="185"/>
      <c r="K885" s="185"/>
      <c r="L885"/>
      <c r="M885"/>
      <c r="N885"/>
      <c r="O885"/>
      <c r="P885"/>
      <c r="Q885"/>
    </row>
    <row r="886" spans="9:17" s="1" customFormat="1">
      <c r="I886" s="185"/>
      <c r="J886" s="185"/>
      <c r="K886" s="185"/>
      <c r="L886"/>
      <c r="M886"/>
      <c r="N886"/>
      <c r="O886"/>
      <c r="P886"/>
      <c r="Q886"/>
    </row>
    <row r="887" spans="9:17" s="1" customFormat="1">
      <c r="I887" s="185"/>
      <c r="J887" s="185"/>
      <c r="K887" s="185"/>
      <c r="L887"/>
      <c r="M887"/>
      <c r="N887"/>
      <c r="O887"/>
      <c r="P887"/>
      <c r="Q887"/>
    </row>
    <row r="888" spans="9:17" s="1" customFormat="1">
      <c r="I888" s="185"/>
      <c r="J888" s="185"/>
      <c r="K888" s="185"/>
      <c r="L888"/>
      <c r="M888"/>
      <c r="N888"/>
      <c r="O888"/>
      <c r="P888"/>
      <c r="Q888"/>
    </row>
    <row r="889" spans="9:17" s="1" customFormat="1">
      <c r="I889" s="185"/>
      <c r="J889" s="185"/>
      <c r="K889" s="185"/>
      <c r="L889"/>
      <c r="M889"/>
      <c r="N889"/>
      <c r="O889"/>
      <c r="P889"/>
      <c r="Q889"/>
    </row>
    <row r="890" spans="9:17" s="1" customFormat="1">
      <c r="I890" s="185"/>
      <c r="J890" s="185"/>
      <c r="K890" s="185"/>
      <c r="L890"/>
      <c r="M890"/>
      <c r="N890"/>
      <c r="O890"/>
      <c r="P890"/>
      <c r="Q890"/>
    </row>
    <row r="891" spans="9:17" s="1" customFormat="1">
      <c r="I891" s="185"/>
      <c r="J891" s="185"/>
      <c r="K891" s="185"/>
      <c r="L891"/>
      <c r="M891"/>
      <c r="N891"/>
      <c r="O891"/>
      <c r="P891"/>
      <c r="Q891"/>
    </row>
    <row r="892" spans="9:17" s="1" customFormat="1">
      <c r="I892" s="185"/>
      <c r="J892" s="185"/>
      <c r="K892" s="185"/>
      <c r="L892"/>
      <c r="M892"/>
      <c r="N892"/>
      <c r="O892"/>
      <c r="P892"/>
      <c r="Q892"/>
    </row>
    <row r="893" spans="9:17" s="1" customFormat="1">
      <c r="I893" s="185"/>
      <c r="J893" s="185"/>
      <c r="K893" s="185"/>
      <c r="L893"/>
      <c r="M893"/>
      <c r="N893"/>
      <c r="O893"/>
      <c r="P893"/>
      <c r="Q893"/>
    </row>
    <row r="894" spans="9:17" s="1" customFormat="1">
      <c r="I894" s="185"/>
      <c r="J894" s="185"/>
      <c r="K894" s="185"/>
      <c r="L894"/>
      <c r="M894"/>
      <c r="N894"/>
      <c r="O894"/>
      <c r="P894"/>
      <c r="Q894"/>
    </row>
    <row r="895" spans="9:17" s="1" customFormat="1">
      <c r="I895" s="185"/>
      <c r="J895" s="185"/>
      <c r="K895" s="185"/>
      <c r="L895"/>
      <c r="M895"/>
      <c r="N895"/>
      <c r="O895"/>
      <c r="P895"/>
      <c r="Q895"/>
    </row>
    <row r="896" spans="9:17" s="1" customFormat="1">
      <c r="I896" s="185"/>
      <c r="J896" s="185"/>
      <c r="K896" s="185"/>
      <c r="L896"/>
      <c r="M896"/>
      <c r="N896"/>
      <c r="O896"/>
      <c r="P896"/>
      <c r="Q896"/>
    </row>
    <row r="897" spans="9:17" s="1" customFormat="1">
      <c r="I897" s="185"/>
      <c r="J897" s="185"/>
      <c r="K897" s="185"/>
      <c r="L897"/>
      <c r="M897"/>
      <c r="N897"/>
      <c r="O897"/>
      <c r="P897"/>
      <c r="Q897"/>
    </row>
    <row r="898" spans="9:17" s="1" customFormat="1">
      <c r="I898" s="185"/>
      <c r="J898" s="185"/>
      <c r="K898" s="185"/>
      <c r="L898"/>
      <c r="M898"/>
      <c r="N898"/>
      <c r="O898"/>
      <c r="P898"/>
      <c r="Q898"/>
    </row>
    <row r="899" spans="9:17" s="1" customFormat="1">
      <c r="I899" s="185"/>
      <c r="J899" s="185"/>
      <c r="K899" s="185"/>
      <c r="L899"/>
      <c r="M899"/>
      <c r="N899"/>
      <c r="O899"/>
      <c r="P899"/>
      <c r="Q899"/>
    </row>
    <row r="900" spans="9:17" s="1" customFormat="1">
      <c r="I900" s="185"/>
      <c r="J900" s="185"/>
      <c r="K900" s="185"/>
      <c r="L900"/>
      <c r="M900"/>
      <c r="N900"/>
      <c r="O900"/>
      <c r="P900"/>
      <c r="Q900"/>
    </row>
    <row r="901" spans="9:17" s="1" customFormat="1">
      <c r="I901" s="185"/>
      <c r="J901" s="185"/>
      <c r="K901" s="185"/>
      <c r="L901"/>
      <c r="M901"/>
      <c r="N901"/>
      <c r="O901"/>
      <c r="P901"/>
      <c r="Q901"/>
    </row>
    <row r="902" spans="9:17" s="1" customFormat="1">
      <c r="I902" s="185"/>
      <c r="J902" s="185"/>
      <c r="K902" s="185"/>
      <c r="L902"/>
      <c r="M902"/>
      <c r="N902"/>
      <c r="O902"/>
      <c r="P902"/>
      <c r="Q902"/>
    </row>
    <row r="903" spans="9:17" s="1" customFormat="1">
      <c r="I903" s="185"/>
      <c r="J903" s="185"/>
      <c r="K903" s="185"/>
      <c r="L903"/>
      <c r="M903"/>
      <c r="N903"/>
      <c r="O903"/>
      <c r="P903"/>
      <c r="Q903"/>
    </row>
    <row r="904" spans="9:17" s="1" customFormat="1">
      <c r="I904" s="185"/>
      <c r="J904" s="185"/>
      <c r="K904" s="185"/>
      <c r="L904"/>
      <c r="M904"/>
      <c r="N904"/>
      <c r="O904"/>
      <c r="P904"/>
      <c r="Q904"/>
    </row>
    <row r="905" spans="9:17" s="1" customFormat="1">
      <c r="I905" s="185"/>
      <c r="J905" s="185"/>
      <c r="K905" s="185"/>
      <c r="L905"/>
      <c r="M905"/>
      <c r="N905"/>
      <c r="O905"/>
      <c r="P905"/>
      <c r="Q905"/>
    </row>
    <row r="906" spans="9:17" s="1" customFormat="1">
      <c r="I906" s="185"/>
      <c r="J906" s="185"/>
      <c r="K906" s="185"/>
      <c r="L906"/>
      <c r="M906"/>
      <c r="N906"/>
      <c r="O906"/>
      <c r="P906"/>
      <c r="Q906"/>
    </row>
    <row r="907" spans="9:17" s="1" customFormat="1">
      <c r="I907" s="185"/>
      <c r="J907" s="185"/>
      <c r="K907" s="185"/>
      <c r="L907"/>
      <c r="M907"/>
      <c r="N907"/>
      <c r="O907"/>
      <c r="P907"/>
      <c r="Q907"/>
    </row>
    <row r="908" spans="9:17" s="1" customFormat="1">
      <c r="I908" s="185"/>
      <c r="J908" s="185"/>
      <c r="K908" s="185"/>
      <c r="L908"/>
      <c r="M908"/>
      <c r="N908"/>
      <c r="O908"/>
      <c r="P908"/>
      <c r="Q908"/>
    </row>
    <row r="909" spans="9:17" s="1" customFormat="1">
      <c r="I909" s="185"/>
      <c r="J909" s="185"/>
      <c r="K909" s="185"/>
      <c r="L909"/>
      <c r="M909"/>
      <c r="N909"/>
      <c r="O909"/>
      <c r="P909"/>
      <c r="Q909"/>
    </row>
    <row r="910" spans="9:17" s="1" customFormat="1">
      <c r="I910" s="185"/>
      <c r="J910" s="185"/>
      <c r="K910" s="185"/>
      <c r="L910"/>
      <c r="M910"/>
      <c r="N910"/>
      <c r="O910"/>
      <c r="P910"/>
      <c r="Q910"/>
    </row>
    <row r="911" spans="9:17" s="1" customFormat="1">
      <c r="I911" s="185"/>
      <c r="J911" s="185"/>
      <c r="K911" s="185"/>
      <c r="L911"/>
      <c r="M911"/>
      <c r="N911"/>
      <c r="O911"/>
      <c r="P911"/>
      <c r="Q911"/>
    </row>
    <row r="912" spans="9:17" s="1" customFormat="1">
      <c r="I912" s="185"/>
      <c r="J912" s="185"/>
      <c r="K912" s="185"/>
      <c r="L912"/>
      <c r="M912"/>
      <c r="N912"/>
      <c r="O912"/>
      <c r="P912"/>
      <c r="Q912"/>
    </row>
    <row r="913" spans="9:17" s="1" customFormat="1">
      <c r="I913" s="185"/>
      <c r="J913" s="185"/>
      <c r="K913" s="185"/>
      <c r="L913"/>
      <c r="M913"/>
      <c r="N913"/>
      <c r="O913"/>
      <c r="P913"/>
      <c r="Q913"/>
    </row>
    <row r="914" spans="9:17" s="1" customFormat="1">
      <c r="I914" s="185"/>
      <c r="J914" s="185"/>
      <c r="K914" s="185"/>
      <c r="L914"/>
      <c r="M914"/>
      <c r="N914"/>
      <c r="O914"/>
      <c r="P914"/>
      <c r="Q914"/>
    </row>
    <row r="915" spans="9:17" s="1" customFormat="1">
      <c r="I915" s="185"/>
      <c r="J915" s="185"/>
      <c r="K915" s="185"/>
      <c r="L915"/>
      <c r="M915"/>
      <c r="N915"/>
      <c r="O915"/>
      <c r="P915"/>
      <c r="Q915"/>
    </row>
    <row r="916" spans="9:17" s="1" customFormat="1">
      <c r="I916" s="185"/>
      <c r="J916" s="185"/>
      <c r="K916" s="185"/>
      <c r="L916"/>
      <c r="M916"/>
      <c r="N916"/>
      <c r="O916"/>
      <c r="P916"/>
      <c r="Q916"/>
    </row>
    <row r="917" spans="9:17" s="1" customFormat="1">
      <c r="I917" s="185"/>
      <c r="J917" s="185"/>
      <c r="K917" s="185"/>
      <c r="L917"/>
      <c r="M917"/>
      <c r="N917"/>
      <c r="O917"/>
      <c r="P917"/>
      <c r="Q917"/>
    </row>
    <row r="918" spans="9:17" s="1" customFormat="1">
      <c r="I918" s="185"/>
      <c r="J918" s="185"/>
      <c r="K918" s="185"/>
      <c r="L918"/>
      <c r="M918"/>
      <c r="N918"/>
      <c r="O918"/>
      <c r="P918"/>
      <c r="Q918"/>
    </row>
    <row r="919" spans="9:17" s="1" customFormat="1">
      <c r="I919" s="185"/>
      <c r="J919" s="185"/>
      <c r="K919" s="185"/>
      <c r="L919"/>
      <c r="M919"/>
      <c r="N919"/>
      <c r="O919"/>
      <c r="P919"/>
      <c r="Q919"/>
    </row>
    <row r="920" spans="9:17" s="1" customFormat="1">
      <c r="I920" s="185"/>
      <c r="J920" s="185"/>
      <c r="K920" s="185"/>
      <c r="L920"/>
      <c r="M920"/>
      <c r="N920"/>
      <c r="O920"/>
      <c r="P920"/>
      <c r="Q920"/>
    </row>
    <row r="921" spans="9:17" s="1" customFormat="1">
      <c r="I921" s="185"/>
      <c r="J921" s="185"/>
      <c r="K921" s="185"/>
      <c r="L921"/>
      <c r="M921"/>
      <c r="N921"/>
      <c r="O921"/>
      <c r="P921"/>
      <c r="Q921"/>
    </row>
    <row r="922" spans="9:17" s="1" customFormat="1">
      <c r="I922" s="185"/>
      <c r="J922" s="185"/>
      <c r="K922" s="185"/>
      <c r="L922"/>
      <c r="M922"/>
      <c r="N922"/>
      <c r="O922"/>
      <c r="P922"/>
      <c r="Q922"/>
    </row>
    <row r="923" spans="9:17" s="1" customFormat="1">
      <c r="I923" s="185"/>
      <c r="J923" s="185"/>
      <c r="K923" s="185"/>
      <c r="L923"/>
      <c r="M923"/>
      <c r="N923"/>
      <c r="O923"/>
      <c r="P923"/>
      <c r="Q923"/>
    </row>
    <row r="924" spans="9:17" s="1" customFormat="1">
      <c r="I924" s="185"/>
      <c r="J924" s="185"/>
      <c r="K924" s="185"/>
      <c r="L924"/>
      <c r="M924"/>
      <c r="N924"/>
      <c r="O924"/>
      <c r="P924"/>
      <c r="Q924"/>
    </row>
    <row r="925" spans="9:17" s="1" customFormat="1">
      <c r="I925" s="185"/>
      <c r="J925" s="185"/>
      <c r="K925" s="185"/>
      <c r="L925"/>
      <c r="M925"/>
      <c r="N925"/>
      <c r="O925"/>
      <c r="P925"/>
      <c r="Q925"/>
    </row>
    <row r="926" spans="9:17" s="1" customFormat="1">
      <c r="I926" s="185"/>
      <c r="J926" s="185"/>
      <c r="K926" s="185"/>
      <c r="L926"/>
      <c r="M926"/>
      <c r="N926"/>
      <c r="O926"/>
      <c r="P926"/>
      <c r="Q926"/>
    </row>
    <row r="927" spans="9:17" s="1" customFormat="1">
      <c r="I927" s="185"/>
      <c r="J927" s="185"/>
      <c r="K927" s="185"/>
      <c r="L927"/>
      <c r="M927"/>
      <c r="N927"/>
      <c r="O927"/>
      <c r="P927"/>
      <c r="Q927"/>
    </row>
    <row r="928" spans="9:17" s="1" customFormat="1">
      <c r="I928" s="185"/>
      <c r="J928" s="185"/>
      <c r="K928" s="185"/>
      <c r="L928"/>
      <c r="M928"/>
      <c r="N928"/>
      <c r="O928"/>
      <c r="P928"/>
      <c r="Q928"/>
    </row>
    <row r="929" spans="9:17" s="1" customFormat="1">
      <c r="I929" s="185"/>
      <c r="J929" s="185"/>
      <c r="K929" s="185"/>
      <c r="L929"/>
      <c r="M929"/>
      <c r="N929"/>
      <c r="O929"/>
      <c r="P929"/>
      <c r="Q929"/>
    </row>
    <row r="930" spans="9:17" s="1" customFormat="1">
      <c r="I930" s="185"/>
      <c r="J930" s="185"/>
      <c r="K930" s="185"/>
      <c r="L930"/>
      <c r="M930"/>
      <c r="N930"/>
      <c r="O930"/>
      <c r="P930"/>
      <c r="Q930"/>
    </row>
    <row r="931" spans="9:17" s="1" customFormat="1">
      <c r="I931" s="185"/>
      <c r="J931" s="185"/>
      <c r="K931" s="185"/>
      <c r="L931"/>
      <c r="M931"/>
      <c r="N931"/>
      <c r="O931"/>
      <c r="P931"/>
      <c r="Q931"/>
    </row>
    <row r="932" spans="9:17" s="1" customFormat="1">
      <c r="I932" s="185"/>
      <c r="J932" s="185"/>
      <c r="K932" s="185"/>
      <c r="L932"/>
      <c r="M932"/>
      <c r="N932"/>
      <c r="O932"/>
      <c r="P932"/>
      <c r="Q932"/>
    </row>
    <row r="933" spans="9:17" s="1" customFormat="1">
      <c r="I933" s="185"/>
      <c r="J933" s="185"/>
      <c r="K933" s="185"/>
      <c r="L933"/>
      <c r="M933"/>
      <c r="N933"/>
      <c r="O933"/>
      <c r="P933"/>
      <c r="Q933"/>
    </row>
    <row r="934" spans="9:17" s="1" customFormat="1">
      <c r="I934" s="185"/>
      <c r="J934" s="185"/>
      <c r="K934" s="185"/>
      <c r="L934"/>
      <c r="M934"/>
      <c r="N934"/>
      <c r="O934"/>
      <c r="P934"/>
      <c r="Q934"/>
    </row>
    <row r="935" spans="9:17" s="1" customFormat="1">
      <c r="I935" s="185"/>
      <c r="J935" s="185"/>
      <c r="K935" s="185"/>
      <c r="L935"/>
      <c r="M935"/>
      <c r="N935"/>
      <c r="O935"/>
      <c r="P935"/>
      <c r="Q935"/>
    </row>
    <row r="936" spans="9:17" s="1" customFormat="1">
      <c r="I936" s="185"/>
      <c r="J936" s="185"/>
      <c r="K936" s="185"/>
      <c r="L936"/>
      <c r="M936"/>
      <c r="N936"/>
      <c r="O936"/>
      <c r="P936"/>
      <c r="Q936"/>
    </row>
    <row r="937" spans="9:17" s="1" customFormat="1">
      <c r="I937" s="185"/>
      <c r="J937" s="185"/>
      <c r="K937" s="185"/>
      <c r="L937"/>
      <c r="M937"/>
      <c r="N937"/>
      <c r="O937"/>
      <c r="P937"/>
      <c r="Q937"/>
    </row>
    <row r="938" spans="9:17" s="1" customFormat="1">
      <c r="I938" s="185"/>
      <c r="J938" s="185"/>
      <c r="K938" s="185"/>
      <c r="L938"/>
      <c r="M938"/>
      <c r="N938"/>
      <c r="O938"/>
      <c r="P938"/>
      <c r="Q938"/>
    </row>
    <row r="939" spans="9:17" s="1" customFormat="1">
      <c r="I939" s="185"/>
      <c r="J939" s="185"/>
      <c r="K939" s="185"/>
      <c r="L939"/>
      <c r="M939"/>
      <c r="N939"/>
      <c r="O939"/>
      <c r="P939"/>
      <c r="Q939"/>
    </row>
    <row r="940" spans="9:17" s="1" customFormat="1">
      <c r="I940" s="185"/>
      <c r="J940" s="185"/>
      <c r="K940" s="185"/>
      <c r="L940"/>
      <c r="M940"/>
      <c r="N940"/>
      <c r="O940"/>
      <c r="P940"/>
      <c r="Q940"/>
    </row>
    <row r="941" spans="9:17" s="1" customFormat="1">
      <c r="I941" s="185"/>
      <c r="J941" s="185"/>
      <c r="K941" s="185"/>
      <c r="L941"/>
      <c r="M941"/>
      <c r="N941"/>
      <c r="O941"/>
      <c r="P941"/>
      <c r="Q941"/>
    </row>
    <row r="942" spans="9:17" s="1" customFormat="1">
      <c r="I942" s="185"/>
      <c r="J942" s="185"/>
      <c r="K942" s="185"/>
      <c r="L942"/>
      <c r="M942"/>
      <c r="N942"/>
      <c r="O942"/>
      <c r="P942"/>
      <c r="Q942"/>
    </row>
    <row r="943" spans="9:17" s="1" customFormat="1">
      <c r="I943" s="185"/>
      <c r="J943" s="185"/>
      <c r="K943" s="185"/>
      <c r="L943"/>
      <c r="M943"/>
      <c r="N943"/>
      <c r="O943"/>
      <c r="P943"/>
      <c r="Q943"/>
    </row>
    <row r="944" spans="9:17" s="1" customFormat="1">
      <c r="I944" s="185"/>
      <c r="J944" s="185"/>
      <c r="K944" s="185"/>
      <c r="L944"/>
      <c r="M944"/>
      <c r="N944"/>
      <c r="O944"/>
      <c r="P944"/>
      <c r="Q944"/>
    </row>
    <row r="945" spans="9:17" s="1" customFormat="1">
      <c r="I945" s="185"/>
      <c r="J945" s="185"/>
      <c r="K945" s="185"/>
      <c r="L945"/>
      <c r="M945"/>
      <c r="N945"/>
      <c r="O945"/>
      <c r="P945"/>
      <c r="Q945"/>
    </row>
    <row r="946" spans="9:17" s="1" customFormat="1">
      <c r="I946" s="185"/>
      <c r="J946" s="185"/>
      <c r="K946" s="185"/>
      <c r="L946"/>
      <c r="M946"/>
      <c r="N946"/>
      <c r="O946"/>
      <c r="P946"/>
      <c r="Q946"/>
    </row>
    <row r="947" spans="9:17" s="1" customFormat="1">
      <c r="I947" s="185"/>
      <c r="J947" s="185"/>
      <c r="K947" s="185"/>
      <c r="L947"/>
      <c r="M947"/>
      <c r="N947"/>
      <c r="O947"/>
      <c r="P947"/>
      <c r="Q947"/>
    </row>
    <row r="948" spans="9:17" s="1" customFormat="1">
      <c r="I948" s="185"/>
      <c r="J948" s="185"/>
      <c r="K948" s="185"/>
      <c r="L948"/>
      <c r="M948"/>
      <c r="N948"/>
      <c r="O948"/>
      <c r="P948"/>
      <c r="Q948"/>
    </row>
    <row r="949" spans="9:17" s="1" customFormat="1">
      <c r="I949" s="185"/>
      <c r="J949" s="185"/>
      <c r="K949" s="185"/>
      <c r="L949"/>
      <c r="M949"/>
      <c r="N949"/>
      <c r="O949"/>
      <c r="P949"/>
      <c r="Q949"/>
    </row>
    <row r="950" spans="9:17" s="1" customFormat="1">
      <c r="I950" s="185"/>
      <c r="J950" s="185"/>
      <c r="K950" s="185"/>
      <c r="L950"/>
      <c r="M950"/>
      <c r="N950"/>
      <c r="O950"/>
      <c r="P950"/>
      <c r="Q950"/>
    </row>
    <row r="951" spans="9:17" s="1" customFormat="1">
      <c r="I951" s="185"/>
      <c r="J951" s="185"/>
      <c r="K951" s="185"/>
      <c r="L951"/>
      <c r="M951"/>
      <c r="N951"/>
      <c r="O951"/>
      <c r="P951"/>
      <c r="Q951"/>
    </row>
    <row r="952" spans="9:17" s="1" customFormat="1">
      <c r="I952" s="185"/>
      <c r="J952" s="185"/>
      <c r="K952" s="185"/>
      <c r="L952"/>
      <c r="M952"/>
      <c r="N952"/>
      <c r="O952"/>
      <c r="P952"/>
      <c r="Q952"/>
    </row>
    <row r="953" spans="9:17" s="1" customFormat="1">
      <c r="I953" s="185"/>
      <c r="J953" s="185"/>
      <c r="K953" s="185"/>
      <c r="L953"/>
      <c r="M953"/>
      <c r="N953"/>
      <c r="O953"/>
      <c r="P953"/>
      <c r="Q953"/>
    </row>
    <row r="954" spans="9:17" s="1" customFormat="1">
      <c r="I954" s="185"/>
      <c r="J954" s="185"/>
      <c r="K954" s="185"/>
      <c r="L954"/>
      <c r="M954"/>
      <c r="N954"/>
      <c r="O954"/>
      <c r="P954"/>
      <c r="Q954"/>
    </row>
    <row r="955" spans="9:17" s="1" customFormat="1">
      <c r="I955" s="185"/>
      <c r="J955" s="185"/>
      <c r="K955" s="185"/>
      <c r="L955"/>
      <c r="M955"/>
      <c r="N955"/>
      <c r="O955"/>
      <c r="P955"/>
      <c r="Q955"/>
    </row>
    <row r="956" spans="9:17" s="1" customFormat="1">
      <c r="I956" s="185"/>
      <c r="J956" s="185"/>
      <c r="K956" s="185"/>
      <c r="L956"/>
      <c r="M956"/>
      <c r="N956"/>
      <c r="O956"/>
      <c r="P956"/>
      <c r="Q956"/>
    </row>
    <row r="957" spans="9:17" s="1" customFormat="1">
      <c r="I957" s="185"/>
      <c r="J957" s="185"/>
      <c r="K957" s="185"/>
      <c r="L957"/>
      <c r="M957"/>
      <c r="N957"/>
      <c r="O957"/>
      <c r="P957"/>
      <c r="Q957"/>
    </row>
    <row r="958" spans="9:17" s="1" customFormat="1">
      <c r="I958" s="185"/>
      <c r="J958" s="185"/>
      <c r="K958" s="185"/>
      <c r="L958"/>
      <c r="M958"/>
      <c r="N958"/>
      <c r="O958"/>
      <c r="P958"/>
      <c r="Q958"/>
    </row>
    <row r="959" spans="9:17" s="1" customFormat="1">
      <c r="I959" s="185"/>
      <c r="J959" s="185"/>
      <c r="K959" s="185"/>
      <c r="L959"/>
      <c r="M959"/>
      <c r="N959"/>
      <c r="O959"/>
      <c r="P959"/>
      <c r="Q959"/>
    </row>
    <row r="960" spans="9:17" s="1" customFormat="1">
      <c r="I960" s="185"/>
      <c r="J960" s="185"/>
      <c r="K960" s="185"/>
      <c r="L960"/>
      <c r="M960"/>
      <c r="N960"/>
      <c r="O960"/>
      <c r="P960"/>
      <c r="Q960"/>
    </row>
    <row r="961" spans="9:17" s="1" customFormat="1">
      <c r="I961" s="185"/>
      <c r="J961" s="185"/>
      <c r="K961" s="185"/>
      <c r="L961"/>
      <c r="M961"/>
      <c r="N961"/>
      <c r="O961"/>
      <c r="P961"/>
      <c r="Q961"/>
    </row>
    <row r="962" spans="9:17" s="1" customFormat="1">
      <c r="I962" s="185"/>
      <c r="J962" s="185"/>
      <c r="K962" s="185"/>
      <c r="L962"/>
      <c r="M962"/>
      <c r="N962"/>
      <c r="O962"/>
      <c r="P962"/>
      <c r="Q962"/>
    </row>
    <row r="963" spans="9:17" s="1" customFormat="1">
      <c r="I963" s="185"/>
      <c r="J963" s="185"/>
      <c r="K963" s="185"/>
      <c r="L963"/>
      <c r="M963"/>
      <c r="N963"/>
      <c r="O963"/>
      <c r="P963"/>
      <c r="Q963"/>
    </row>
    <row r="964" spans="9:17" s="1" customFormat="1">
      <c r="I964" s="185"/>
      <c r="J964" s="185"/>
      <c r="K964" s="185"/>
      <c r="L964"/>
      <c r="M964"/>
      <c r="N964"/>
      <c r="O964"/>
      <c r="P964"/>
      <c r="Q964"/>
    </row>
    <row r="965" spans="9:17" s="1" customFormat="1">
      <c r="I965" s="185"/>
      <c r="J965" s="185"/>
      <c r="K965" s="185"/>
      <c r="L965"/>
      <c r="M965"/>
      <c r="N965"/>
      <c r="O965"/>
      <c r="P965"/>
      <c r="Q965"/>
    </row>
    <row r="966" spans="9:17" s="1" customFormat="1">
      <c r="I966" s="185"/>
      <c r="J966" s="185"/>
      <c r="K966" s="185"/>
      <c r="L966"/>
      <c r="M966"/>
      <c r="N966"/>
      <c r="O966"/>
      <c r="P966"/>
      <c r="Q966"/>
    </row>
    <row r="967" spans="9:17" s="1" customFormat="1">
      <c r="I967" s="185"/>
      <c r="J967" s="185"/>
      <c r="K967" s="185"/>
      <c r="L967"/>
      <c r="M967"/>
      <c r="N967"/>
      <c r="O967"/>
      <c r="P967"/>
      <c r="Q967"/>
    </row>
    <row r="968" spans="9:17" s="1" customFormat="1">
      <c r="I968" s="185"/>
      <c r="J968" s="185"/>
      <c r="K968" s="185"/>
      <c r="L968"/>
      <c r="M968"/>
      <c r="N968"/>
      <c r="O968"/>
      <c r="P968"/>
      <c r="Q968"/>
    </row>
    <row r="969" spans="9:17" s="1" customFormat="1">
      <c r="I969" s="185"/>
      <c r="J969" s="185"/>
      <c r="K969" s="185"/>
      <c r="L969"/>
      <c r="M969"/>
      <c r="N969"/>
      <c r="O969"/>
      <c r="P969"/>
      <c r="Q969"/>
    </row>
    <row r="970" spans="9:17" s="1" customFormat="1">
      <c r="I970" s="185"/>
      <c r="J970" s="185"/>
      <c r="K970" s="185"/>
      <c r="L970"/>
      <c r="M970"/>
      <c r="N970"/>
      <c r="O970"/>
      <c r="P970"/>
      <c r="Q970"/>
    </row>
    <row r="971" spans="9:17" s="1" customFormat="1">
      <c r="I971" s="185"/>
      <c r="J971" s="185"/>
      <c r="K971" s="185"/>
      <c r="L971"/>
      <c r="M971"/>
      <c r="N971"/>
      <c r="O971"/>
      <c r="P971"/>
      <c r="Q971"/>
    </row>
    <row r="972" spans="9:17" s="1" customFormat="1">
      <c r="I972" s="185"/>
      <c r="J972" s="185"/>
      <c r="K972" s="185"/>
      <c r="L972"/>
      <c r="M972"/>
      <c r="N972"/>
      <c r="O972"/>
      <c r="P972"/>
      <c r="Q972"/>
    </row>
    <row r="973" spans="9:17" s="1" customFormat="1">
      <c r="I973" s="185"/>
      <c r="J973" s="185"/>
      <c r="K973" s="185"/>
      <c r="L973"/>
      <c r="M973"/>
      <c r="N973"/>
      <c r="O973"/>
      <c r="P973"/>
      <c r="Q973"/>
    </row>
    <row r="974" spans="9:17" s="1" customFormat="1">
      <c r="I974" s="185"/>
      <c r="J974" s="185"/>
      <c r="K974" s="185"/>
      <c r="L974"/>
      <c r="M974"/>
      <c r="N974"/>
      <c r="O974"/>
      <c r="P974"/>
      <c r="Q974"/>
    </row>
    <row r="975" spans="9:17" s="1" customFormat="1">
      <c r="I975" s="185"/>
      <c r="J975" s="185"/>
      <c r="K975" s="185"/>
      <c r="L975"/>
      <c r="M975"/>
      <c r="N975"/>
      <c r="O975"/>
      <c r="P975"/>
      <c r="Q975"/>
    </row>
    <row r="976" spans="9:17" s="1" customFormat="1">
      <c r="I976" s="185"/>
      <c r="J976" s="185"/>
      <c r="K976" s="185"/>
      <c r="L976"/>
      <c r="M976"/>
      <c r="N976"/>
      <c r="O976"/>
      <c r="P976"/>
      <c r="Q976"/>
    </row>
    <row r="977" spans="9:17" s="1" customFormat="1">
      <c r="I977" s="185"/>
      <c r="J977" s="185"/>
      <c r="K977" s="185"/>
      <c r="L977"/>
      <c r="M977"/>
      <c r="N977"/>
      <c r="O977"/>
      <c r="P977"/>
      <c r="Q977"/>
    </row>
    <row r="978" spans="9:17" s="1" customFormat="1">
      <c r="I978" s="185"/>
      <c r="J978" s="185"/>
      <c r="K978" s="185"/>
      <c r="L978"/>
      <c r="M978"/>
      <c r="N978"/>
      <c r="O978"/>
      <c r="P978"/>
      <c r="Q978"/>
    </row>
    <row r="979" spans="9:17" s="1" customFormat="1">
      <c r="I979" s="185"/>
      <c r="J979" s="185"/>
      <c r="K979" s="185"/>
      <c r="L979"/>
      <c r="M979"/>
      <c r="N979"/>
      <c r="O979"/>
      <c r="P979"/>
      <c r="Q979"/>
    </row>
    <row r="980" spans="9:17" s="1" customFormat="1">
      <c r="I980" s="185"/>
      <c r="J980" s="185"/>
      <c r="K980" s="185"/>
      <c r="L980"/>
      <c r="M980"/>
      <c r="N980"/>
      <c r="O980"/>
      <c r="P980"/>
      <c r="Q980"/>
    </row>
    <row r="981" spans="9:17" s="1" customFormat="1">
      <c r="I981" s="185"/>
      <c r="J981" s="185"/>
      <c r="K981" s="185"/>
      <c r="L981"/>
      <c r="M981"/>
      <c r="N981"/>
      <c r="O981"/>
      <c r="P981"/>
      <c r="Q981"/>
    </row>
    <row r="982" spans="9:17" s="1" customFormat="1">
      <c r="I982" s="185"/>
      <c r="J982" s="185"/>
      <c r="K982" s="185"/>
      <c r="L982"/>
      <c r="M982"/>
      <c r="N982"/>
      <c r="O982"/>
      <c r="P982"/>
      <c r="Q982"/>
    </row>
    <row r="983" spans="9:17" s="1" customFormat="1">
      <c r="I983" s="185"/>
      <c r="J983" s="185"/>
      <c r="K983" s="185"/>
      <c r="L983"/>
      <c r="M983"/>
      <c r="N983"/>
      <c r="O983"/>
      <c r="P983"/>
      <c r="Q983"/>
    </row>
    <row r="984" spans="9:17" s="1" customFormat="1">
      <c r="I984" s="185"/>
      <c r="J984" s="185"/>
      <c r="K984" s="185"/>
      <c r="L984"/>
      <c r="M984"/>
      <c r="N984"/>
      <c r="O984"/>
      <c r="P984"/>
      <c r="Q984"/>
    </row>
    <row r="985" spans="9:17" s="1" customFormat="1">
      <c r="I985" s="185"/>
      <c r="J985" s="185"/>
      <c r="K985" s="185"/>
      <c r="L985"/>
      <c r="M985"/>
      <c r="N985"/>
      <c r="O985"/>
      <c r="P985"/>
      <c r="Q985"/>
    </row>
    <row r="986" spans="9:17" s="1" customFormat="1">
      <c r="I986" s="185"/>
      <c r="J986" s="185"/>
      <c r="K986" s="185"/>
      <c r="L986"/>
      <c r="M986"/>
      <c r="N986"/>
      <c r="O986"/>
      <c r="P986"/>
      <c r="Q986"/>
    </row>
    <row r="987" spans="9:17" s="1" customFormat="1">
      <c r="I987" s="185"/>
      <c r="J987" s="185"/>
      <c r="K987" s="185"/>
      <c r="L987"/>
      <c r="M987"/>
      <c r="N987"/>
      <c r="O987"/>
      <c r="P987"/>
      <c r="Q987"/>
    </row>
    <row r="988" spans="9:17" s="1" customFormat="1">
      <c r="I988" s="185"/>
      <c r="J988" s="185"/>
      <c r="K988" s="185"/>
      <c r="L988"/>
      <c r="M988"/>
      <c r="N988"/>
      <c r="O988"/>
      <c r="P988"/>
      <c r="Q988"/>
    </row>
    <row r="989" spans="9:17" s="1" customFormat="1">
      <c r="I989" s="185"/>
      <c r="J989" s="185"/>
      <c r="K989" s="185"/>
      <c r="L989"/>
      <c r="M989"/>
      <c r="N989"/>
      <c r="O989"/>
      <c r="P989"/>
      <c r="Q989"/>
    </row>
    <row r="990" spans="9:17" s="1" customFormat="1">
      <c r="I990" s="185"/>
      <c r="J990" s="185"/>
      <c r="K990" s="185"/>
      <c r="L990"/>
      <c r="M990"/>
      <c r="N990"/>
      <c r="O990"/>
      <c r="P990"/>
      <c r="Q990"/>
    </row>
    <row r="991" spans="9:17" s="1" customFormat="1">
      <c r="I991" s="185"/>
      <c r="J991" s="185"/>
      <c r="K991" s="185"/>
      <c r="L991"/>
      <c r="M991"/>
      <c r="N991"/>
      <c r="O991"/>
      <c r="P991"/>
      <c r="Q991"/>
    </row>
    <row r="992" spans="9:17" s="1" customFormat="1">
      <c r="I992" s="185"/>
      <c r="J992" s="185"/>
      <c r="K992" s="185"/>
      <c r="L992"/>
      <c r="M992"/>
      <c r="N992"/>
      <c r="O992"/>
      <c r="P992"/>
      <c r="Q992"/>
    </row>
    <row r="993" spans="9:17" s="1" customFormat="1">
      <c r="I993" s="185"/>
      <c r="J993" s="185"/>
      <c r="K993" s="185"/>
      <c r="L993"/>
      <c r="M993"/>
      <c r="N993"/>
      <c r="O993"/>
      <c r="P993"/>
      <c r="Q993"/>
    </row>
    <row r="994" spans="9:17" s="1" customFormat="1">
      <c r="I994" s="185"/>
      <c r="J994" s="185"/>
      <c r="K994" s="185"/>
      <c r="L994"/>
      <c r="M994"/>
      <c r="N994"/>
      <c r="O994"/>
      <c r="P994"/>
      <c r="Q994"/>
    </row>
    <row r="995" spans="9:17" s="1" customFormat="1">
      <c r="I995" s="185"/>
      <c r="J995" s="185"/>
      <c r="K995" s="185"/>
      <c r="L995"/>
      <c r="M995"/>
      <c r="N995"/>
      <c r="O995"/>
      <c r="P995"/>
      <c r="Q995"/>
    </row>
    <row r="996" spans="9:17" s="1" customFormat="1">
      <c r="I996" s="185"/>
      <c r="J996" s="185"/>
      <c r="K996" s="185"/>
      <c r="L996"/>
      <c r="M996"/>
      <c r="N996"/>
      <c r="O996"/>
      <c r="P996"/>
      <c r="Q996"/>
    </row>
    <row r="997" spans="9:17" s="1" customFormat="1">
      <c r="I997" s="185"/>
      <c r="J997" s="185"/>
      <c r="K997" s="185"/>
      <c r="L997"/>
      <c r="M997"/>
      <c r="N997"/>
      <c r="O997"/>
      <c r="P997"/>
      <c r="Q997"/>
    </row>
    <row r="998" spans="9:17" s="1" customFormat="1">
      <c r="I998" s="185"/>
      <c r="J998" s="185"/>
      <c r="K998" s="185"/>
      <c r="L998"/>
      <c r="M998"/>
      <c r="N998"/>
      <c r="O998"/>
      <c r="P998"/>
      <c r="Q998"/>
    </row>
    <row r="999" spans="9:17" s="1" customFormat="1">
      <c r="I999" s="185"/>
      <c r="J999" s="185"/>
      <c r="K999" s="185"/>
      <c r="L999"/>
      <c r="M999"/>
      <c r="N999"/>
      <c r="O999"/>
      <c r="P999"/>
      <c r="Q999"/>
    </row>
    <row r="1000" spans="9:17" s="1" customFormat="1">
      <c r="I1000" s="185"/>
      <c r="J1000" s="185"/>
      <c r="K1000" s="185"/>
      <c r="L1000"/>
      <c r="M1000"/>
      <c r="N1000"/>
      <c r="O1000"/>
      <c r="P1000"/>
      <c r="Q1000"/>
    </row>
    <row r="1001" spans="9:17" s="1" customFormat="1">
      <c r="I1001" s="185"/>
      <c r="J1001" s="185"/>
      <c r="K1001" s="185"/>
      <c r="L1001"/>
      <c r="M1001"/>
      <c r="N1001"/>
      <c r="O1001"/>
      <c r="P1001"/>
      <c r="Q1001"/>
    </row>
    <row r="1002" spans="9:17" s="1" customFormat="1">
      <c r="I1002" s="185"/>
      <c r="J1002" s="185"/>
      <c r="K1002" s="185"/>
      <c r="L1002"/>
      <c r="M1002"/>
      <c r="N1002"/>
      <c r="O1002"/>
      <c r="P1002"/>
      <c r="Q1002"/>
    </row>
    <row r="1003" spans="9:17" s="1" customFormat="1">
      <c r="I1003" s="185"/>
      <c r="J1003" s="185"/>
      <c r="K1003" s="185"/>
      <c r="L1003"/>
      <c r="M1003"/>
      <c r="N1003"/>
      <c r="O1003"/>
      <c r="P1003"/>
      <c r="Q1003"/>
    </row>
    <row r="1004" spans="9:17" s="1" customFormat="1">
      <c r="I1004" s="185"/>
      <c r="J1004" s="185"/>
      <c r="K1004" s="185"/>
      <c r="L1004"/>
      <c r="M1004"/>
      <c r="N1004"/>
      <c r="O1004"/>
      <c r="P1004"/>
      <c r="Q1004"/>
    </row>
    <row r="1005" spans="9:17" s="1" customFormat="1">
      <c r="I1005" s="185"/>
      <c r="J1005" s="185"/>
      <c r="K1005" s="185"/>
      <c r="L1005"/>
      <c r="M1005"/>
      <c r="N1005"/>
      <c r="O1005"/>
      <c r="P1005"/>
      <c r="Q1005"/>
    </row>
    <row r="1006" spans="9:17" s="1" customFormat="1">
      <c r="I1006" s="185"/>
      <c r="J1006" s="185"/>
      <c r="K1006" s="185"/>
      <c r="L1006"/>
      <c r="M1006"/>
      <c r="N1006"/>
      <c r="O1006"/>
      <c r="P1006"/>
      <c r="Q1006"/>
    </row>
    <row r="1007" spans="9:17" s="1" customFormat="1">
      <c r="I1007" s="185"/>
      <c r="J1007" s="185"/>
      <c r="K1007" s="185"/>
      <c r="L1007"/>
      <c r="M1007"/>
      <c r="N1007"/>
      <c r="O1007"/>
      <c r="P1007"/>
      <c r="Q1007"/>
    </row>
    <row r="1008" spans="9:17" s="1" customFormat="1">
      <c r="I1008" s="185"/>
      <c r="J1008" s="185"/>
      <c r="K1008" s="185"/>
      <c r="L1008"/>
      <c r="M1008"/>
      <c r="N1008"/>
      <c r="O1008"/>
      <c r="P1008"/>
      <c r="Q1008"/>
    </row>
    <row r="1009" spans="9:17" s="1" customFormat="1">
      <c r="I1009" s="185"/>
      <c r="J1009" s="185"/>
      <c r="K1009" s="185"/>
      <c r="L1009"/>
      <c r="M1009"/>
      <c r="N1009"/>
      <c r="O1009"/>
      <c r="P1009"/>
      <c r="Q1009"/>
    </row>
    <row r="1010" spans="9:17" s="1" customFormat="1">
      <c r="I1010" s="185"/>
      <c r="J1010" s="185"/>
      <c r="K1010" s="185"/>
      <c r="L1010"/>
      <c r="M1010"/>
      <c r="N1010"/>
      <c r="O1010"/>
      <c r="P1010"/>
      <c r="Q1010"/>
    </row>
    <row r="1011" spans="9:17" s="1" customFormat="1">
      <c r="I1011" s="185"/>
      <c r="J1011" s="185"/>
      <c r="K1011" s="185"/>
      <c r="L1011"/>
      <c r="M1011"/>
      <c r="N1011"/>
      <c r="O1011"/>
      <c r="P1011"/>
      <c r="Q1011"/>
    </row>
    <row r="1012" spans="9:17" s="1" customFormat="1">
      <c r="I1012" s="185"/>
      <c r="J1012" s="185"/>
      <c r="K1012" s="185"/>
      <c r="L1012"/>
      <c r="M1012"/>
      <c r="N1012"/>
      <c r="O1012"/>
      <c r="P1012"/>
      <c r="Q1012"/>
    </row>
    <row r="1013" spans="9:17" s="1" customFormat="1">
      <c r="I1013" s="185"/>
      <c r="J1013" s="185"/>
      <c r="K1013" s="185"/>
      <c r="L1013"/>
      <c r="M1013"/>
      <c r="N1013"/>
      <c r="O1013"/>
      <c r="P1013"/>
      <c r="Q1013"/>
    </row>
    <row r="1014" spans="9:17" s="1" customFormat="1">
      <c r="I1014" s="185"/>
      <c r="J1014" s="185"/>
      <c r="K1014" s="185"/>
      <c r="L1014"/>
      <c r="M1014"/>
      <c r="N1014"/>
      <c r="O1014"/>
      <c r="P1014"/>
      <c r="Q1014"/>
    </row>
    <row r="1015" spans="9:17" s="1" customFormat="1">
      <c r="I1015" s="185"/>
      <c r="J1015" s="185"/>
      <c r="K1015" s="185"/>
      <c r="L1015"/>
      <c r="M1015"/>
      <c r="N1015"/>
      <c r="O1015"/>
      <c r="P1015"/>
      <c r="Q1015"/>
    </row>
    <row r="1016" spans="9:17" s="1" customFormat="1">
      <c r="I1016" s="185"/>
      <c r="J1016" s="185"/>
      <c r="K1016" s="185"/>
      <c r="L1016"/>
      <c r="M1016"/>
      <c r="N1016"/>
      <c r="O1016"/>
      <c r="P1016"/>
      <c r="Q1016"/>
    </row>
    <row r="1017" spans="9:17" s="1" customFormat="1">
      <c r="I1017" s="185"/>
      <c r="J1017" s="185"/>
      <c r="K1017" s="185"/>
      <c r="L1017"/>
      <c r="M1017"/>
      <c r="N1017"/>
      <c r="O1017"/>
      <c r="P1017"/>
      <c r="Q1017"/>
    </row>
    <row r="1018" spans="9:17" s="1" customFormat="1">
      <c r="I1018" s="185"/>
      <c r="J1018" s="185"/>
      <c r="K1018" s="185"/>
      <c r="L1018"/>
      <c r="M1018"/>
      <c r="N1018"/>
      <c r="O1018"/>
      <c r="P1018"/>
      <c r="Q1018"/>
    </row>
    <row r="1019" spans="9:17" s="1" customFormat="1">
      <c r="I1019" s="185"/>
      <c r="J1019" s="185"/>
      <c r="K1019" s="185"/>
      <c r="L1019"/>
      <c r="M1019"/>
      <c r="N1019"/>
      <c r="O1019"/>
      <c r="P1019"/>
      <c r="Q1019"/>
    </row>
    <row r="1020" spans="9:17" s="1" customFormat="1">
      <c r="I1020" s="185"/>
      <c r="J1020" s="185"/>
      <c r="K1020" s="185"/>
      <c r="L1020"/>
      <c r="M1020"/>
      <c r="N1020"/>
      <c r="O1020"/>
      <c r="P1020"/>
      <c r="Q1020"/>
    </row>
    <row r="1021" spans="9:17" s="1" customFormat="1">
      <c r="I1021" s="185"/>
      <c r="J1021" s="185"/>
      <c r="K1021" s="185"/>
      <c r="L1021"/>
      <c r="M1021"/>
      <c r="N1021"/>
      <c r="O1021"/>
      <c r="P1021"/>
      <c r="Q1021"/>
    </row>
    <row r="1022" spans="9:17" s="1" customFormat="1">
      <c r="I1022" s="185"/>
      <c r="J1022" s="185"/>
      <c r="K1022" s="185"/>
      <c r="L1022"/>
      <c r="M1022"/>
      <c r="N1022"/>
      <c r="O1022"/>
      <c r="P1022"/>
      <c r="Q1022"/>
    </row>
    <row r="1023" spans="9:17" s="1" customFormat="1">
      <c r="I1023" s="185"/>
      <c r="J1023" s="185"/>
      <c r="K1023" s="185"/>
      <c r="L1023"/>
      <c r="M1023"/>
      <c r="N1023"/>
      <c r="O1023"/>
      <c r="P1023"/>
      <c r="Q1023"/>
    </row>
    <row r="1024" spans="9:17" s="1" customFormat="1">
      <c r="I1024" s="185"/>
      <c r="J1024" s="185"/>
      <c r="K1024" s="185"/>
      <c r="L1024"/>
      <c r="M1024"/>
      <c r="N1024"/>
      <c r="O1024"/>
      <c r="P1024"/>
      <c r="Q1024"/>
    </row>
    <row r="1025" spans="9:17" s="1" customFormat="1">
      <c r="I1025" s="185"/>
      <c r="J1025" s="185"/>
      <c r="K1025" s="185"/>
      <c r="L1025"/>
      <c r="M1025"/>
      <c r="N1025"/>
      <c r="O1025"/>
      <c r="P1025"/>
      <c r="Q1025"/>
    </row>
    <row r="1026" spans="9:17" s="1" customFormat="1">
      <c r="I1026" s="185"/>
      <c r="J1026" s="185"/>
      <c r="K1026" s="185"/>
      <c r="L1026"/>
      <c r="M1026"/>
      <c r="N1026"/>
      <c r="O1026"/>
      <c r="P1026"/>
      <c r="Q1026"/>
    </row>
    <row r="1027" spans="9:17" s="1" customFormat="1">
      <c r="I1027" s="185"/>
      <c r="J1027" s="185"/>
      <c r="K1027" s="185"/>
      <c r="L1027"/>
      <c r="M1027"/>
      <c r="N1027"/>
      <c r="O1027"/>
      <c r="P1027"/>
      <c r="Q1027"/>
    </row>
    <row r="1028" spans="9:17" s="1" customFormat="1">
      <c r="I1028" s="185"/>
      <c r="J1028" s="185"/>
      <c r="K1028" s="185"/>
      <c r="L1028"/>
      <c r="M1028"/>
      <c r="N1028"/>
      <c r="O1028"/>
      <c r="P1028"/>
      <c r="Q1028"/>
    </row>
    <row r="1029" spans="9:17" s="1" customFormat="1">
      <c r="I1029" s="185"/>
      <c r="J1029" s="185"/>
      <c r="K1029" s="185"/>
      <c r="L1029"/>
      <c r="M1029"/>
      <c r="N1029"/>
      <c r="O1029"/>
      <c r="P1029"/>
      <c r="Q1029"/>
    </row>
    <row r="1030" spans="9:17" s="1" customFormat="1">
      <c r="I1030" s="185"/>
      <c r="J1030" s="185"/>
      <c r="K1030" s="185"/>
      <c r="L1030"/>
      <c r="M1030"/>
      <c r="N1030"/>
      <c r="O1030"/>
      <c r="P1030"/>
      <c r="Q1030"/>
    </row>
    <row r="1031" spans="9:17" s="1" customFormat="1">
      <c r="I1031" s="185"/>
      <c r="J1031" s="185"/>
      <c r="K1031" s="185"/>
      <c r="L1031"/>
      <c r="M1031"/>
      <c r="N1031"/>
      <c r="O1031"/>
      <c r="P1031"/>
      <c r="Q1031"/>
    </row>
    <row r="1032" spans="9:17" s="1" customFormat="1">
      <c r="I1032" s="185"/>
      <c r="J1032" s="185"/>
      <c r="K1032" s="185"/>
      <c r="L1032"/>
      <c r="M1032"/>
      <c r="N1032"/>
      <c r="O1032"/>
      <c r="P1032"/>
      <c r="Q1032"/>
    </row>
    <row r="1033" spans="9:17" s="1" customFormat="1">
      <c r="I1033" s="185"/>
      <c r="J1033" s="185"/>
      <c r="K1033" s="185"/>
      <c r="L1033"/>
      <c r="M1033"/>
      <c r="N1033"/>
      <c r="O1033"/>
      <c r="P1033"/>
      <c r="Q1033"/>
    </row>
    <row r="1034" spans="9:17" s="1" customFormat="1">
      <c r="I1034" s="185"/>
      <c r="J1034" s="185"/>
      <c r="K1034" s="185"/>
      <c r="L1034"/>
      <c r="M1034"/>
      <c r="N1034"/>
      <c r="O1034"/>
      <c r="P1034"/>
      <c r="Q1034"/>
    </row>
    <row r="1035" spans="9:17" s="1" customFormat="1">
      <c r="I1035" s="185"/>
      <c r="J1035" s="185"/>
      <c r="K1035" s="185"/>
      <c r="L1035"/>
      <c r="M1035"/>
      <c r="N1035"/>
      <c r="O1035"/>
      <c r="P1035"/>
      <c r="Q1035"/>
    </row>
    <row r="1036" spans="9:17" s="1" customFormat="1">
      <c r="I1036" s="185"/>
      <c r="J1036" s="185"/>
      <c r="K1036" s="185"/>
      <c r="L1036"/>
      <c r="M1036"/>
      <c r="N1036"/>
      <c r="O1036"/>
      <c r="P1036"/>
      <c r="Q1036"/>
    </row>
    <row r="1037" spans="9:17" s="1" customFormat="1">
      <c r="I1037" s="185"/>
      <c r="J1037" s="185"/>
      <c r="K1037" s="185"/>
      <c r="L1037"/>
      <c r="M1037"/>
      <c r="N1037"/>
      <c r="O1037"/>
      <c r="P1037"/>
      <c r="Q1037"/>
    </row>
    <row r="1038" spans="9:17" s="1" customFormat="1">
      <c r="I1038" s="185"/>
      <c r="J1038" s="185"/>
      <c r="K1038" s="185"/>
      <c r="L1038"/>
      <c r="M1038"/>
      <c r="N1038"/>
      <c r="O1038"/>
      <c r="P1038"/>
      <c r="Q1038"/>
    </row>
    <row r="1039" spans="9:17" s="1" customFormat="1">
      <c r="I1039" s="185"/>
      <c r="J1039" s="185"/>
      <c r="K1039" s="185"/>
      <c r="L1039"/>
      <c r="M1039"/>
      <c r="N1039"/>
      <c r="O1039"/>
      <c r="P1039"/>
      <c r="Q1039"/>
    </row>
    <row r="1040" spans="9:17" s="1" customFormat="1">
      <c r="I1040" s="185"/>
      <c r="J1040" s="185"/>
      <c r="K1040" s="185"/>
      <c r="L1040"/>
      <c r="M1040"/>
      <c r="N1040"/>
      <c r="O1040"/>
      <c r="P1040"/>
      <c r="Q1040"/>
    </row>
    <row r="1041" spans="9:17" s="1" customFormat="1">
      <c r="I1041" s="185"/>
      <c r="J1041" s="185"/>
      <c r="K1041" s="185"/>
      <c r="L1041"/>
      <c r="M1041"/>
      <c r="N1041"/>
      <c r="O1041"/>
      <c r="P1041"/>
      <c r="Q1041"/>
    </row>
    <row r="1042" spans="9:17" s="1" customFormat="1">
      <c r="I1042" s="185"/>
      <c r="J1042" s="185"/>
      <c r="K1042" s="185"/>
      <c r="L1042"/>
      <c r="M1042"/>
      <c r="N1042"/>
      <c r="O1042"/>
      <c r="P1042"/>
      <c r="Q1042"/>
    </row>
    <row r="1043" spans="9:17" s="1" customFormat="1">
      <c r="I1043" s="185"/>
      <c r="J1043" s="185"/>
      <c r="K1043" s="185"/>
      <c r="L1043"/>
      <c r="M1043"/>
      <c r="N1043"/>
      <c r="O1043"/>
      <c r="P1043"/>
      <c r="Q1043"/>
    </row>
    <row r="1044" spans="9:17" s="1" customFormat="1">
      <c r="I1044" s="185"/>
      <c r="J1044" s="185"/>
      <c r="K1044" s="185"/>
      <c r="L1044"/>
      <c r="M1044"/>
      <c r="N1044"/>
      <c r="O1044"/>
      <c r="P1044"/>
      <c r="Q1044"/>
    </row>
    <row r="1045" spans="9:17" s="1" customFormat="1">
      <c r="I1045" s="185"/>
      <c r="J1045" s="185"/>
      <c r="K1045" s="185"/>
      <c r="L1045"/>
      <c r="M1045"/>
      <c r="N1045"/>
      <c r="O1045"/>
      <c r="P1045"/>
      <c r="Q1045"/>
    </row>
    <row r="1046" spans="9:17" s="1" customFormat="1">
      <c r="I1046" s="185"/>
      <c r="J1046" s="185"/>
      <c r="K1046" s="185"/>
      <c r="L1046"/>
      <c r="M1046"/>
      <c r="N1046"/>
      <c r="O1046"/>
      <c r="P1046"/>
      <c r="Q1046"/>
    </row>
    <row r="1047" spans="9:17" s="1" customFormat="1">
      <c r="I1047" s="185"/>
      <c r="J1047" s="185"/>
      <c r="K1047" s="185"/>
      <c r="L1047"/>
      <c r="M1047"/>
      <c r="N1047"/>
      <c r="O1047"/>
      <c r="P1047"/>
      <c r="Q1047"/>
    </row>
    <row r="1048" spans="9:17" s="1" customFormat="1">
      <c r="I1048" s="185"/>
      <c r="J1048" s="185"/>
      <c r="K1048" s="185"/>
      <c r="L1048"/>
      <c r="M1048"/>
      <c r="N1048"/>
      <c r="O1048"/>
      <c r="P1048"/>
      <c r="Q1048"/>
    </row>
    <row r="1049" spans="9:17" s="1" customFormat="1">
      <c r="I1049" s="185"/>
      <c r="J1049" s="185"/>
      <c r="K1049" s="185"/>
      <c r="L1049"/>
      <c r="M1049"/>
      <c r="N1049"/>
      <c r="O1049"/>
      <c r="P1049"/>
      <c r="Q1049"/>
    </row>
    <row r="1050" spans="9:17" s="1" customFormat="1">
      <c r="I1050" s="185"/>
      <c r="J1050" s="185"/>
      <c r="K1050" s="185"/>
      <c r="L1050"/>
      <c r="M1050"/>
      <c r="N1050"/>
      <c r="O1050"/>
      <c r="P1050"/>
      <c r="Q1050"/>
    </row>
    <row r="1051" spans="9:17" s="1" customFormat="1">
      <c r="I1051" s="185"/>
      <c r="J1051" s="185"/>
      <c r="K1051" s="185"/>
      <c r="L1051"/>
      <c r="M1051"/>
      <c r="N1051"/>
      <c r="O1051"/>
      <c r="P1051"/>
      <c r="Q1051"/>
    </row>
    <row r="1052" spans="9:17" s="1" customFormat="1">
      <c r="I1052" s="185"/>
      <c r="J1052" s="185"/>
      <c r="K1052" s="185"/>
      <c r="L1052"/>
      <c r="M1052"/>
      <c r="N1052"/>
      <c r="O1052"/>
      <c r="P1052"/>
      <c r="Q1052"/>
    </row>
    <row r="1053" spans="9:17" s="1" customFormat="1">
      <c r="I1053" s="185"/>
      <c r="J1053" s="185"/>
      <c r="K1053" s="185"/>
      <c r="L1053"/>
      <c r="M1053"/>
      <c r="N1053"/>
      <c r="O1053"/>
      <c r="P1053"/>
      <c r="Q1053"/>
    </row>
    <row r="1054" spans="9:17" s="1" customFormat="1">
      <c r="I1054" s="185"/>
      <c r="J1054" s="185"/>
      <c r="K1054" s="185"/>
      <c r="L1054"/>
      <c r="M1054"/>
      <c r="N1054"/>
      <c r="O1054"/>
      <c r="P1054"/>
      <c r="Q1054"/>
    </row>
    <row r="1055" spans="9:17" s="1" customFormat="1">
      <c r="I1055" s="185"/>
      <c r="J1055" s="185"/>
      <c r="K1055" s="185"/>
      <c r="L1055"/>
      <c r="M1055"/>
      <c r="N1055"/>
      <c r="O1055"/>
      <c r="P1055"/>
      <c r="Q1055"/>
    </row>
    <row r="1056" spans="9:17" s="1" customFormat="1">
      <c r="I1056" s="185"/>
      <c r="J1056" s="185"/>
      <c r="K1056" s="185"/>
      <c r="L1056"/>
      <c r="M1056"/>
      <c r="N1056"/>
      <c r="O1056"/>
      <c r="P1056"/>
      <c r="Q1056"/>
    </row>
    <row r="1057" spans="9:17" s="1" customFormat="1">
      <c r="I1057" s="185"/>
      <c r="J1057" s="185"/>
      <c r="K1057" s="185"/>
      <c r="L1057"/>
      <c r="M1057"/>
      <c r="N1057"/>
      <c r="O1057"/>
      <c r="P1057"/>
      <c r="Q1057"/>
    </row>
    <row r="1058" spans="9:17" s="1" customFormat="1">
      <c r="I1058" s="185"/>
      <c r="J1058" s="185"/>
      <c r="K1058" s="185"/>
      <c r="L1058"/>
      <c r="M1058"/>
      <c r="N1058"/>
      <c r="O1058"/>
      <c r="P1058"/>
      <c r="Q1058"/>
    </row>
    <row r="1059" spans="9:17" s="1" customFormat="1">
      <c r="I1059" s="185"/>
      <c r="J1059" s="185"/>
      <c r="K1059" s="185"/>
      <c r="L1059"/>
      <c r="M1059"/>
      <c r="N1059"/>
      <c r="O1059"/>
      <c r="P1059"/>
      <c r="Q1059"/>
    </row>
    <row r="1060" spans="9:17" s="1" customFormat="1">
      <c r="I1060" s="185"/>
      <c r="J1060" s="185"/>
      <c r="K1060" s="185"/>
      <c r="L1060"/>
      <c r="M1060"/>
      <c r="N1060"/>
      <c r="O1060"/>
      <c r="P1060"/>
      <c r="Q1060"/>
    </row>
    <row r="1061" spans="9:17" s="1" customFormat="1">
      <c r="I1061" s="185"/>
      <c r="J1061" s="185"/>
      <c r="K1061" s="185"/>
      <c r="L1061"/>
      <c r="M1061"/>
      <c r="N1061"/>
      <c r="O1061"/>
      <c r="P1061"/>
      <c r="Q1061"/>
    </row>
    <row r="1062" spans="9:17" s="1" customFormat="1">
      <c r="I1062" s="185"/>
      <c r="J1062" s="185"/>
      <c r="K1062" s="185"/>
      <c r="L1062"/>
      <c r="M1062"/>
      <c r="N1062"/>
      <c r="O1062"/>
      <c r="P1062"/>
      <c r="Q1062"/>
    </row>
    <row r="1063" spans="9:17" s="1" customFormat="1">
      <c r="I1063" s="185"/>
      <c r="J1063" s="185"/>
      <c r="K1063" s="185"/>
      <c r="L1063"/>
      <c r="M1063"/>
      <c r="N1063"/>
      <c r="O1063"/>
      <c r="P1063"/>
      <c r="Q1063"/>
    </row>
    <row r="1064" spans="9:17" s="1" customFormat="1">
      <c r="I1064" s="185"/>
      <c r="J1064" s="185"/>
      <c r="K1064" s="185"/>
      <c r="L1064"/>
      <c r="M1064"/>
      <c r="N1064"/>
      <c r="O1064"/>
      <c r="P1064"/>
      <c r="Q1064"/>
    </row>
    <row r="1065" spans="9:17" s="1" customFormat="1">
      <c r="I1065" s="185"/>
      <c r="J1065" s="185"/>
      <c r="K1065" s="185"/>
      <c r="L1065"/>
      <c r="M1065"/>
      <c r="N1065"/>
      <c r="O1065"/>
      <c r="P1065"/>
      <c r="Q1065"/>
    </row>
    <row r="1066" spans="9:17" s="1" customFormat="1">
      <c r="I1066" s="185"/>
      <c r="J1066" s="185"/>
      <c r="K1066" s="185"/>
      <c r="L1066"/>
      <c r="M1066"/>
      <c r="N1066"/>
      <c r="O1066"/>
      <c r="P1066"/>
      <c r="Q1066"/>
    </row>
    <row r="1067" spans="9:17" s="1" customFormat="1">
      <c r="I1067" s="185"/>
      <c r="J1067" s="185"/>
      <c r="K1067" s="185"/>
      <c r="L1067"/>
      <c r="M1067"/>
      <c r="N1067"/>
      <c r="O1067"/>
      <c r="P1067"/>
      <c r="Q1067"/>
    </row>
    <row r="1068" spans="9:17" s="1" customFormat="1">
      <c r="I1068" s="185"/>
      <c r="J1068" s="185"/>
      <c r="K1068" s="185"/>
      <c r="L1068"/>
      <c r="M1068"/>
      <c r="N1068"/>
      <c r="O1068"/>
      <c r="P1068"/>
      <c r="Q1068"/>
    </row>
    <row r="1069" spans="9:17" s="1" customFormat="1">
      <c r="I1069" s="185"/>
      <c r="J1069" s="185"/>
      <c r="K1069" s="185"/>
      <c r="L1069"/>
      <c r="M1069"/>
      <c r="N1069"/>
      <c r="O1069"/>
      <c r="P1069"/>
      <c r="Q1069"/>
    </row>
    <row r="1070" spans="9:17" s="1" customFormat="1">
      <c r="I1070" s="185"/>
      <c r="J1070" s="185"/>
      <c r="K1070" s="185"/>
      <c r="L1070"/>
      <c r="M1070"/>
      <c r="N1070"/>
      <c r="O1070"/>
      <c r="P1070"/>
      <c r="Q1070"/>
    </row>
    <row r="1071" spans="9:17" s="1" customFormat="1">
      <c r="I1071" s="185"/>
      <c r="J1071" s="185"/>
      <c r="K1071" s="185"/>
      <c r="L1071"/>
      <c r="M1071"/>
      <c r="N1071"/>
      <c r="O1071"/>
      <c r="P1071"/>
      <c r="Q1071"/>
    </row>
    <row r="1072" spans="9:17" s="1" customFormat="1">
      <c r="I1072" s="185"/>
      <c r="J1072" s="185"/>
      <c r="K1072" s="185"/>
      <c r="L1072"/>
      <c r="M1072"/>
      <c r="N1072"/>
      <c r="O1072"/>
      <c r="P1072"/>
      <c r="Q1072"/>
    </row>
    <row r="1073" spans="9:17" s="1" customFormat="1">
      <c r="I1073" s="185"/>
      <c r="J1073" s="185"/>
      <c r="K1073" s="185"/>
      <c r="L1073"/>
      <c r="M1073"/>
      <c r="N1073"/>
      <c r="O1073"/>
      <c r="P1073"/>
      <c r="Q1073"/>
    </row>
    <row r="1074" spans="9:17" s="1" customFormat="1">
      <c r="I1074" s="185"/>
      <c r="J1074" s="185"/>
      <c r="K1074" s="185"/>
      <c r="L1074"/>
      <c r="M1074"/>
      <c r="N1074"/>
      <c r="O1074"/>
      <c r="P1074"/>
      <c r="Q1074"/>
    </row>
    <row r="1075" spans="9:17" s="1" customFormat="1">
      <c r="I1075" s="185"/>
      <c r="J1075" s="185"/>
      <c r="K1075" s="185"/>
      <c r="L1075"/>
      <c r="M1075"/>
      <c r="N1075"/>
      <c r="O1075"/>
      <c r="P1075"/>
      <c r="Q1075"/>
    </row>
    <row r="1076" spans="9:17" s="1" customFormat="1">
      <c r="I1076" s="185"/>
      <c r="J1076" s="185"/>
      <c r="K1076" s="185"/>
      <c r="L1076"/>
      <c r="M1076"/>
      <c r="N1076"/>
      <c r="O1076"/>
      <c r="P1076"/>
      <c r="Q1076"/>
    </row>
    <row r="1077" spans="9:17" s="1" customFormat="1">
      <c r="I1077" s="185"/>
      <c r="J1077" s="185"/>
      <c r="K1077" s="185"/>
      <c r="L1077"/>
      <c r="M1077"/>
      <c r="N1077"/>
      <c r="O1077"/>
      <c r="P1077"/>
      <c r="Q1077"/>
    </row>
    <row r="1078" spans="9:17" s="1" customFormat="1">
      <c r="I1078" s="185"/>
      <c r="J1078" s="185"/>
      <c r="K1078" s="185"/>
      <c r="L1078"/>
      <c r="M1078"/>
      <c r="N1078"/>
      <c r="O1078"/>
      <c r="P1078"/>
      <c r="Q1078"/>
    </row>
    <row r="1079" spans="9:17" s="1" customFormat="1">
      <c r="I1079" s="185"/>
      <c r="J1079" s="185"/>
      <c r="K1079" s="185"/>
      <c r="L1079"/>
      <c r="M1079"/>
      <c r="N1079"/>
      <c r="O1079"/>
      <c r="P1079"/>
      <c r="Q1079"/>
    </row>
    <row r="1080" spans="9:17" s="1" customFormat="1">
      <c r="I1080" s="185"/>
      <c r="J1080" s="185"/>
      <c r="K1080" s="185"/>
      <c r="L1080"/>
      <c r="M1080"/>
      <c r="N1080"/>
      <c r="O1080"/>
      <c r="P1080"/>
      <c r="Q1080"/>
    </row>
    <row r="1081" spans="9:17" s="1" customFormat="1">
      <c r="I1081" s="185"/>
      <c r="J1081" s="185"/>
      <c r="K1081" s="185"/>
      <c r="L1081"/>
      <c r="M1081"/>
      <c r="N1081"/>
      <c r="O1081"/>
      <c r="P1081"/>
      <c r="Q1081"/>
    </row>
    <row r="1082" spans="9:17" s="1" customFormat="1">
      <c r="I1082" s="185"/>
      <c r="J1082" s="185"/>
      <c r="K1082" s="185"/>
      <c r="L1082"/>
      <c r="M1082"/>
      <c r="N1082"/>
      <c r="O1082"/>
      <c r="P1082"/>
      <c r="Q1082"/>
    </row>
    <row r="1083" spans="9:17" s="1" customFormat="1">
      <c r="I1083" s="185"/>
      <c r="J1083" s="185"/>
      <c r="K1083" s="185"/>
      <c r="L1083"/>
      <c r="M1083"/>
      <c r="N1083"/>
      <c r="O1083"/>
      <c r="P1083"/>
      <c r="Q1083"/>
    </row>
    <row r="1084" spans="9:17" s="1" customFormat="1">
      <c r="I1084" s="185"/>
      <c r="J1084" s="185"/>
      <c r="K1084" s="185"/>
      <c r="L1084"/>
      <c r="M1084"/>
      <c r="N1084"/>
      <c r="O1084"/>
      <c r="P1084"/>
      <c r="Q1084"/>
    </row>
    <row r="1085" spans="9:17" s="1" customFormat="1">
      <c r="I1085" s="185"/>
      <c r="J1085" s="185"/>
      <c r="K1085" s="185"/>
      <c r="L1085"/>
      <c r="M1085"/>
      <c r="N1085"/>
      <c r="O1085"/>
      <c r="P1085"/>
      <c r="Q1085"/>
    </row>
    <row r="1086" spans="9:17" s="1" customFormat="1">
      <c r="I1086" s="185"/>
      <c r="J1086" s="185"/>
      <c r="K1086" s="185"/>
      <c r="L1086"/>
      <c r="M1086"/>
      <c r="N1086"/>
      <c r="O1086"/>
      <c r="P1086"/>
      <c r="Q1086"/>
    </row>
    <row r="1087" spans="9:17" s="1" customFormat="1">
      <c r="I1087" s="185"/>
      <c r="J1087" s="185"/>
      <c r="K1087" s="185"/>
      <c r="L1087"/>
      <c r="M1087"/>
      <c r="N1087"/>
      <c r="O1087"/>
      <c r="P1087"/>
      <c r="Q1087"/>
    </row>
    <row r="1088" spans="9:17" s="1" customFormat="1">
      <c r="I1088" s="185"/>
      <c r="J1088" s="185"/>
      <c r="K1088" s="185"/>
      <c r="L1088"/>
      <c r="M1088"/>
      <c r="N1088"/>
      <c r="O1088"/>
      <c r="P1088"/>
      <c r="Q1088"/>
    </row>
    <row r="1089" spans="9:17" s="1" customFormat="1">
      <c r="I1089" s="185"/>
      <c r="J1089" s="185"/>
      <c r="K1089" s="185"/>
      <c r="L1089"/>
      <c r="M1089"/>
      <c r="N1089"/>
      <c r="O1089"/>
      <c r="P1089"/>
      <c r="Q1089"/>
    </row>
    <row r="1090" spans="9:17" s="1" customFormat="1">
      <c r="I1090" s="185"/>
      <c r="J1090" s="185"/>
      <c r="K1090" s="185"/>
      <c r="L1090"/>
      <c r="M1090"/>
      <c r="N1090"/>
      <c r="O1090"/>
      <c r="P1090"/>
      <c r="Q1090"/>
    </row>
    <row r="1091" spans="9:17" s="1" customFormat="1">
      <c r="I1091" s="185"/>
      <c r="J1091" s="185"/>
      <c r="K1091" s="185"/>
      <c r="L1091"/>
      <c r="M1091"/>
      <c r="N1091"/>
      <c r="O1091"/>
      <c r="P1091"/>
      <c r="Q1091"/>
    </row>
    <row r="1092" spans="9:17" s="1" customFormat="1">
      <c r="I1092" s="185"/>
      <c r="J1092" s="185"/>
      <c r="K1092" s="185"/>
      <c r="L1092"/>
      <c r="M1092"/>
      <c r="N1092"/>
      <c r="O1092"/>
      <c r="P1092"/>
      <c r="Q1092"/>
    </row>
    <row r="1093" spans="9:17" s="1" customFormat="1">
      <c r="I1093" s="185"/>
      <c r="J1093" s="185"/>
      <c r="K1093" s="185"/>
      <c r="L1093"/>
      <c r="M1093"/>
      <c r="N1093"/>
      <c r="O1093"/>
      <c r="P1093"/>
      <c r="Q1093"/>
    </row>
    <row r="1094" spans="9:17" s="1" customFormat="1">
      <c r="I1094" s="185"/>
      <c r="J1094" s="185"/>
      <c r="K1094" s="185"/>
      <c r="L1094"/>
      <c r="M1094"/>
      <c r="N1094"/>
      <c r="O1094"/>
      <c r="P1094"/>
      <c r="Q1094"/>
    </row>
    <row r="1095" spans="9:17" s="1" customFormat="1">
      <c r="I1095" s="185"/>
      <c r="J1095" s="185"/>
      <c r="K1095" s="185"/>
      <c r="L1095"/>
      <c r="M1095"/>
      <c r="N1095"/>
      <c r="O1095"/>
      <c r="P1095"/>
      <c r="Q1095"/>
    </row>
    <row r="1096" spans="9:17" s="1" customFormat="1">
      <c r="I1096" s="185"/>
      <c r="J1096" s="185"/>
      <c r="K1096" s="185"/>
      <c r="L1096"/>
      <c r="M1096"/>
      <c r="N1096"/>
      <c r="O1096"/>
      <c r="P1096"/>
      <c r="Q1096"/>
    </row>
    <row r="1097" spans="9:17" s="1" customFormat="1">
      <c r="I1097" s="185"/>
      <c r="J1097" s="185"/>
      <c r="K1097" s="185"/>
      <c r="L1097"/>
      <c r="M1097"/>
      <c r="N1097"/>
      <c r="O1097"/>
      <c r="P1097"/>
      <c r="Q1097"/>
    </row>
    <row r="1098" spans="9:17" s="1" customFormat="1">
      <c r="I1098" s="185"/>
      <c r="J1098" s="185"/>
      <c r="K1098" s="185"/>
      <c r="L1098"/>
      <c r="M1098"/>
      <c r="N1098"/>
      <c r="O1098"/>
      <c r="P1098"/>
      <c r="Q1098"/>
    </row>
    <row r="1099" spans="9:17" s="1" customFormat="1">
      <c r="I1099" s="185"/>
      <c r="J1099" s="185"/>
      <c r="K1099" s="185"/>
      <c r="L1099"/>
      <c r="M1099"/>
      <c r="N1099"/>
      <c r="O1099"/>
      <c r="P1099"/>
      <c r="Q1099"/>
    </row>
    <row r="1100" spans="9:17" s="1" customFormat="1">
      <c r="I1100" s="185"/>
      <c r="J1100" s="185"/>
      <c r="K1100" s="185"/>
      <c r="L1100"/>
      <c r="M1100"/>
      <c r="N1100"/>
      <c r="O1100"/>
      <c r="P1100"/>
      <c r="Q1100"/>
    </row>
    <row r="1101" spans="9:17" s="1" customFormat="1">
      <c r="I1101" s="185"/>
      <c r="J1101" s="185"/>
      <c r="K1101" s="185"/>
      <c r="L1101"/>
      <c r="M1101"/>
      <c r="N1101"/>
      <c r="O1101"/>
      <c r="P1101"/>
      <c r="Q1101"/>
    </row>
    <row r="1102" spans="9:17" s="1" customFormat="1">
      <c r="I1102" s="185"/>
      <c r="J1102" s="185"/>
      <c r="K1102" s="185"/>
      <c r="L1102"/>
      <c r="M1102"/>
      <c r="N1102"/>
      <c r="O1102"/>
      <c r="P1102"/>
      <c r="Q1102"/>
    </row>
    <row r="1103" spans="9:17" s="1" customFormat="1">
      <c r="I1103" s="185"/>
      <c r="J1103" s="185"/>
      <c r="K1103" s="185"/>
      <c r="L1103"/>
      <c r="M1103"/>
      <c r="N1103"/>
      <c r="O1103"/>
      <c r="P1103"/>
      <c r="Q1103"/>
    </row>
    <row r="1104" spans="9:17" s="1" customFormat="1">
      <c r="I1104" s="185"/>
      <c r="J1104" s="185"/>
      <c r="K1104" s="185"/>
      <c r="L1104"/>
      <c r="M1104"/>
      <c r="N1104"/>
      <c r="O1104"/>
      <c r="P1104"/>
      <c r="Q1104"/>
    </row>
    <row r="1105" spans="9:17" s="1" customFormat="1">
      <c r="I1105" s="185"/>
      <c r="J1105" s="185"/>
      <c r="K1105" s="185"/>
      <c r="L1105"/>
      <c r="M1105"/>
      <c r="N1105"/>
      <c r="O1105"/>
      <c r="P1105"/>
      <c r="Q1105"/>
    </row>
    <row r="1106" spans="9:17" s="1" customFormat="1">
      <c r="I1106" s="185"/>
      <c r="J1106" s="185"/>
      <c r="K1106" s="185"/>
      <c r="L1106"/>
      <c r="M1106"/>
      <c r="N1106"/>
      <c r="O1106"/>
      <c r="P1106"/>
      <c r="Q1106"/>
    </row>
    <row r="1107" spans="9:17" s="1" customFormat="1">
      <c r="I1107" s="185"/>
      <c r="J1107" s="185"/>
      <c r="K1107" s="185"/>
      <c r="L1107"/>
      <c r="M1107"/>
      <c r="N1107"/>
      <c r="O1107"/>
      <c r="P1107"/>
      <c r="Q1107"/>
    </row>
    <row r="1108" spans="9:17" s="1" customFormat="1">
      <c r="I1108" s="185"/>
      <c r="J1108" s="185"/>
      <c r="K1108" s="185"/>
      <c r="L1108"/>
      <c r="M1108"/>
      <c r="N1108"/>
      <c r="O1108"/>
      <c r="P1108"/>
      <c r="Q1108"/>
    </row>
    <row r="1109" spans="9:17" s="1" customFormat="1">
      <c r="I1109" s="185"/>
      <c r="J1109" s="185"/>
      <c r="K1109" s="185"/>
      <c r="L1109"/>
      <c r="M1109"/>
      <c r="N1109"/>
      <c r="O1109"/>
      <c r="P1109"/>
      <c r="Q1109"/>
    </row>
    <row r="1110" spans="9:17" s="1" customFormat="1">
      <c r="I1110" s="185"/>
      <c r="J1110" s="185"/>
      <c r="K1110" s="185"/>
      <c r="L1110"/>
      <c r="M1110"/>
      <c r="N1110"/>
      <c r="O1110"/>
      <c r="P1110"/>
      <c r="Q1110"/>
    </row>
    <row r="1111" spans="9:17" s="1" customFormat="1">
      <c r="I1111" s="185"/>
      <c r="J1111" s="185"/>
      <c r="K1111" s="185"/>
      <c r="L1111"/>
      <c r="M1111"/>
      <c r="N1111"/>
      <c r="O1111"/>
      <c r="P1111"/>
      <c r="Q1111"/>
    </row>
    <row r="1112" spans="9:17" s="1" customFormat="1">
      <c r="I1112" s="185"/>
      <c r="J1112" s="185"/>
      <c r="K1112" s="185"/>
      <c r="L1112"/>
      <c r="M1112"/>
      <c r="N1112"/>
      <c r="O1112"/>
      <c r="P1112"/>
      <c r="Q1112"/>
    </row>
    <row r="1113" spans="9:17" s="1" customFormat="1">
      <c r="I1113" s="185"/>
      <c r="J1113" s="185"/>
      <c r="K1113" s="185"/>
      <c r="L1113"/>
      <c r="M1113"/>
      <c r="N1113"/>
      <c r="O1113"/>
      <c r="P1113"/>
      <c r="Q1113"/>
    </row>
    <row r="1114" spans="9:17" s="1" customFormat="1">
      <c r="I1114" s="185"/>
      <c r="J1114" s="185"/>
      <c r="K1114" s="185"/>
      <c r="L1114"/>
      <c r="M1114"/>
      <c r="N1114"/>
      <c r="O1114"/>
      <c r="P1114"/>
      <c r="Q1114"/>
    </row>
    <row r="1115" spans="9:17" s="1" customFormat="1">
      <c r="I1115" s="185"/>
      <c r="J1115" s="185"/>
      <c r="K1115" s="185"/>
      <c r="L1115"/>
      <c r="M1115"/>
      <c r="N1115"/>
      <c r="O1115"/>
      <c r="P1115"/>
      <c r="Q1115"/>
    </row>
    <row r="1116" spans="9:17" s="1" customFormat="1">
      <c r="I1116" s="185"/>
      <c r="J1116" s="185"/>
      <c r="K1116" s="185"/>
      <c r="L1116"/>
      <c r="M1116"/>
      <c r="N1116"/>
      <c r="O1116"/>
      <c r="P1116"/>
      <c r="Q1116"/>
    </row>
    <row r="1117" spans="9:17" s="1" customFormat="1">
      <c r="I1117" s="185"/>
      <c r="J1117" s="185"/>
      <c r="K1117" s="185"/>
      <c r="L1117"/>
      <c r="M1117"/>
      <c r="N1117"/>
      <c r="O1117"/>
      <c r="P1117"/>
      <c r="Q1117"/>
    </row>
    <row r="1118" spans="9:17" s="1" customFormat="1">
      <c r="I1118" s="185"/>
      <c r="J1118" s="185"/>
      <c r="K1118" s="185"/>
      <c r="L1118"/>
      <c r="M1118"/>
      <c r="N1118"/>
      <c r="O1118"/>
      <c r="P1118"/>
      <c r="Q1118"/>
    </row>
    <row r="1119" spans="9:17" s="1" customFormat="1">
      <c r="I1119" s="185"/>
      <c r="J1119" s="185"/>
      <c r="K1119" s="185"/>
      <c r="L1119"/>
      <c r="M1119"/>
      <c r="N1119"/>
      <c r="O1119"/>
      <c r="P1119"/>
      <c r="Q1119"/>
    </row>
    <row r="1120" spans="9:17" s="1" customFormat="1">
      <c r="I1120" s="185"/>
      <c r="J1120" s="185"/>
      <c r="K1120" s="185"/>
      <c r="L1120"/>
      <c r="M1120"/>
      <c r="N1120"/>
      <c r="O1120"/>
      <c r="P1120"/>
      <c r="Q1120"/>
    </row>
    <row r="1121" spans="9:17" s="1" customFormat="1">
      <c r="I1121" s="185"/>
      <c r="J1121" s="185"/>
      <c r="K1121" s="185"/>
      <c r="L1121"/>
      <c r="M1121"/>
      <c r="N1121"/>
      <c r="O1121"/>
      <c r="P1121"/>
      <c r="Q1121"/>
    </row>
    <row r="1122" spans="9:17" s="1" customFormat="1">
      <c r="I1122" s="185"/>
      <c r="J1122" s="185"/>
      <c r="K1122" s="185"/>
      <c r="L1122"/>
      <c r="M1122"/>
      <c r="N1122"/>
      <c r="O1122"/>
      <c r="P1122"/>
      <c r="Q1122"/>
    </row>
    <row r="1123" spans="9:17" s="1" customFormat="1">
      <c r="I1123" s="185"/>
      <c r="J1123" s="185"/>
      <c r="K1123" s="185"/>
      <c r="L1123"/>
      <c r="M1123"/>
      <c r="N1123"/>
      <c r="O1123"/>
      <c r="P1123"/>
      <c r="Q1123"/>
    </row>
    <row r="1124" spans="9:17" s="1" customFormat="1">
      <c r="I1124" s="185"/>
      <c r="J1124" s="185"/>
      <c r="K1124" s="185"/>
      <c r="L1124"/>
      <c r="M1124"/>
      <c r="N1124"/>
      <c r="O1124"/>
      <c r="P1124"/>
      <c r="Q1124"/>
    </row>
    <row r="1125" spans="9:17" s="1" customFormat="1">
      <c r="I1125" s="185"/>
      <c r="J1125" s="185"/>
      <c r="K1125" s="185"/>
      <c r="L1125"/>
      <c r="M1125"/>
      <c r="N1125"/>
      <c r="O1125"/>
      <c r="P1125"/>
      <c r="Q1125"/>
    </row>
    <row r="1126" spans="9:17" s="1" customFormat="1">
      <c r="I1126" s="185"/>
      <c r="J1126" s="185"/>
      <c r="K1126" s="185"/>
      <c r="L1126"/>
      <c r="M1126"/>
      <c r="N1126"/>
      <c r="O1126"/>
      <c r="P1126"/>
      <c r="Q1126"/>
    </row>
    <row r="1127" spans="9:17" s="1" customFormat="1">
      <c r="I1127" s="185"/>
      <c r="J1127" s="185"/>
      <c r="K1127" s="185"/>
      <c r="L1127"/>
      <c r="M1127"/>
      <c r="N1127"/>
      <c r="O1127"/>
      <c r="P1127"/>
      <c r="Q1127"/>
    </row>
    <row r="1128" spans="9:17" s="1" customFormat="1">
      <c r="I1128" s="185"/>
      <c r="J1128" s="185"/>
      <c r="K1128" s="185"/>
      <c r="L1128"/>
      <c r="M1128"/>
      <c r="N1128"/>
      <c r="O1128"/>
      <c r="P1128"/>
      <c r="Q1128"/>
    </row>
    <row r="1129" spans="9:17" s="1" customFormat="1">
      <c r="I1129" s="185"/>
      <c r="J1129" s="185"/>
      <c r="K1129" s="185"/>
      <c r="L1129"/>
      <c r="M1129"/>
      <c r="N1129"/>
      <c r="O1129"/>
      <c r="P1129"/>
      <c r="Q1129"/>
    </row>
    <row r="1130" spans="9:17" s="1" customFormat="1">
      <c r="I1130" s="185"/>
      <c r="J1130" s="185"/>
      <c r="K1130" s="185"/>
      <c r="L1130"/>
      <c r="M1130"/>
      <c r="N1130"/>
      <c r="O1130"/>
      <c r="P1130"/>
      <c r="Q1130"/>
    </row>
    <row r="1131" spans="9:17" s="1" customFormat="1">
      <c r="I1131" s="185"/>
      <c r="J1131" s="185"/>
      <c r="K1131" s="185"/>
      <c r="L1131"/>
      <c r="M1131"/>
      <c r="N1131"/>
      <c r="O1131"/>
      <c r="P1131"/>
      <c r="Q1131"/>
    </row>
    <row r="1132" spans="9:17" s="1" customFormat="1">
      <c r="I1132" s="185"/>
      <c r="J1132" s="185"/>
      <c r="K1132" s="185"/>
      <c r="L1132"/>
      <c r="M1132"/>
      <c r="N1132"/>
      <c r="O1132"/>
      <c r="P1132"/>
      <c r="Q1132"/>
    </row>
    <row r="1133" spans="9:17" s="1" customFormat="1">
      <c r="I1133" s="185"/>
      <c r="J1133" s="185"/>
      <c r="K1133" s="185"/>
      <c r="L1133"/>
      <c r="M1133"/>
      <c r="N1133"/>
      <c r="O1133"/>
      <c r="P1133"/>
      <c r="Q1133"/>
    </row>
    <row r="1134" spans="9:17" s="1" customFormat="1">
      <c r="I1134" s="185"/>
      <c r="J1134" s="185"/>
      <c r="K1134" s="185"/>
      <c r="L1134"/>
      <c r="M1134"/>
      <c r="N1134"/>
      <c r="O1134"/>
      <c r="P1134"/>
      <c r="Q1134"/>
    </row>
    <row r="1135" spans="9:17" s="1" customFormat="1">
      <c r="I1135" s="185"/>
      <c r="J1135" s="185"/>
      <c r="K1135" s="185"/>
      <c r="L1135"/>
      <c r="M1135"/>
      <c r="N1135"/>
      <c r="O1135"/>
      <c r="P1135"/>
      <c r="Q1135"/>
    </row>
    <row r="1136" spans="9:17" s="1" customFormat="1">
      <c r="I1136" s="185"/>
      <c r="J1136" s="185"/>
      <c r="K1136" s="185"/>
      <c r="L1136"/>
      <c r="M1136"/>
      <c r="N1136"/>
      <c r="O1136"/>
      <c r="P1136"/>
      <c r="Q1136"/>
    </row>
    <row r="1137" spans="9:17" s="1" customFormat="1">
      <c r="I1137" s="185"/>
      <c r="J1137" s="185"/>
      <c r="K1137" s="185"/>
      <c r="L1137"/>
      <c r="M1137"/>
      <c r="N1137"/>
      <c r="O1137"/>
      <c r="P1137"/>
      <c r="Q1137"/>
    </row>
    <row r="1138" spans="9:17" s="1" customFormat="1">
      <c r="I1138" s="185"/>
      <c r="J1138" s="185"/>
      <c r="K1138" s="185"/>
      <c r="L1138"/>
      <c r="M1138"/>
      <c r="N1138"/>
      <c r="O1138"/>
      <c r="P1138"/>
      <c r="Q1138"/>
    </row>
    <row r="1139" spans="9:17" s="1" customFormat="1">
      <c r="I1139" s="185"/>
      <c r="J1139" s="185"/>
      <c r="K1139" s="185"/>
      <c r="L1139"/>
      <c r="M1139"/>
      <c r="N1139"/>
      <c r="O1139"/>
      <c r="P1139"/>
      <c r="Q1139"/>
    </row>
    <row r="1140" spans="9:17" s="1" customFormat="1">
      <c r="I1140" s="185"/>
      <c r="J1140" s="185"/>
      <c r="K1140" s="185"/>
      <c r="L1140"/>
      <c r="M1140"/>
      <c r="N1140"/>
      <c r="O1140"/>
      <c r="P1140"/>
      <c r="Q1140"/>
    </row>
    <row r="1141" spans="9:17" s="1" customFormat="1">
      <c r="I1141" s="185"/>
      <c r="J1141" s="185"/>
      <c r="K1141" s="185"/>
      <c r="L1141"/>
      <c r="M1141"/>
      <c r="N1141"/>
      <c r="O1141"/>
      <c r="P1141"/>
      <c r="Q1141"/>
    </row>
    <row r="1142" spans="9:17" s="1" customFormat="1">
      <c r="I1142" s="185"/>
      <c r="J1142" s="185"/>
      <c r="K1142" s="185"/>
      <c r="L1142"/>
      <c r="M1142"/>
      <c r="N1142"/>
      <c r="O1142"/>
      <c r="P1142"/>
      <c r="Q1142"/>
    </row>
    <row r="1143" spans="9:17" s="1" customFormat="1">
      <c r="I1143" s="185"/>
      <c r="J1143" s="185"/>
      <c r="K1143" s="185"/>
      <c r="L1143"/>
      <c r="M1143"/>
      <c r="N1143"/>
      <c r="O1143"/>
      <c r="P1143"/>
      <c r="Q1143"/>
    </row>
    <row r="1144" spans="9:17" s="1" customFormat="1">
      <c r="I1144" s="185"/>
      <c r="J1144" s="185"/>
      <c r="K1144" s="185"/>
      <c r="L1144"/>
      <c r="M1144"/>
      <c r="N1144"/>
      <c r="O1144"/>
      <c r="P1144"/>
      <c r="Q1144"/>
    </row>
    <row r="1145" spans="9:17" s="1" customFormat="1">
      <c r="I1145" s="185"/>
      <c r="J1145" s="185"/>
      <c r="K1145" s="185"/>
      <c r="L1145"/>
      <c r="M1145"/>
      <c r="N1145"/>
      <c r="O1145"/>
      <c r="P1145"/>
      <c r="Q1145"/>
    </row>
    <row r="1146" spans="9:17" s="1" customFormat="1">
      <c r="I1146" s="185"/>
      <c r="J1146" s="185"/>
      <c r="K1146" s="185"/>
      <c r="L1146"/>
      <c r="M1146"/>
      <c r="N1146"/>
      <c r="O1146"/>
      <c r="P1146"/>
      <c r="Q1146"/>
    </row>
    <row r="1147" spans="9:17" s="1" customFormat="1">
      <c r="I1147" s="185"/>
      <c r="J1147" s="185"/>
      <c r="K1147" s="185"/>
      <c r="L1147"/>
      <c r="M1147"/>
      <c r="N1147"/>
      <c r="O1147"/>
      <c r="P1147"/>
      <c r="Q1147"/>
    </row>
    <row r="1148" spans="9:17" s="1" customFormat="1">
      <c r="I1148" s="185"/>
      <c r="J1148" s="185"/>
      <c r="K1148" s="185"/>
      <c r="L1148"/>
      <c r="M1148"/>
      <c r="N1148"/>
      <c r="O1148"/>
      <c r="P1148"/>
      <c r="Q1148"/>
    </row>
    <row r="1149" spans="9:17" s="1" customFormat="1">
      <c r="I1149" s="185"/>
      <c r="J1149" s="185"/>
      <c r="K1149" s="185"/>
      <c r="L1149"/>
      <c r="M1149"/>
      <c r="N1149"/>
      <c r="O1149"/>
      <c r="P1149"/>
      <c r="Q1149"/>
    </row>
    <row r="1150" spans="9:17" s="1" customFormat="1">
      <c r="I1150" s="185"/>
      <c r="J1150" s="185"/>
      <c r="K1150" s="185"/>
      <c r="L1150"/>
      <c r="M1150"/>
      <c r="N1150"/>
      <c r="O1150"/>
      <c r="P1150"/>
      <c r="Q1150"/>
    </row>
    <row r="1151" spans="9:17" s="1" customFormat="1">
      <c r="I1151" s="185"/>
      <c r="J1151" s="185"/>
      <c r="K1151" s="185"/>
      <c r="L1151"/>
      <c r="M1151"/>
      <c r="N1151"/>
      <c r="O1151"/>
      <c r="P1151"/>
      <c r="Q1151"/>
    </row>
    <row r="1152" spans="9:17" s="1" customFormat="1">
      <c r="I1152" s="185"/>
      <c r="J1152" s="185"/>
      <c r="K1152" s="185"/>
      <c r="L1152"/>
      <c r="M1152"/>
      <c r="N1152"/>
      <c r="O1152"/>
      <c r="P1152"/>
      <c r="Q1152"/>
    </row>
    <row r="1153" spans="9:17" s="1" customFormat="1">
      <c r="I1153" s="185"/>
      <c r="J1153" s="185"/>
      <c r="K1153" s="185"/>
      <c r="L1153"/>
      <c r="M1153"/>
      <c r="N1153"/>
      <c r="O1153"/>
      <c r="P1153"/>
      <c r="Q1153"/>
    </row>
    <row r="1154" spans="9:17" s="1" customFormat="1">
      <c r="I1154" s="185"/>
      <c r="J1154" s="185"/>
      <c r="K1154" s="185"/>
      <c r="L1154"/>
      <c r="M1154"/>
      <c r="N1154"/>
      <c r="O1154"/>
      <c r="P1154"/>
      <c r="Q1154"/>
    </row>
    <row r="1155" spans="9:17" s="1" customFormat="1">
      <c r="I1155" s="185"/>
      <c r="J1155" s="185"/>
      <c r="K1155" s="185"/>
      <c r="L1155"/>
      <c r="M1155"/>
      <c r="N1155"/>
      <c r="O1155"/>
      <c r="P1155"/>
      <c r="Q1155"/>
    </row>
    <row r="1156" spans="9:17" s="1" customFormat="1">
      <c r="I1156" s="185"/>
      <c r="J1156" s="185"/>
      <c r="K1156" s="185"/>
      <c r="L1156"/>
      <c r="M1156"/>
      <c r="N1156"/>
      <c r="O1156"/>
      <c r="P1156"/>
      <c r="Q1156"/>
    </row>
    <row r="1157" spans="9:17" s="1" customFormat="1">
      <c r="I1157" s="185"/>
      <c r="J1157" s="185"/>
      <c r="K1157" s="185"/>
      <c r="L1157"/>
      <c r="M1157"/>
      <c r="N1157"/>
      <c r="O1157"/>
      <c r="P1157"/>
      <c r="Q1157"/>
    </row>
    <row r="1158" spans="9:17" s="1" customFormat="1">
      <c r="I1158" s="185"/>
      <c r="J1158" s="185"/>
      <c r="K1158" s="185"/>
      <c r="L1158"/>
      <c r="M1158"/>
      <c r="N1158"/>
      <c r="O1158"/>
      <c r="P1158"/>
      <c r="Q1158"/>
    </row>
    <row r="1159" spans="9:17" s="1" customFormat="1">
      <c r="I1159" s="185"/>
      <c r="J1159" s="185"/>
      <c r="K1159" s="185"/>
      <c r="L1159"/>
      <c r="M1159"/>
      <c r="N1159"/>
      <c r="O1159"/>
      <c r="P1159"/>
      <c r="Q1159"/>
    </row>
    <row r="1160" spans="9:17" s="1" customFormat="1">
      <c r="I1160" s="185"/>
      <c r="J1160" s="185"/>
      <c r="K1160" s="185"/>
      <c r="L1160"/>
      <c r="M1160"/>
      <c r="N1160"/>
      <c r="O1160"/>
      <c r="P1160"/>
      <c r="Q1160"/>
    </row>
    <row r="1161" spans="9:17" s="1" customFormat="1">
      <c r="I1161" s="185"/>
      <c r="J1161" s="185"/>
      <c r="K1161" s="185"/>
      <c r="L1161"/>
      <c r="M1161"/>
      <c r="N1161"/>
      <c r="O1161"/>
      <c r="P1161"/>
      <c r="Q1161"/>
    </row>
    <row r="1162" spans="9:17" s="1" customFormat="1">
      <c r="I1162" s="185"/>
      <c r="J1162" s="185"/>
      <c r="K1162" s="185"/>
      <c r="L1162"/>
      <c r="M1162"/>
      <c r="N1162"/>
      <c r="O1162"/>
      <c r="P1162"/>
      <c r="Q1162"/>
    </row>
    <row r="1163" spans="9:17" s="1" customFormat="1">
      <c r="I1163" s="185"/>
      <c r="J1163" s="185"/>
      <c r="K1163" s="185"/>
      <c r="L1163"/>
      <c r="M1163"/>
      <c r="N1163"/>
      <c r="O1163"/>
      <c r="P1163"/>
      <c r="Q1163"/>
    </row>
    <row r="1164" spans="9:17" s="1" customFormat="1">
      <c r="I1164" s="185"/>
      <c r="J1164" s="185"/>
      <c r="K1164" s="185"/>
      <c r="L1164"/>
      <c r="M1164"/>
      <c r="N1164"/>
      <c r="O1164"/>
      <c r="P1164"/>
      <c r="Q1164"/>
    </row>
    <row r="1165" spans="9:17" s="1" customFormat="1">
      <c r="I1165" s="185"/>
      <c r="J1165" s="185"/>
      <c r="K1165" s="185"/>
      <c r="L1165"/>
      <c r="M1165"/>
      <c r="N1165"/>
      <c r="O1165"/>
      <c r="P1165"/>
      <c r="Q1165"/>
    </row>
    <row r="1166" spans="9:17" s="1" customFormat="1">
      <c r="I1166" s="185"/>
      <c r="J1166" s="185"/>
      <c r="K1166" s="185"/>
      <c r="L1166"/>
      <c r="M1166"/>
      <c r="N1166"/>
      <c r="O1166"/>
      <c r="P1166"/>
      <c r="Q1166"/>
    </row>
    <row r="1167" spans="9:17" s="1" customFormat="1">
      <c r="I1167" s="185"/>
      <c r="J1167" s="185"/>
      <c r="K1167" s="185"/>
      <c r="L1167"/>
      <c r="M1167"/>
      <c r="N1167"/>
      <c r="O1167"/>
      <c r="P1167"/>
      <c r="Q1167"/>
    </row>
    <row r="1168" spans="9:17" s="1" customFormat="1">
      <c r="I1168" s="185"/>
      <c r="J1168" s="185"/>
      <c r="K1168" s="185"/>
      <c r="L1168"/>
      <c r="M1168"/>
      <c r="N1168"/>
      <c r="O1168"/>
      <c r="P1168"/>
      <c r="Q1168"/>
    </row>
    <row r="1169" spans="9:17" s="1" customFormat="1">
      <c r="I1169" s="185"/>
      <c r="J1169" s="185"/>
      <c r="K1169" s="185"/>
      <c r="L1169"/>
      <c r="M1169"/>
      <c r="N1169"/>
      <c r="O1169"/>
      <c r="P1169"/>
      <c r="Q1169"/>
    </row>
    <row r="1170" spans="9:17" s="1" customFormat="1">
      <c r="I1170" s="185"/>
      <c r="J1170" s="185"/>
      <c r="K1170" s="185"/>
      <c r="L1170"/>
      <c r="M1170"/>
      <c r="N1170"/>
      <c r="O1170"/>
      <c r="P1170"/>
      <c r="Q1170"/>
    </row>
    <row r="1171" spans="9:17" s="1" customFormat="1">
      <c r="I1171" s="185"/>
      <c r="J1171" s="185"/>
      <c r="K1171" s="185"/>
      <c r="L1171"/>
      <c r="M1171"/>
      <c r="N1171"/>
      <c r="O1171"/>
      <c r="P1171"/>
      <c r="Q1171"/>
    </row>
    <row r="1172" spans="9:17" s="1" customFormat="1">
      <c r="I1172" s="185"/>
      <c r="J1172" s="185"/>
      <c r="K1172" s="185"/>
      <c r="L1172"/>
      <c r="M1172"/>
      <c r="N1172"/>
      <c r="O1172"/>
      <c r="P1172"/>
      <c r="Q1172"/>
    </row>
    <row r="1173" spans="9:17" s="1" customFormat="1">
      <c r="I1173" s="185"/>
      <c r="J1173" s="185"/>
      <c r="K1173" s="185"/>
      <c r="L1173"/>
      <c r="M1173"/>
      <c r="N1173"/>
      <c r="O1173"/>
      <c r="P1173"/>
      <c r="Q1173"/>
    </row>
    <row r="1174" spans="9:17" s="1" customFormat="1">
      <c r="I1174" s="185"/>
      <c r="J1174" s="185"/>
      <c r="K1174" s="185"/>
      <c r="L1174"/>
      <c r="M1174"/>
      <c r="N1174"/>
      <c r="O1174"/>
      <c r="P1174"/>
      <c r="Q1174"/>
    </row>
    <row r="1175" spans="9:17" s="1" customFormat="1">
      <c r="I1175" s="185"/>
      <c r="J1175" s="185"/>
      <c r="K1175" s="185"/>
      <c r="L1175"/>
      <c r="M1175"/>
      <c r="N1175"/>
      <c r="O1175"/>
      <c r="P1175"/>
      <c r="Q1175"/>
    </row>
    <row r="1176" spans="9:17" s="1" customFormat="1">
      <c r="I1176" s="185"/>
      <c r="J1176" s="185"/>
      <c r="K1176" s="185"/>
      <c r="L1176"/>
      <c r="M1176"/>
      <c r="N1176"/>
      <c r="O1176"/>
      <c r="P1176"/>
      <c r="Q1176"/>
    </row>
    <row r="1177" spans="9:17" s="1" customFormat="1">
      <c r="I1177" s="185"/>
      <c r="J1177" s="185"/>
      <c r="K1177" s="185"/>
      <c r="L1177"/>
      <c r="M1177"/>
      <c r="N1177"/>
      <c r="O1177"/>
      <c r="P1177"/>
      <c r="Q1177"/>
    </row>
    <row r="1178" spans="9:17" s="1" customFormat="1">
      <c r="I1178" s="185"/>
      <c r="J1178" s="185"/>
      <c r="K1178" s="185"/>
      <c r="L1178"/>
      <c r="M1178"/>
      <c r="N1178"/>
      <c r="O1178"/>
      <c r="P1178"/>
      <c r="Q1178"/>
    </row>
    <row r="1179" spans="9:17" s="1" customFormat="1">
      <c r="I1179" s="185"/>
      <c r="J1179" s="185"/>
      <c r="K1179" s="185"/>
      <c r="L1179"/>
      <c r="M1179"/>
      <c r="N1179"/>
      <c r="O1179"/>
      <c r="P1179"/>
      <c r="Q1179"/>
    </row>
    <row r="1180" spans="9:17" s="1" customFormat="1">
      <c r="I1180" s="185"/>
      <c r="J1180" s="185"/>
      <c r="K1180" s="185"/>
      <c r="L1180"/>
      <c r="M1180"/>
      <c r="N1180"/>
      <c r="O1180"/>
      <c r="P1180"/>
      <c r="Q1180"/>
    </row>
    <row r="1181" spans="9:17" s="1" customFormat="1">
      <c r="I1181" s="185"/>
      <c r="J1181" s="185"/>
      <c r="K1181" s="185"/>
      <c r="L1181"/>
      <c r="M1181"/>
      <c r="N1181"/>
      <c r="O1181"/>
      <c r="P1181"/>
      <c r="Q1181"/>
    </row>
    <row r="1182" spans="9:17" s="1" customFormat="1">
      <c r="I1182" s="185"/>
      <c r="J1182" s="185"/>
      <c r="K1182" s="185"/>
      <c r="L1182"/>
      <c r="M1182"/>
      <c r="N1182"/>
      <c r="O1182"/>
      <c r="P1182"/>
      <c r="Q1182"/>
    </row>
    <row r="1183" spans="9:17" s="1" customFormat="1">
      <c r="I1183" s="185"/>
      <c r="J1183" s="185"/>
      <c r="K1183" s="185"/>
      <c r="L1183"/>
      <c r="M1183"/>
      <c r="N1183"/>
      <c r="O1183"/>
      <c r="P1183"/>
      <c r="Q1183"/>
    </row>
    <row r="1184" spans="9:17" s="1" customFormat="1">
      <c r="I1184" s="185"/>
      <c r="J1184" s="185"/>
      <c r="K1184" s="185"/>
      <c r="L1184"/>
      <c r="M1184"/>
      <c r="N1184"/>
      <c r="O1184"/>
      <c r="P1184"/>
      <c r="Q1184"/>
    </row>
    <row r="1185" spans="9:17" s="1" customFormat="1">
      <c r="I1185" s="185"/>
      <c r="J1185" s="185"/>
      <c r="K1185" s="185"/>
      <c r="L1185"/>
      <c r="M1185"/>
      <c r="N1185"/>
      <c r="O1185"/>
      <c r="P1185"/>
      <c r="Q1185"/>
    </row>
    <row r="1186" spans="9:17" s="1" customFormat="1">
      <c r="I1186" s="185"/>
      <c r="J1186" s="185"/>
      <c r="K1186" s="185"/>
      <c r="L1186"/>
      <c r="M1186"/>
      <c r="N1186"/>
      <c r="O1186"/>
      <c r="P1186"/>
      <c r="Q1186"/>
    </row>
    <row r="1187" spans="9:17" s="1" customFormat="1">
      <c r="I1187" s="185"/>
      <c r="J1187" s="185"/>
      <c r="K1187" s="185"/>
      <c r="L1187"/>
      <c r="M1187"/>
      <c r="N1187"/>
      <c r="O1187"/>
      <c r="P1187"/>
      <c r="Q1187"/>
    </row>
    <row r="1188" spans="9:17" s="1" customFormat="1">
      <c r="I1188" s="185"/>
      <c r="J1188" s="185"/>
      <c r="K1188" s="185"/>
      <c r="L1188"/>
      <c r="M1188"/>
      <c r="N1188"/>
      <c r="O1188"/>
      <c r="P1188"/>
      <c r="Q1188"/>
    </row>
    <row r="1189" spans="9:17" s="1" customFormat="1">
      <c r="I1189" s="185"/>
      <c r="J1189" s="185"/>
      <c r="K1189" s="185"/>
      <c r="L1189"/>
      <c r="M1189"/>
      <c r="N1189"/>
      <c r="O1189"/>
      <c r="P1189"/>
      <c r="Q1189"/>
    </row>
    <row r="1190" spans="9:17" s="1" customFormat="1">
      <c r="I1190" s="185"/>
      <c r="J1190" s="185"/>
      <c r="K1190" s="185"/>
      <c r="L1190"/>
      <c r="M1190"/>
      <c r="N1190"/>
      <c r="O1190"/>
      <c r="P1190"/>
      <c r="Q1190"/>
    </row>
    <row r="1191" spans="9:17" s="1" customFormat="1">
      <c r="I1191" s="185"/>
      <c r="J1191" s="185"/>
      <c r="K1191" s="185"/>
      <c r="L1191"/>
      <c r="M1191"/>
      <c r="N1191"/>
      <c r="O1191"/>
      <c r="P1191"/>
      <c r="Q1191"/>
    </row>
    <row r="1192" spans="9:17" s="1" customFormat="1">
      <c r="I1192" s="185"/>
      <c r="J1192" s="185"/>
      <c r="K1192" s="185"/>
      <c r="L1192"/>
      <c r="M1192"/>
      <c r="N1192"/>
      <c r="O1192"/>
      <c r="P1192"/>
      <c r="Q1192"/>
    </row>
    <row r="1193" spans="9:17" s="1" customFormat="1">
      <c r="I1193" s="185"/>
      <c r="J1193" s="185"/>
      <c r="K1193" s="185"/>
      <c r="L1193"/>
      <c r="M1193"/>
      <c r="N1193"/>
      <c r="O1193"/>
      <c r="P1193"/>
      <c r="Q1193"/>
    </row>
    <row r="1194" spans="9:17" s="1" customFormat="1">
      <c r="I1194" s="185"/>
      <c r="J1194" s="185"/>
      <c r="K1194" s="185"/>
      <c r="L1194"/>
      <c r="M1194"/>
      <c r="N1194"/>
      <c r="O1194"/>
      <c r="P1194"/>
      <c r="Q1194"/>
    </row>
    <row r="1195" spans="9:17" s="1" customFormat="1">
      <c r="I1195" s="185"/>
      <c r="J1195" s="185"/>
      <c r="K1195" s="185"/>
      <c r="L1195"/>
      <c r="M1195"/>
      <c r="N1195"/>
      <c r="O1195"/>
      <c r="P1195"/>
      <c r="Q1195"/>
    </row>
    <row r="1196" spans="9:17" s="1" customFormat="1">
      <c r="I1196" s="185"/>
      <c r="J1196" s="185"/>
      <c r="K1196" s="185"/>
      <c r="L1196"/>
      <c r="M1196"/>
      <c r="N1196"/>
      <c r="O1196"/>
      <c r="P1196"/>
      <c r="Q1196"/>
    </row>
    <row r="1197" spans="9:17" s="1" customFormat="1">
      <c r="I1197" s="185"/>
      <c r="J1197" s="185"/>
      <c r="K1197" s="185"/>
      <c r="L1197"/>
      <c r="M1197"/>
      <c r="N1197"/>
      <c r="O1197"/>
      <c r="P1197"/>
      <c r="Q1197"/>
    </row>
    <row r="1198" spans="9:17" s="1" customFormat="1">
      <c r="I1198" s="185"/>
      <c r="J1198" s="185"/>
      <c r="K1198" s="185"/>
      <c r="L1198"/>
      <c r="M1198"/>
      <c r="N1198"/>
      <c r="O1198"/>
      <c r="P1198"/>
      <c r="Q1198"/>
    </row>
    <row r="1199" spans="9:17" s="1" customFormat="1">
      <c r="I1199" s="185"/>
      <c r="J1199" s="185"/>
      <c r="K1199" s="185"/>
      <c r="L1199"/>
      <c r="M1199"/>
      <c r="N1199"/>
      <c r="O1199"/>
      <c r="P1199"/>
      <c r="Q1199"/>
    </row>
    <row r="1200" spans="9:17" s="1" customFormat="1">
      <c r="I1200" s="185"/>
      <c r="J1200" s="185"/>
      <c r="K1200" s="185"/>
      <c r="L1200"/>
      <c r="M1200"/>
      <c r="N1200"/>
      <c r="O1200"/>
      <c r="P1200"/>
      <c r="Q1200"/>
    </row>
    <row r="1201" spans="9:17" s="1" customFormat="1">
      <c r="I1201" s="185"/>
      <c r="J1201" s="185"/>
      <c r="K1201" s="185"/>
      <c r="L1201"/>
      <c r="M1201"/>
      <c r="N1201"/>
      <c r="O1201"/>
      <c r="P1201"/>
      <c r="Q1201"/>
    </row>
    <row r="1202" spans="9:17" s="1" customFormat="1">
      <c r="I1202" s="185"/>
      <c r="J1202" s="185"/>
      <c r="K1202" s="185"/>
      <c r="L1202"/>
      <c r="M1202"/>
      <c r="N1202"/>
      <c r="O1202"/>
      <c r="P1202"/>
      <c r="Q1202"/>
    </row>
    <row r="1203" spans="9:17" s="1" customFormat="1">
      <c r="I1203" s="185"/>
      <c r="J1203" s="185"/>
      <c r="K1203" s="185"/>
      <c r="L1203"/>
      <c r="M1203"/>
      <c r="N1203"/>
      <c r="O1203"/>
      <c r="P1203"/>
      <c r="Q1203"/>
    </row>
    <row r="1204" spans="9:17" s="1" customFormat="1">
      <c r="I1204" s="185"/>
      <c r="J1204" s="185"/>
      <c r="K1204" s="185"/>
      <c r="L1204"/>
      <c r="M1204"/>
      <c r="N1204"/>
      <c r="O1204"/>
      <c r="P1204"/>
      <c r="Q1204"/>
    </row>
    <row r="1205" spans="9:17" s="1" customFormat="1">
      <c r="I1205" s="185"/>
      <c r="J1205" s="185"/>
      <c r="K1205" s="185"/>
      <c r="L1205"/>
      <c r="M1205"/>
      <c r="N1205"/>
      <c r="O1205"/>
      <c r="P1205"/>
      <c r="Q1205"/>
    </row>
    <row r="1206" spans="9:17" s="1" customFormat="1">
      <c r="I1206" s="185"/>
      <c r="J1206" s="185"/>
      <c r="K1206" s="185"/>
      <c r="L1206"/>
      <c r="M1206"/>
      <c r="N1206"/>
      <c r="O1206"/>
      <c r="P1206"/>
      <c r="Q1206"/>
    </row>
    <row r="1207" spans="9:17" s="1" customFormat="1">
      <c r="I1207" s="185"/>
      <c r="J1207" s="185"/>
      <c r="K1207" s="185"/>
      <c r="L1207"/>
      <c r="M1207"/>
      <c r="N1207"/>
      <c r="O1207"/>
      <c r="P1207"/>
      <c r="Q1207"/>
    </row>
    <row r="1208" spans="9:17" s="1" customFormat="1">
      <c r="I1208" s="185"/>
      <c r="J1208" s="185"/>
      <c r="K1208" s="185"/>
      <c r="L1208"/>
      <c r="M1208"/>
      <c r="N1208"/>
      <c r="O1208"/>
      <c r="P1208"/>
      <c r="Q1208"/>
    </row>
    <row r="1209" spans="9:17" s="1" customFormat="1">
      <c r="I1209" s="185"/>
      <c r="J1209" s="185"/>
      <c r="K1209" s="185"/>
      <c r="L1209"/>
      <c r="M1209"/>
      <c r="N1209"/>
      <c r="O1209"/>
      <c r="P1209"/>
      <c r="Q1209"/>
    </row>
    <row r="1210" spans="9:17" s="1" customFormat="1">
      <c r="I1210" s="185"/>
      <c r="J1210" s="185"/>
      <c r="K1210" s="185"/>
      <c r="L1210"/>
      <c r="M1210"/>
      <c r="N1210"/>
      <c r="O1210"/>
      <c r="P1210"/>
      <c r="Q1210"/>
    </row>
    <row r="1211" spans="9:17" s="1" customFormat="1">
      <c r="I1211" s="185"/>
      <c r="J1211" s="185"/>
      <c r="K1211" s="185"/>
      <c r="L1211"/>
      <c r="M1211"/>
      <c r="N1211"/>
      <c r="O1211"/>
      <c r="P1211"/>
      <c r="Q1211"/>
    </row>
    <row r="1212" spans="9:17" s="1" customFormat="1">
      <c r="I1212" s="185"/>
      <c r="J1212" s="185"/>
      <c r="K1212" s="185"/>
      <c r="L1212"/>
      <c r="M1212"/>
      <c r="N1212"/>
      <c r="O1212"/>
      <c r="P1212"/>
      <c r="Q1212"/>
    </row>
    <row r="1213" spans="9:17" s="1" customFormat="1">
      <c r="I1213" s="185"/>
      <c r="J1213" s="185"/>
      <c r="K1213" s="185"/>
      <c r="L1213"/>
      <c r="M1213"/>
      <c r="N1213"/>
      <c r="O1213"/>
      <c r="P1213"/>
      <c r="Q1213"/>
    </row>
    <row r="1214" spans="9:17" s="1" customFormat="1">
      <c r="I1214" s="185"/>
      <c r="J1214" s="185"/>
      <c r="K1214" s="185"/>
      <c r="L1214"/>
      <c r="M1214"/>
      <c r="N1214"/>
      <c r="O1214"/>
      <c r="P1214"/>
      <c r="Q1214"/>
    </row>
    <row r="1215" spans="9:17" s="1" customFormat="1">
      <c r="I1215" s="185"/>
      <c r="J1215" s="185"/>
      <c r="K1215" s="185"/>
      <c r="L1215"/>
      <c r="M1215"/>
      <c r="N1215"/>
      <c r="O1215"/>
      <c r="P1215"/>
      <c r="Q1215"/>
    </row>
    <row r="1216" spans="9:17" s="1" customFormat="1">
      <c r="I1216" s="185"/>
      <c r="J1216" s="185"/>
      <c r="K1216" s="185"/>
      <c r="L1216"/>
      <c r="M1216"/>
      <c r="N1216"/>
      <c r="O1216"/>
      <c r="P1216"/>
      <c r="Q1216"/>
    </row>
    <row r="1217" spans="9:17" s="1" customFormat="1">
      <c r="I1217" s="185"/>
      <c r="J1217" s="185"/>
      <c r="K1217" s="185"/>
      <c r="L1217"/>
      <c r="M1217"/>
      <c r="N1217"/>
      <c r="O1217"/>
      <c r="P1217"/>
      <c r="Q1217"/>
    </row>
    <row r="1218" spans="9:17" s="1" customFormat="1">
      <c r="I1218" s="185"/>
      <c r="J1218" s="185"/>
      <c r="K1218" s="185"/>
      <c r="L1218"/>
      <c r="M1218"/>
      <c r="N1218"/>
      <c r="O1218"/>
      <c r="P1218"/>
      <c r="Q1218"/>
    </row>
    <row r="1219" spans="9:17" s="1" customFormat="1">
      <c r="I1219" s="185"/>
      <c r="J1219" s="185"/>
      <c r="K1219" s="185"/>
      <c r="L1219"/>
      <c r="M1219"/>
      <c r="N1219"/>
      <c r="O1219"/>
      <c r="P1219"/>
      <c r="Q1219"/>
    </row>
    <row r="1220" spans="9:17" s="1" customFormat="1">
      <c r="I1220" s="185"/>
      <c r="J1220" s="185"/>
      <c r="K1220" s="185"/>
      <c r="L1220"/>
      <c r="M1220"/>
      <c r="N1220"/>
      <c r="O1220"/>
      <c r="P1220"/>
      <c r="Q1220"/>
    </row>
    <row r="1221" spans="9:17" s="1" customFormat="1">
      <c r="I1221" s="185"/>
      <c r="J1221" s="185"/>
      <c r="K1221" s="185"/>
      <c r="L1221"/>
      <c r="M1221"/>
      <c r="N1221"/>
      <c r="O1221"/>
      <c r="P1221"/>
      <c r="Q1221"/>
    </row>
    <row r="1222" spans="9:17" s="1" customFormat="1">
      <c r="I1222" s="185"/>
      <c r="J1222" s="185"/>
      <c r="K1222" s="185"/>
      <c r="L1222"/>
      <c r="M1222"/>
      <c r="N1222"/>
      <c r="O1222"/>
      <c r="P1222"/>
      <c r="Q1222"/>
    </row>
    <row r="1223" spans="9:17" s="1" customFormat="1">
      <c r="I1223" s="185"/>
      <c r="J1223" s="185"/>
      <c r="K1223" s="185"/>
      <c r="L1223"/>
      <c r="M1223"/>
      <c r="N1223"/>
      <c r="O1223"/>
      <c r="P1223"/>
      <c r="Q1223"/>
    </row>
    <row r="1224" spans="9:17" s="1" customFormat="1">
      <c r="I1224" s="185"/>
      <c r="J1224" s="185"/>
      <c r="K1224" s="185"/>
      <c r="L1224"/>
      <c r="M1224"/>
      <c r="N1224"/>
      <c r="O1224"/>
      <c r="P1224"/>
      <c r="Q1224"/>
    </row>
    <row r="1225" spans="9:17" s="1" customFormat="1">
      <c r="I1225" s="185"/>
      <c r="J1225" s="185"/>
      <c r="K1225" s="185"/>
      <c r="L1225"/>
      <c r="M1225"/>
      <c r="N1225"/>
      <c r="O1225"/>
      <c r="P1225"/>
      <c r="Q1225"/>
    </row>
    <row r="1226" spans="9:17" s="1" customFormat="1">
      <c r="I1226" s="185"/>
      <c r="J1226" s="185"/>
      <c r="K1226" s="185"/>
      <c r="L1226"/>
      <c r="M1226"/>
      <c r="N1226"/>
      <c r="O1226"/>
      <c r="P1226"/>
      <c r="Q1226"/>
    </row>
    <row r="1227" spans="9:17" s="1" customFormat="1">
      <c r="I1227" s="185"/>
      <c r="J1227" s="185"/>
      <c r="K1227" s="185"/>
      <c r="L1227"/>
      <c r="M1227"/>
      <c r="N1227"/>
      <c r="O1227"/>
      <c r="P1227"/>
      <c r="Q1227"/>
    </row>
    <row r="1228" spans="9:17" s="1" customFormat="1">
      <c r="I1228" s="185"/>
      <c r="J1228" s="185"/>
      <c r="K1228" s="185"/>
      <c r="L1228"/>
      <c r="M1228"/>
      <c r="N1228"/>
      <c r="O1228"/>
      <c r="P1228"/>
      <c r="Q1228"/>
    </row>
    <row r="1229" spans="9:17" s="1" customFormat="1">
      <c r="I1229" s="185"/>
      <c r="J1229" s="185"/>
      <c r="K1229" s="185"/>
      <c r="L1229"/>
      <c r="M1229"/>
      <c r="N1229"/>
      <c r="O1229"/>
      <c r="P1229"/>
      <c r="Q1229"/>
    </row>
    <row r="1230" spans="9:17" s="1" customFormat="1">
      <c r="I1230" s="185"/>
      <c r="J1230" s="185"/>
      <c r="K1230" s="185"/>
      <c r="L1230"/>
      <c r="M1230"/>
      <c r="N1230"/>
      <c r="O1230"/>
      <c r="P1230"/>
      <c r="Q1230"/>
    </row>
    <row r="1231" spans="9:17" s="1" customFormat="1">
      <c r="I1231" s="185"/>
      <c r="J1231" s="185"/>
      <c r="K1231" s="185"/>
      <c r="L1231"/>
      <c r="M1231"/>
      <c r="N1231"/>
      <c r="O1231"/>
      <c r="P1231"/>
      <c r="Q1231"/>
    </row>
    <row r="1232" spans="9:17" s="1" customFormat="1">
      <c r="I1232" s="185"/>
      <c r="J1232" s="185"/>
      <c r="K1232" s="185"/>
      <c r="L1232"/>
      <c r="M1232"/>
      <c r="N1232"/>
      <c r="O1232"/>
      <c r="P1232"/>
      <c r="Q1232"/>
    </row>
    <row r="1233" spans="9:17" s="1" customFormat="1">
      <c r="I1233" s="185"/>
      <c r="J1233" s="185"/>
      <c r="K1233" s="185"/>
      <c r="L1233"/>
      <c r="M1233"/>
      <c r="N1233"/>
      <c r="O1233"/>
      <c r="P1233"/>
      <c r="Q1233"/>
    </row>
    <row r="1234" spans="9:17" s="1" customFormat="1">
      <c r="I1234" s="185"/>
      <c r="J1234" s="185"/>
      <c r="K1234" s="185"/>
      <c r="L1234"/>
      <c r="M1234"/>
      <c r="N1234"/>
      <c r="O1234"/>
      <c r="P1234"/>
      <c r="Q1234"/>
    </row>
    <row r="1235" spans="9:17" s="1" customFormat="1">
      <c r="I1235" s="185"/>
      <c r="J1235" s="185"/>
      <c r="K1235" s="185"/>
      <c r="L1235"/>
      <c r="M1235"/>
      <c r="N1235"/>
      <c r="O1235"/>
      <c r="P1235"/>
      <c r="Q1235"/>
    </row>
    <row r="1236" spans="9:17" s="1" customFormat="1">
      <c r="I1236" s="185"/>
      <c r="J1236" s="185"/>
      <c r="K1236" s="185"/>
      <c r="L1236"/>
      <c r="M1236"/>
      <c r="N1236"/>
      <c r="O1236"/>
      <c r="P1236"/>
      <c r="Q1236"/>
    </row>
    <row r="1237" spans="9:17" s="1" customFormat="1">
      <c r="I1237" s="185"/>
      <c r="J1237" s="185"/>
      <c r="K1237" s="185"/>
      <c r="L1237"/>
      <c r="M1237"/>
      <c r="N1237"/>
      <c r="O1237"/>
      <c r="P1237"/>
      <c r="Q1237"/>
    </row>
    <row r="1238" spans="9:17" s="1" customFormat="1">
      <c r="I1238" s="185"/>
      <c r="J1238" s="185"/>
      <c r="K1238" s="185"/>
      <c r="L1238"/>
      <c r="M1238"/>
      <c r="N1238"/>
      <c r="O1238"/>
      <c r="P1238"/>
      <c r="Q1238"/>
    </row>
    <row r="1239" spans="9:17" s="1" customFormat="1">
      <c r="I1239" s="185"/>
      <c r="J1239" s="185"/>
      <c r="K1239" s="185"/>
      <c r="L1239"/>
      <c r="M1239"/>
      <c r="N1239"/>
      <c r="O1239"/>
      <c r="P1239"/>
      <c r="Q1239"/>
    </row>
    <row r="1240" spans="9:17" s="1" customFormat="1">
      <c r="I1240" s="185"/>
      <c r="J1240" s="185"/>
      <c r="K1240" s="185"/>
      <c r="L1240"/>
      <c r="M1240"/>
      <c r="N1240"/>
      <c r="O1240"/>
      <c r="P1240"/>
      <c r="Q1240"/>
    </row>
    <row r="1241" spans="9:17" s="1" customFormat="1">
      <c r="I1241" s="185"/>
      <c r="J1241" s="185"/>
      <c r="K1241" s="185"/>
      <c r="L1241"/>
      <c r="M1241"/>
      <c r="N1241"/>
      <c r="O1241"/>
      <c r="P1241"/>
      <c r="Q1241"/>
    </row>
    <row r="1242" spans="9:17" s="1" customFormat="1">
      <c r="I1242" s="185"/>
      <c r="J1242" s="185"/>
      <c r="K1242" s="185"/>
      <c r="L1242"/>
      <c r="M1242"/>
      <c r="N1242"/>
      <c r="O1242"/>
      <c r="P1242"/>
      <c r="Q1242"/>
    </row>
    <row r="1243" spans="9:17" s="1" customFormat="1">
      <c r="I1243" s="185"/>
      <c r="J1243" s="185"/>
      <c r="K1243" s="185"/>
      <c r="L1243"/>
      <c r="M1243"/>
      <c r="N1243"/>
      <c r="O1243"/>
      <c r="P1243"/>
      <c r="Q1243"/>
    </row>
    <row r="1244" spans="9:17" s="1" customFormat="1">
      <c r="I1244" s="185"/>
      <c r="J1244" s="185"/>
      <c r="K1244" s="185"/>
      <c r="L1244"/>
      <c r="M1244"/>
      <c r="N1244"/>
      <c r="O1244"/>
      <c r="P1244"/>
      <c r="Q1244"/>
    </row>
    <row r="1245" spans="9:17" s="1" customFormat="1">
      <c r="I1245" s="185"/>
      <c r="J1245" s="185"/>
      <c r="K1245" s="185"/>
      <c r="L1245"/>
      <c r="M1245"/>
      <c r="N1245"/>
      <c r="O1245"/>
      <c r="P1245"/>
      <c r="Q1245"/>
    </row>
    <row r="1246" spans="9:17" s="1" customFormat="1">
      <c r="I1246" s="185"/>
      <c r="J1246" s="185"/>
      <c r="K1246" s="185"/>
      <c r="L1246"/>
      <c r="M1246"/>
      <c r="N1246"/>
      <c r="O1246"/>
      <c r="P1246"/>
      <c r="Q1246"/>
    </row>
    <row r="1247" spans="9:17" s="1" customFormat="1">
      <c r="I1247" s="185"/>
      <c r="J1247" s="185"/>
      <c r="K1247" s="185"/>
      <c r="L1247"/>
      <c r="M1247"/>
      <c r="N1247"/>
      <c r="O1247"/>
      <c r="P1247"/>
      <c r="Q1247"/>
    </row>
    <row r="1248" spans="9:17" s="1" customFormat="1">
      <c r="I1248" s="185"/>
      <c r="J1248" s="185"/>
      <c r="K1248" s="185"/>
      <c r="L1248"/>
      <c r="M1248"/>
      <c r="N1248"/>
      <c r="O1248"/>
      <c r="P1248"/>
      <c r="Q1248"/>
    </row>
    <row r="1249" spans="9:17" s="1" customFormat="1">
      <c r="I1249" s="185"/>
      <c r="J1249" s="185"/>
      <c r="K1249" s="185"/>
      <c r="L1249"/>
      <c r="M1249"/>
      <c r="N1249"/>
      <c r="O1249"/>
      <c r="P1249"/>
      <c r="Q1249"/>
    </row>
    <row r="1250" spans="9:17" s="1" customFormat="1">
      <c r="I1250" s="185"/>
      <c r="J1250" s="185"/>
      <c r="K1250" s="185"/>
      <c r="L1250"/>
      <c r="M1250"/>
      <c r="N1250"/>
      <c r="O1250"/>
      <c r="P1250"/>
      <c r="Q1250"/>
    </row>
    <row r="1251" spans="9:17" s="1" customFormat="1">
      <c r="I1251" s="185"/>
      <c r="J1251" s="185"/>
      <c r="K1251" s="185"/>
      <c r="L1251"/>
      <c r="M1251"/>
      <c r="N1251"/>
      <c r="O1251"/>
      <c r="P1251"/>
      <c r="Q1251"/>
    </row>
    <row r="1252" spans="9:17" s="1" customFormat="1">
      <c r="I1252" s="185"/>
      <c r="J1252" s="185"/>
      <c r="K1252" s="185"/>
      <c r="L1252"/>
      <c r="M1252"/>
      <c r="N1252"/>
      <c r="O1252"/>
      <c r="P1252"/>
      <c r="Q1252"/>
    </row>
    <row r="1253" spans="9:17" s="1" customFormat="1">
      <c r="I1253" s="185"/>
      <c r="J1253" s="185"/>
      <c r="K1253" s="185"/>
      <c r="L1253"/>
      <c r="M1253"/>
      <c r="N1253"/>
      <c r="O1253"/>
      <c r="P1253"/>
      <c r="Q1253"/>
    </row>
    <row r="1254" spans="9:17" s="1" customFormat="1">
      <c r="I1254" s="185"/>
      <c r="J1254" s="185"/>
      <c r="K1254" s="185"/>
      <c r="L1254"/>
      <c r="M1254"/>
      <c r="N1254"/>
      <c r="O1254"/>
      <c r="P1254"/>
      <c r="Q1254"/>
    </row>
    <row r="1255" spans="9:17" s="1" customFormat="1">
      <c r="I1255" s="185"/>
      <c r="J1255" s="185"/>
      <c r="K1255" s="185"/>
      <c r="L1255"/>
      <c r="M1255"/>
      <c r="N1255"/>
      <c r="O1255"/>
      <c r="P1255"/>
      <c r="Q1255"/>
    </row>
    <row r="1256" spans="9:17" s="1" customFormat="1">
      <c r="I1256" s="185"/>
      <c r="J1256" s="185"/>
      <c r="K1256" s="185"/>
      <c r="L1256"/>
      <c r="M1256"/>
      <c r="N1256"/>
      <c r="O1256"/>
      <c r="P1256"/>
      <c r="Q1256"/>
    </row>
    <row r="1257" spans="9:17" s="1" customFormat="1">
      <c r="I1257" s="185"/>
      <c r="J1257" s="185"/>
      <c r="K1257" s="185"/>
      <c r="L1257"/>
      <c r="M1257"/>
      <c r="N1257"/>
      <c r="O1257"/>
      <c r="P1257"/>
      <c r="Q1257"/>
    </row>
    <row r="1258" spans="9:17" s="1" customFormat="1">
      <c r="I1258" s="185"/>
      <c r="J1258" s="185"/>
      <c r="K1258" s="185"/>
      <c r="L1258"/>
      <c r="M1258"/>
      <c r="N1258"/>
      <c r="O1258"/>
      <c r="P1258"/>
      <c r="Q1258"/>
    </row>
    <row r="1259" spans="9:17" s="1" customFormat="1">
      <c r="I1259" s="185"/>
      <c r="J1259" s="185"/>
      <c r="K1259" s="185"/>
      <c r="L1259"/>
      <c r="M1259"/>
      <c r="N1259"/>
      <c r="O1259"/>
      <c r="P1259"/>
      <c r="Q1259"/>
    </row>
    <row r="1260" spans="9:17" s="1" customFormat="1">
      <c r="I1260" s="185"/>
      <c r="J1260" s="185"/>
      <c r="K1260" s="185"/>
      <c r="L1260"/>
      <c r="M1260"/>
      <c r="N1260"/>
      <c r="O1260"/>
      <c r="P1260"/>
      <c r="Q1260"/>
    </row>
    <row r="1261" spans="9:17" s="1" customFormat="1">
      <c r="I1261" s="185"/>
      <c r="J1261" s="185"/>
      <c r="K1261" s="185"/>
      <c r="L1261"/>
      <c r="M1261"/>
      <c r="N1261"/>
      <c r="O1261"/>
      <c r="P1261"/>
      <c r="Q1261"/>
    </row>
    <row r="1262" spans="9:17" s="1" customFormat="1">
      <c r="I1262" s="185"/>
      <c r="J1262" s="185"/>
      <c r="K1262" s="185"/>
      <c r="L1262"/>
      <c r="M1262"/>
      <c r="N1262"/>
      <c r="O1262"/>
      <c r="P1262"/>
      <c r="Q1262"/>
    </row>
    <row r="1263" spans="9:17" s="1" customFormat="1">
      <c r="I1263" s="185"/>
      <c r="J1263" s="185"/>
      <c r="K1263" s="185"/>
      <c r="L1263"/>
      <c r="M1263"/>
      <c r="N1263"/>
      <c r="O1263"/>
      <c r="P1263"/>
      <c r="Q1263"/>
    </row>
    <row r="1264" spans="9:17" s="1" customFormat="1">
      <c r="I1264" s="185"/>
      <c r="J1264" s="185"/>
      <c r="K1264" s="185"/>
      <c r="L1264"/>
      <c r="M1264"/>
      <c r="N1264"/>
      <c r="O1264"/>
      <c r="P1264"/>
      <c r="Q1264"/>
    </row>
    <row r="1265" spans="9:17" s="1" customFormat="1">
      <c r="I1265" s="185"/>
      <c r="J1265" s="185"/>
      <c r="K1265" s="185"/>
      <c r="L1265"/>
      <c r="M1265"/>
      <c r="N1265"/>
      <c r="O1265"/>
      <c r="P1265"/>
      <c r="Q1265"/>
    </row>
    <row r="1266" spans="9:17" s="1" customFormat="1">
      <c r="I1266" s="185"/>
      <c r="J1266" s="185"/>
      <c r="K1266" s="185"/>
      <c r="L1266"/>
      <c r="M1266"/>
      <c r="N1266"/>
      <c r="O1266"/>
      <c r="P1266"/>
      <c r="Q1266"/>
    </row>
    <row r="1267" spans="9:17" s="1" customFormat="1">
      <c r="I1267" s="185"/>
      <c r="J1267" s="185"/>
      <c r="K1267" s="185"/>
      <c r="L1267"/>
      <c r="M1267"/>
      <c r="N1267"/>
      <c r="O1267"/>
      <c r="P1267"/>
      <c r="Q1267"/>
    </row>
    <row r="1268" spans="9:17" s="1" customFormat="1">
      <c r="I1268" s="185"/>
      <c r="J1268" s="185"/>
      <c r="K1268" s="185"/>
      <c r="L1268"/>
      <c r="M1268"/>
      <c r="N1268"/>
      <c r="O1268"/>
      <c r="P1268"/>
      <c r="Q1268"/>
    </row>
    <row r="1269" spans="9:17" s="1" customFormat="1">
      <c r="I1269" s="185"/>
      <c r="J1269" s="185"/>
      <c r="K1269" s="185"/>
      <c r="L1269"/>
      <c r="M1269"/>
      <c r="N1269"/>
      <c r="O1269"/>
      <c r="P1269"/>
      <c r="Q1269"/>
    </row>
    <row r="1270" spans="9:17" s="1" customFormat="1">
      <c r="I1270" s="185"/>
      <c r="J1270" s="185"/>
      <c r="K1270" s="185"/>
      <c r="L1270"/>
      <c r="M1270"/>
      <c r="N1270"/>
      <c r="O1270"/>
      <c r="P1270"/>
      <c r="Q1270"/>
    </row>
    <row r="1271" spans="9:17" s="1" customFormat="1">
      <c r="I1271" s="185"/>
      <c r="J1271" s="185"/>
      <c r="K1271" s="185"/>
      <c r="L1271"/>
      <c r="M1271"/>
      <c r="N1271"/>
      <c r="O1271"/>
      <c r="P1271"/>
      <c r="Q1271"/>
    </row>
    <row r="1272" spans="9:17" s="1" customFormat="1">
      <c r="I1272" s="185"/>
      <c r="J1272" s="185"/>
      <c r="K1272" s="185"/>
      <c r="L1272"/>
      <c r="M1272"/>
      <c r="N1272"/>
      <c r="O1272"/>
      <c r="P1272"/>
      <c r="Q1272"/>
    </row>
    <row r="1273" spans="9:17" s="1" customFormat="1">
      <c r="I1273" s="185"/>
      <c r="J1273" s="185"/>
      <c r="K1273" s="185"/>
      <c r="L1273"/>
      <c r="M1273"/>
      <c r="N1273"/>
      <c r="O1273"/>
      <c r="P1273"/>
      <c r="Q1273"/>
    </row>
    <row r="1274" spans="9:17" s="1" customFormat="1">
      <c r="I1274" s="185"/>
      <c r="J1274" s="185"/>
      <c r="K1274" s="185"/>
      <c r="L1274"/>
      <c r="M1274"/>
      <c r="N1274"/>
      <c r="O1274"/>
      <c r="P1274"/>
      <c r="Q1274"/>
    </row>
    <row r="1275" spans="9:17" s="1" customFormat="1">
      <c r="I1275" s="185"/>
      <c r="J1275" s="185"/>
      <c r="K1275" s="185"/>
      <c r="L1275"/>
      <c r="M1275"/>
      <c r="N1275"/>
      <c r="O1275"/>
      <c r="P1275"/>
      <c r="Q1275"/>
    </row>
    <row r="1276" spans="9:17" s="1" customFormat="1">
      <c r="I1276" s="185"/>
      <c r="J1276" s="185"/>
      <c r="K1276" s="185"/>
      <c r="L1276"/>
      <c r="M1276"/>
      <c r="N1276"/>
      <c r="O1276"/>
      <c r="P1276"/>
      <c r="Q1276"/>
    </row>
    <row r="1277" spans="9:17" s="1" customFormat="1">
      <c r="I1277" s="185"/>
      <c r="J1277" s="185"/>
      <c r="K1277" s="185"/>
      <c r="L1277"/>
      <c r="M1277"/>
      <c r="N1277"/>
      <c r="O1277"/>
      <c r="P1277"/>
      <c r="Q1277"/>
    </row>
    <row r="1278" spans="9:17" s="1" customFormat="1">
      <c r="I1278" s="185"/>
      <c r="J1278" s="185"/>
      <c r="K1278" s="185"/>
      <c r="L1278"/>
      <c r="M1278"/>
      <c r="N1278"/>
      <c r="O1278"/>
      <c r="P1278"/>
      <c r="Q1278"/>
    </row>
    <row r="1279" spans="9:17" s="1" customFormat="1">
      <c r="I1279" s="185"/>
      <c r="J1279" s="185"/>
      <c r="K1279" s="185"/>
      <c r="L1279"/>
      <c r="M1279"/>
      <c r="N1279"/>
      <c r="O1279"/>
      <c r="P1279"/>
      <c r="Q1279"/>
    </row>
    <row r="1280" spans="9:17" s="1" customFormat="1">
      <c r="I1280" s="185"/>
      <c r="J1280" s="185"/>
      <c r="K1280" s="185"/>
      <c r="L1280"/>
      <c r="M1280"/>
      <c r="N1280"/>
      <c r="O1280"/>
      <c r="P1280"/>
      <c r="Q1280"/>
    </row>
    <row r="1281" spans="9:17" s="1" customFormat="1">
      <c r="I1281" s="185"/>
      <c r="J1281" s="185"/>
      <c r="K1281" s="185"/>
      <c r="L1281"/>
      <c r="M1281"/>
      <c r="N1281"/>
      <c r="O1281"/>
      <c r="P1281"/>
      <c r="Q1281"/>
    </row>
    <row r="1282" spans="9:17" s="1" customFormat="1">
      <c r="I1282" s="185"/>
      <c r="J1282" s="185"/>
      <c r="K1282" s="185"/>
      <c r="L1282"/>
      <c r="M1282"/>
      <c r="N1282"/>
      <c r="O1282"/>
      <c r="P1282"/>
      <c r="Q1282"/>
    </row>
    <row r="1283" spans="9:17" s="1" customFormat="1">
      <c r="I1283" s="185"/>
      <c r="J1283" s="185"/>
      <c r="K1283" s="185"/>
      <c r="L1283"/>
      <c r="M1283"/>
      <c r="N1283"/>
      <c r="O1283"/>
      <c r="P1283"/>
      <c r="Q1283"/>
    </row>
    <row r="1284" spans="9:17" s="1" customFormat="1">
      <c r="I1284" s="185"/>
      <c r="J1284" s="185"/>
      <c r="K1284" s="185"/>
      <c r="L1284"/>
      <c r="M1284"/>
      <c r="N1284"/>
      <c r="O1284"/>
      <c r="P1284"/>
      <c r="Q1284"/>
    </row>
    <row r="1285" spans="9:17" s="1" customFormat="1">
      <c r="I1285" s="185"/>
      <c r="J1285" s="185"/>
      <c r="K1285" s="185"/>
      <c r="L1285"/>
      <c r="M1285"/>
      <c r="N1285"/>
      <c r="O1285"/>
      <c r="P1285"/>
      <c r="Q1285"/>
    </row>
    <row r="1286" spans="9:17" s="1" customFormat="1">
      <c r="I1286" s="185"/>
      <c r="J1286" s="185"/>
      <c r="K1286" s="185"/>
      <c r="L1286"/>
      <c r="M1286"/>
      <c r="N1286"/>
      <c r="O1286"/>
      <c r="P1286"/>
      <c r="Q1286"/>
    </row>
    <row r="1287" spans="9:17" s="1" customFormat="1">
      <c r="I1287" s="185"/>
      <c r="J1287" s="185"/>
      <c r="K1287" s="185"/>
      <c r="L1287"/>
      <c r="M1287"/>
      <c r="N1287"/>
      <c r="O1287"/>
      <c r="P1287"/>
      <c r="Q1287"/>
    </row>
    <row r="1288" spans="9:17" s="1" customFormat="1">
      <c r="I1288" s="185"/>
      <c r="J1288" s="185"/>
      <c r="K1288" s="185"/>
      <c r="L1288"/>
      <c r="M1288"/>
      <c r="N1288"/>
      <c r="O1288"/>
      <c r="P1288"/>
      <c r="Q1288"/>
    </row>
    <row r="1289" spans="9:17" s="1" customFormat="1">
      <c r="I1289" s="185"/>
      <c r="J1289" s="185"/>
      <c r="K1289" s="185"/>
      <c r="L1289"/>
      <c r="M1289"/>
      <c r="N1289"/>
      <c r="O1289"/>
      <c r="P1289"/>
      <c r="Q1289"/>
    </row>
    <row r="1290" spans="9:17" s="1" customFormat="1">
      <c r="I1290" s="185"/>
      <c r="J1290" s="185"/>
      <c r="K1290" s="185"/>
      <c r="L1290"/>
      <c r="M1290"/>
      <c r="N1290"/>
      <c r="O1290"/>
      <c r="P1290"/>
      <c r="Q1290"/>
    </row>
    <row r="1291" spans="9:17" s="1" customFormat="1">
      <c r="I1291" s="185"/>
      <c r="J1291" s="185"/>
      <c r="K1291" s="185"/>
      <c r="L1291"/>
      <c r="M1291"/>
      <c r="N1291"/>
      <c r="O1291"/>
      <c r="P1291"/>
      <c r="Q1291"/>
    </row>
    <row r="1292" spans="9:17" s="1" customFormat="1">
      <c r="I1292" s="185"/>
      <c r="J1292" s="185"/>
      <c r="K1292" s="185"/>
      <c r="L1292"/>
      <c r="M1292"/>
      <c r="N1292"/>
      <c r="O1292"/>
      <c r="P1292"/>
      <c r="Q1292"/>
    </row>
    <row r="1293" spans="9:17" s="1" customFormat="1">
      <c r="I1293" s="185"/>
      <c r="J1293" s="185"/>
      <c r="K1293" s="185"/>
      <c r="L1293"/>
      <c r="M1293"/>
      <c r="N1293"/>
      <c r="O1293"/>
      <c r="P1293"/>
      <c r="Q1293"/>
    </row>
    <row r="1294" spans="9:17" s="1" customFormat="1">
      <c r="I1294" s="185"/>
      <c r="J1294" s="185"/>
      <c r="K1294" s="185"/>
      <c r="L1294"/>
      <c r="M1294"/>
      <c r="N1294"/>
      <c r="O1294"/>
      <c r="P1294"/>
      <c r="Q1294"/>
    </row>
    <row r="1295" spans="9:17" s="1" customFormat="1">
      <c r="I1295" s="185"/>
      <c r="J1295" s="185"/>
      <c r="K1295" s="185"/>
      <c r="L1295"/>
      <c r="M1295"/>
      <c r="N1295"/>
      <c r="O1295"/>
      <c r="P1295"/>
      <c r="Q1295"/>
    </row>
    <row r="1296" spans="9:17" s="1" customFormat="1">
      <c r="I1296" s="185"/>
      <c r="J1296" s="185"/>
      <c r="K1296" s="185"/>
      <c r="L1296"/>
      <c r="M1296"/>
      <c r="N1296"/>
      <c r="O1296"/>
      <c r="P1296"/>
      <c r="Q1296"/>
    </row>
    <row r="1297" spans="9:17" s="1" customFormat="1">
      <c r="I1297" s="185"/>
      <c r="J1297" s="185"/>
      <c r="K1297" s="185"/>
      <c r="L1297"/>
      <c r="M1297"/>
      <c r="N1297"/>
      <c r="O1297"/>
      <c r="P1297"/>
      <c r="Q1297"/>
    </row>
    <row r="1298" spans="9:17" s="1" customFormat="1">
      <c r="I1298" s="185"/>
      <c r="J1298" s="185"/>
      <c r="K1298" s="185"/>
      <c r="L1298"/>
      <c r="M1298"/>
      <c r="N1298"/>
      <c r="O1298"/>
      <c r="P1298"/>
      <c r="Q1298"/>
    </row>
    <row r="1299" spans="9:17" s="1" customFormat="1">
      <c r="I1299" s="185"/>
      <c r="J1299" s="185"/>
      <c r="K1299" s="185"/>
      <c r="L1299"/>
      <c r="M1299"/>
      <c r="N1299"/>
      <c r="O1299"/>
      <c r="P1299"/>
      <c r="Q1299"/>
    </row>
    <row r="1300" spans="9:17" s="1" customFormat="1">
      <c r="I1300" s="185"/>
      <c r="J1300" s="185"/>
      <c r="K1300" s="185"/>
      <c r="L1300"/>
      <c r="M1300"/>
      <c r="N1300"/>
      <c r="O1300"/>
      <c r="P1300"/>
      <c r="Q1300"/>
    </row>
    <row r="1301" spans="9:17" s="1" customFormat="1">
      <c r="I1301" s="185"/>
      <c r="J1301" s="185"/>
      <c r="K1301" s="185"/>
      <c r="L1301"/>
      <c r="M1301"/>
      <c r="N1301"/>
      <c r="O1301"/>
      <c r="P1301"/>
      <c r="Q1301"/>
    </row>
    <row r="1302" spans="9:17" s="1" customFormat="1">
      <c r="I1302" s="185"/>
      <c r="J1302" s="185"/>
      <c r="K1302" s="185"/>
      <c r="L1302"/>
      <c r="M1302"/>
      <c r="N1302"/>
      <c r="O1302"/>
      <c r="P1302"/>
      <c r="Q1302"/>
    </row>
    <row r="1303" spans="9:17" s="1" customFormat="1">
      <c r="I1303" s="185"/>
      <c r="J1303" s="185"/>
      <c r="K1303" s="185"/>
      <c r="L1303"/>
      <c r="M1303"/>
      <c r="N1303"/>
      <c r="O1303"/>
      <c r="P1303"/>
      <c r="Q1303"/>
    </row>
    <row r="1304" spans="9:17" s="1" customFormat="1">
      <c r="I1304" s="185"/>
      <c r="J1304" s="185"/>
      <c r="K1304" s="185"/>
      <c r="L1304"/>
      <c r="M1304"/>
      <c r="N1304"/>
      <c r="O1304"/>
      <c r="P1304"/>
      <c r="Q1304"/>
    </row>
    <row r="1305" spans="9:17" s="1" customFormat="1">
      <c r="I1305" s="185"/>
      <c r="J1305" s="185"/>
      <c r="K1305" s="185"/>
      <c r="L1305"/>
      <c r="M1305"/>
      <c r="N1305"/>
      <c r="O1305"/>
      <c r="P1305"/>
      <c r="Q1305"/>
    </row>
    <row r="1306" spans="9:17" s="1" customFormat="1">
      <c r="I1306" s="185"/>
      <c r="J1306" s="185"/>
      <c r="K1306" s="185"/>
      <c r="L1306"/>
      <c r="M1306"/>
      <c r="N1306"/>
      <c r="O1306"/>
      <c r="P1306"/>
      <c r="Q1306"/>
    </row>
    <row r="1307" spans="9:17" s="1" customFormat="1">
      <c r="I1307" s="185"/>
      <c r="J1307" s="185"/>
      <c r="K1307" s="185"/>
      <c r="L1307"/>
      <c r="M1307"/>
      <c r="N1307"/>
      <c r="O1307"/>
      <c r="P1307"/>
      <c r="Q1307"/>
    </row>
    <row r="1308" spans="9:17" s="1" customFormat="1">
      <c r="I1308" s="185"/>
      <c r="J1308" s="185"/>
      <c r="K1308" s="185"/>
      <c r="L1308"/>
      <c r="M1308"/>
      <c r="N1308"/>
      <c r="O1308"/>
      <c r="P1308"/>
      <c r="Q1308"/>
    </row>
    <row r="1309" spans="9:17" s="1" customFormat="1">
      <c r="I1309" s="185"/>
      <c r="J1309" s="185"/>
      <c r="K1309" s="185"/>
      <c r="L1309"/>
      <c r="M1309"/>
      <c r="N1309"/>
      <c r="O1309"/>
      <c r="P1309"/>
      <c r="Q1309"/>
    </row>
    <row r="1310" spans="9:17" s="1" customFormat="1">
      <c r="I1310" s="185"/>
      <c r="J1310" s="185"/>
      <c r="K1310" s="185"/>
      <c r="L1310"/>
      <c r="M1310"/>
      <c r="N1310"/>
      <c r="O1310"/>
      <c r="P1310"/>
      <c r="Q1310"/>
    </row>
    <row r="1311" spans="9:17" s="1" customFormat="1">
      <c r="I1311" s="185"/>
      <c r="J1311" s="185"/>
      <c r="K1311" s="185"/>
      <c r="L1311"/>
      <c r="M1311"/>
      <c r="N1311"/>
      <c r="O1311"/>
      <c r="P1311"/>
      <c r="Q1311"/>
    </row>
    <row r="1312" spans="9:17" s="1" customFormat="1">
      <c r="I1312" s="185"/>
      <c r="J1312" s="185"/>
      <c r="K1312" s="185"/>
      <c r="L1312"/>
      <c r="M1312"/>
      <c r="N1312"/>
      <c r="O1312"/>
      <c r="P1312"/>
      <c r="Q1312"/>
    </row>
    <row r="1313" spans="9:17" s="1" customFormat="1">
      <c r="I1313" s="185"/>
      <c r="J1313" s="185"/>
      <c r="K1313" s="185"/>
      <c r="L1313"/>
      <c r="M1313"/>
      <c r="N1313"/>
      <c r="O1313"/>
      <c r="P1313"/>
      <c r="Q1313"/>
    </row>
    <row r="1314" spans="9:17" s="1" customFormat="1">
      <c r="I1314" s="185"/>
      <c r="J1314" s="185"/>
      <c r="K1314" s="185"/>
      <c r="L1314"/>
      <c r="M1314"/>
      <c r="N1314"/>
      <c r="O1314"/>
      <c r="P1314"/>
      <c r="Q1314"/>
    </row>
    <row r="1315" spans="9:17" s="1" customFormat="1">
      <c r="I1315" s="185"/>
      <c r="J1315" s="185"/>
      <c r="K1315" s="185"/>
      <c r="L1315"/>
      <c r="M1315"/>
      <c r="N1315"/>
      <c r="O1315"/>
      <c r="P1315"/>
      <c r="Q1315"/>
    </row>
    <row r="1316" spans="9:17" s="1" customFormat="1">
      <c r="I1316" s="185"/>
      <c r="J1316" s="185"/>
      <c r="K1316" s="185"/>
      <c r="L1316"/>
      <c r="M1316"/>
      <c r="N1316"/>
      <c r="O1316"/>
      <c r="P1316"/>
      <c r="Q1316"/>
    </row>
    <row r="1317" spans="9:17" s="1" customFormat="1">
      <c r="I1317" s="185"/>
      <c r="J1317" s="185"/>
      <c r="K1317" s="185"/>
      <c r="L1317"/>
      <c r="M1317"/>
      <c r="N1317"/>
      <c r="O1317"/>
      <c r="P1317"/>
      <c r="Q1317"/>
    </row>
    <row r="1318" spans="9:17" s="1" customFormat="1">
      <c r="I1318" s="185"/>
      <c r="J1318" s="185"/>
      <c r="K1318" s="185"/>
      <c r="L1318"/>
      <c r="M1318"/>
      <c r="N1318"/>
      <c r="O1318"/>
      <c r="P1318"/>
      <c r="Q1318"/>
    </row>
    <row r="1319" spans="9:17" s="1" customFormat="1">
      <c r="I1319" s="185"/>
      <c r="J1319" s="185"/>
      <c r="K1319" s="185"/>
      <c r="L1319"/>
      <c r="M1319"/>
      <c r="N1319"/>
      <c r="O1319"/>
      <c r="P1319"/>
      <c r="Q1319"/>
    </row>
    <row r="1320" spans="9:17" s="1" customFormat="1">
      <c r="I1320" s="185"/>
      <c r="J1320" s="185"/>
      <c r="K1320" s="185"/>
      <c r="L1320"/>
      <c r="M1320"/>
      <c r="N1320"/>
      <c r="O1320"/>
      <c r="P1320"/>
      <c r="Q1320"/>
    </row>
    <row r="1321" spans="9:17" s="1" customFormat="1">
      <c r="I1321" s="185"/>
      <c r="J1321" s="185"/>
      <c r="K1321" s="185"/>
      <c r="L1321"/>
      <c r="M1321"/>
      <c r="N1321"/>
      <c r="O1321"/>
      <c r="P1321"/>
      <c r="Q1321"/>
    </row>
    <row r="1322" spans="9:17" s="1" customFormat="1">
      <c r="I1322" s="185"/>
      <c r="J1322" s="185"/>
      <c r="K1322" s="185"/>
      <c r="L1322"/>
      <c r="M1322"/>
      <c r="N1322"/>
      <c r="O1322"/>
      <c r="P1322"/>
      <c r="Q1322"/>
    </row>
    <row r="1323" spans="9:17" s="1" customFormat="1">
      <c r="I1323" s="185"/>
      <c r="J1323" s="185"/>
      <c r="K1323" s="185"/>
      <c r="L1323"/>
      <c r="M1323"/>
      <c r="N1323"/>
      <c r="O1323"/>
      <c r="P1323"/>
      <c r="Q1323"/>
    </row>
    <row r="1324" spans="9:17" s="1" customFormat="1">
      <c r="I1324" s="185"/>
      <c r="J1324" s="185"/>
      <c r="K1324" s="185"/>
      <c r="L1324"/>
      <c r="M1324"/>
      <c r="N1324"/>
      <c r="O1324"/>
      <c r="P1324"/>
      <c r="Q1324"/>
    </row>
    <row r="1325" spans="9:17" s="1" customFormat="1">
      <c r="I1325" s="185"/>
      <c r="J1325" s="185"/>
      <c r="K1325" s="185"/>
      <c r="L1325"/>
      <c r="M1325"/>
      <c r="N1325"/>
      <c r="O1325"/>
      <c r="P1325"/>
      <c r="Q1325"/>
    </row>
    <row r="1326" spans="9:17" s="1" customFormat="1">
      <c r="I1326" s="185"/>
      <c r="J1326" s="185"/>
      <c r="K1326" s="185"/>
      <c r="L1326"/>
      <c r="M1326"/>
      <c r="N1326"/>
      <c r="O1326"/>
      <c r="P1326"/>
      <c r="Q1326"/>
    </row>
    <row r="1327" spans="9:17" s="1" customFormat="1">
      <c r="I1327" s="185"/>
      <c r="J1327" s="185"/>
      <c r="K1327" s="185"/>
      <c r="L1327"/>
      <c r="M1327"/>
      <c r="N1327"/>
      <c r="O1327"/>
      <c r="P1327"/>
      <c r="Q1327"/>
    </row>
    <row r="1328" spans="9:17" s="1" customFormat="1">
      <c r="I1328" s="185"/>
      <c r="J1328" s="185"/>
      <c r="K1328" s="185"/>
      <c r="L1328"/>
      <c r="M1328"/>
      <c r="N1328"/>
      <c r="O1328"/>
      <c r="P1328"/>
      <c r="Q1328"/>
    </row>
    <row r="1329" spans="9:17" s="1" customFormat="1">
      <c r="I1329" s="185"/>
      <c r="J1329" s="185"/>
      <c r="K1329" s="185"/>
      <c r="L1329"/>
      <c r="M1329"/>
      <c r="N1329"/>
      <c r="O1329"/>
      <c r="P1329"/>
      <c r="Q1329"/>
    </row>
    <row r="1330" spans="9:17" s="1" customFormat="1">
      <c r="I1330" s="185"/>
      <c r="J1330" s="185"/>
      <c r="K1330" s="185"/>
      <c r="L1330"/>
      <c r="M1330"/>
      <c r="N1330"/>
      <c r="O1330"/>
      <c r="P1330"/>
      <c r="Q1330"/>
    </row>
    <row r="1331" spans="9:17" s="1" customFormat="1">
      <c r="I1331" s="185"/>
      <c r="J1331" s="185"/>
      <c r="K1331" s="185"/>
      <c r="L1331"/>
      <c r="M1331"/>
      <c r="N1331"/>
      <c r="O1331"/>
      <c r="P1331"/>
      <c r="Q1331"/>
    </row>
    <row r="1332" spans="9:17" s="1" customFormat="1">
      <c r="I1332" s="185"/>
      <c r="J1332" s="185"/>
      <c r="K1332" s="185"/>
      <c r="L1332"/>
      <c r="M1332"/>
      <c r="N1332"/>
      <c r="O1332"/>
      <c r="P1332"/>
      <c r="Q1332"/>
    </row>
    <row r="1333" spans="9:17" s="1" customFormat="1">
      <c r="I1333" s="185"/>
      <c r="J1333" s="185"/>
      <c r="K1333" s="185"/>
      <c r="L1333"/>
      <c r="M1333"/>
      <c r="N1333"/>
      <c r="O1333"/>
      <c r="P1333"/>
      <c r="Q1333"/>
    </row>
    <row r="1334" spans="9:17" s="1" customFormat="1">
      <c r="I1334" s="185"/>
      <c r="J1334" s="185"/>
      <c r="K1334" s="185"/>
      <c r="L1334"/>
      <c r="M1334"/>
      <c r="N1334"/>
      <c r="O1334"/>
      <c r="P1334"/>
      <c r="Q1334"/>
    </row>
    <row r="1335" spans="9:17" s="1" customFormat="1">
      <c r="I1335" s="185"/>
      <c r="J1335" s="185"/>
      <c r="K1335" s="185"/>
      <c r="L1335"/>
      <c r="M1335"/>
      <c r="N1335"/>
      <c r="O1335"/>
      <c r="P1335"/>
      <c r="Q1335"/>
    </row>
    <row r="1336" spans="9:17" s="1" customFormat="1">
      <c r="I1336" s="185"/>
      <c r="J1336" s="185"/>
      <c r="K1336" s="185"/>
      <c r="L1336"/>
      <c r="M1336"/>
      <c r="N1336"/>
      <c r="O1336"/>
      <c r="P1336"/>
      <c r="Q1336"/>
    </row>
    <row r="1337" spans="9:17" s="1" customFormat="1">
      <c r="I1337" s="185"/>
      <c r="J1337" s="185"/>
      <c r="K1337" s="185"/>
      <c r="L1337"/>
      <c r="M1337"/>
      <c r="N1337"/>
      <c r="O1337"/>
      <c r="P1337"/>
      <c r="Q1337"/>
    </row>
    <row r="1338" spans="9:17" s="1" customFormat="1">
      <c r="I1338" s="185"/>
      <c r="J1338" s="185"/>
      <c r="K1338" s="185"/>
      <c r="L1338"/>
      <c r="M1338"/>
      <c r="N1338"/>
      <c r="O1338"/>
      <c r="P1338"/>
      <c r="Q1338"/>
    </row>
    <row r="1339" spans="9:17" s="1" customFormat="1">
      <c r="I1339" s="185"/>
      <c r="J1339" s="185"/>
      <c r="K1339" s="185"/>
      <c r="L1339"/>
      <c r="M1339"/>
      <c r="N1339"/>
      <c r="O1339"/>
      <c r="P1339"/>
      <c r="Q1339"/>
    </row>
    <row r="1340" spans="9:17" s="1" customFormat="1">
      <c r="I1340" s="185"/>
      <c r="J1340" s="185"/>
      <c r="K1340" s="185"/>
      <c r="L1340"/>
      <c r="M1340"/>
      <c r="N1340"/>
      <c r="O1340"/>
      <c r="P1340"/>
      <c r="Q1340"/>
    </row>
    <row r="1341" spans="9:17" s="1" customFormat="1">
      <c r="I1341" s="185"/>
      <c r="J1341" s="185"/>
      <c r="K1341" s="185"/>
      <c r="L1341"/>
      <c r="M1341"/>
      <c r="N1341"/>
      <c r="O1341"/>
      <c r="P1341"/>
      <c r="Q1341"/>
    </row>
    <row r="1342" spans="9:17" s="1" customFormat="1">
      <c r="I1342" s="185"/>
      <c r="J1342" s="185"/>
      <c r="K1342" s="185"/>
      <c r="L1342"/>
      <c r="M1342"/>
      <c r="N1342"/>
      <c r="O1342"/>
      <c r="P1342"/>
      <c r="Q1342"/>
    </row>
    <row r="1343" spans="9:17" s="1" customFormat="1">
      <c r="I1343" s="185"/>
      <c r="J1343" s="185"/>
      <c r="K1343" s="185"/>
      <c r="L1343"/>
      <c r="M1343"/>
      <c r="N1343"/>
      <c r="O1343"/>
      <c r="P1343"/>
      <c r="Q1343"/>
    </row>
    <row r="1344" spans="9:17" s="1" customFormat="1">
      <c r="I1344" s="185"/>
      <c r="J1344" s="185"/>
      <c r="K1344" s="185"/>
      <c r="L1344"/>
      <c r="M1344"/>
      <c r="N1344"/>
      <c r="O1344"/>
      <c r="P1344"/>
      <c r="Q1344"/>
    </row>
    <row r="1345" spans="9:17" s="1" customFormat="1">
      <c r="I1345" s="185"/>
      <c r="J1345" s="185"/>
      <c r="K1345" s="185"/>
      <c r="L1345"/>
      <c r="M1345"/>
      <c r="N1345"/>
      <c r="O1345"/>
      <c r="P1345"/>
      <c r="Q1345"/>
    </row>
    <row r="1346" spans="9:17" s="1" customFormat="1">
      <c r="I1346" s="185"/>
      <c r="J1346" s="185"/>
      <c r="K1346" s="185"/>
      <c r="L1346"/>
      <c r="M1346"/>
      <c r="N1346"/>
      <c r="O1346"/>
      <c r="P1346"/>
      <c r="Q1346"/>
    </row>
    <row r="1347" spans="9:17" s="1" customFormat="1">
      <c r="I1347" s="185"/>
      <c r="J1347" s="185"/>
      <c r="K1347" s="185"/>
      <c r="L1347"/>
      <c r="M1347"/>
      <c r="N1347"/>
      <c r="O1347"/>
      <c r="P1347"/>
      <c r="Q1347"/>
    </row>
    <row r="1348" spans="9:17" s="1" customFormat="1">
      <c r="I1348" s="185"/>
      <c r="J1348" s="185"/>
      <c r="K1348" s="185"/>
      <c r="L1348"/>
      <c r="M1348"/>
      <c r="N1348"/>
      <c r="O1348"/>
      <c r="P1348"/>
      <c r="Q1348"/>
    </row>
    <row r="1349" spans="9:17" s="1" customFormat="1">
      <c r="I1349" s="185"/>
      <c r="J1349" s="185"/>
      <c r="K1349" s="185"/>
      <c r="L1349"/>
      <c r="M1349"/>
      <c r="N1349"/>
      <c r="O1349"/>
      <c r="P1349"/>
      <c r="Q1349"/>
    </row>
    <row r="1350" spans="9:17" s="1" customFormat="1">
      <c r="I1350" s="185"/>
      <c r="J1350" s="185"/>
      <c r="K1350" s="185"/>
      <c r="L1350"/>
      <c r="M1350"/>
      <c r="N1350"/>
      <c r="O1350"/>
      <c r="P1350"/>
      <c r="Q1350"/>
    </row>
    <row r="1351" spans="9:17" s="1" customFormat="1">
      <c r="I1351" s="185"/>
      <c r="J1351" s="185"/>
      <c r="K1351" s="185"/>
      <c r="L1351"/>
      <c r="M1351"/>
      <c r="N1351"/>
      <c r="O1351"/>
      <c r="P1351"/>
      <c r="Q1351"/>
    </row>
    <row r="1352" spans="9:17" s="1" customFormat="1">
      <c r="I1352" s="185"/>
      <c r="J1352" s="185"/>
      <c r="K1352" s="185"/>
      <c r="L1352"/>
      <c r="M1352"/>
      <c r="N1352"/>
      <c r="O1352"/>
      <c r="P1352"/>
      <c r="Q1352"/>
    </row>
    <row r="1353" spans="9:17" s="1" customFormat="1">
      <c r="I1353" s="185"/>
      <c r="J1353" s="185"/>
      <c r="K1353" s="185"/>
      <c r="L1353"/>
      <c r="M1353"/>
      <c r="N1353"/>
      <c r="O1353"/>
      <c r="P1353"/>
      <c r="Q1353"/>
    </row>
    <row r="1354" spans="9:17" s="1" customFormat="1">
      <c r="I1354" s="185"/>
      <c r="J1354" s="185"/>
      <c r="K1354" s="185"/>
      <c r="L1354"/>
      <c r="M1354"/>
      <c r="N1354"/>
      <c r="O1354"/>
      <c r="P1354"/>
      <c r="Q1354"/>
    </row>
    <row r="1355" spans="9:17" s="1" customFormat="1">
      <c r="I1355" s="185"/>
      <c r="J1355" s="185"/>
      <c r="K1355" s="185"/>
      <c r="L1355"/>
      <c r="M1355"/>
      <c r="N1355"/>
      <c r="O1355"/>
      <c r="P1355"/>
      <c r="Q1355"/>
    </row>
    <row r="1356" spans="9:17" s="1" customFormat="1">
      <c r="I1356" s="185"/>
      <c r="J1356" s="185"/>
      <c r="K1356" s="185"/>
      <c r="L1356"/>
      <c r="M1356"/>
      <c r="N1356"/>
      <c r="O1356"/>
      <c r="P1356"/>
      <c r="Q1356"/>
    </row>
    <row r="1357" spans="9:17" s="1" customFormat="1">
      <c r="I1357" s="185"/>
      <c r="J1357" s="185"/>
      <c r="K1357" s="185"/>
      <c r="L1357"/>
      <c r="M1357"/>
      <c r="N1357"/>
      <c r="O1357"/>
      <c r="P1357"/>
      <c r="Q1357"/>
    </row>
    <row r="1358" spans="9:17" s="1" customFormat="1">
      <c r="I1358" s="185"/>
      <c r="J1358" s="185"/>
      <c r="K1358" s="185"/>
      <c r="L1358"/>
      <c r="M1358"/>
      <c r="N1358"/>
      <c r="O1358"/>
      <c r="P1358"/>
      <c r="Q1358"/>
    </row>
    <row r="1359" spans="9:17" s="1" customFormat="1">
      <c r="I1359" s="185"/>
      <c r="J1359" s="185"/>
      <c r="K1359" s="185"/>
      <c r="L1359"/>
      <c r="M1359"/>
      <c r="N1359"/>
      <c r="O1359"/>
      <c r="P1359"/>
      <c r="Q1359"/>
    </row>
    <row r="1360" spans="9:17" s="1" customFormat="1">
      <c r="I1360" s="185"/>
      <c r="J1360" s="185"/>
      <c r="K1360" s="185"/>
      <c r="L1360"/>
      <c r="M1360"/>
      <c r="N1360"/>
      <c r="O1360"/>
      <c r="P1360"/>
      <c r="Q1360"/>
    </row>
    <row r="1361" spans="9:17" s="1" customFormat="1">
      <c r="I1361" s="185"/>
      <c r="J1361" s="185"/>
      <c r="K1361" s="185"/>
      <c r="L1361"/>
      <c r="M1361"/>
      <c r="N1361"/>
      <c r="O1361"/>
      <c r="P1361"/>
      <c r="Q1361"/>
    </row>
    <row r="1362" spans="9:17" s="1" customFormat="1">
      <c r="I1362" s="185"/>
      <c r="J1362" s="185"/>
      <c r="K1362" s="185"/>
      <c r="L1362"/>
      <c r="M1362"/>
      <c r="N1362"/>
      <c r="O1362"/>
      <c r="P1362"/>
      <c r="Q1362"/>
    </row>
    <row r="1363" spans="9:17" s="1" customFormat="1">
      <c r="I1363" s="185"/>
      <c r="J1363" s="185"/>
      <c r="K1363" s="185"/>
      <c r="L1363"/>
      <c r="M1363"/>
      <c r="N1363"/>
      <c r="O1363"/>
      <c r="P1363"/>
      <c r="Q1363"/>
    </row>
    <row r="1364" spans="9:17" s="1" customFormat="1">
      <c r="I1364" s="185"/>
      <c r="J1364" s="185"/>
      <c r="K1364" s="185"/>
      <c r="L1364"/>
      <c r="M1364"/>
      <c r="N1364"/>
      <c r="O1364"/>
      <c r="P1364"/>
      <c r="Q1364"/>
    </row>
    <row r="1365" spans="9:17" s="1" customFormat="1">
      <c r="I1365" s="185"/>
      <c r="J1365" s="185"/>
      <c r="K1365" s="185"/>
      <c r="L1365"/>
      <c r="M1365"/>
      <c r="N1365"/>
      <c r="O1365"/>
      <c r="P1365"/>
      <c r="Q1365"/>
    </row>
    <row r="1366" spans="9:17" s="1" customFormat="1">
      <c r="I1366" s="185"/>
      <c r="J1366" s="185"/>
      <c r="K1366" s="185"/>
      <c r="L1366"/>
      <c r="M1366"/>
      <c r="N1366"/>
      <c r="O1366"/>
      <c r="P1366"/>
      <c r="Q1366"/>
    </row>
    <row r="1367" spans="9:17" s="1" customFormat="1">
      <c r="I1367" s="185"/>
      <c r="J1367" s="185"/>
      <c r="K1367" s="185"/>
      <c r="L1367"/>
      <c r="M1367"/>
      <c r="N1367"/>
      <c r="O1367"/>
      <c r="P1367"/>
      <c r="Q1367"/>
    </row>
    <row r="1368" spans="9:17" s="1" customFormat="1">
      <c r="I1368" s="185"/>
      <c r="J1368" s="185"/>
      <c r="K1368" s="185"/>
      <c r="L1368"/>
      <c r="M1368"/>
      <c r="N1368"/>
      <c r="O1368"/>
      <c r="P1368"/>
      <c r="Q1368"/>
    </row>
    <row r="1369" spans="9:17" s="1" customFormat="1">
      <c r="I1369" s="185"/>
      <c r="J1369" s="185"/>
      <c r="K1369" s="185"/>
      <c r="L1369"/>
      <c r="M1369"/>
      <c r="N1369"/>
      <c r="O1369"/>
      <c r="P1369"/>
      <c r="Q1369"/>
    </row>
    <row r="1370" spans="9:17" s="1" customFormat="1">
      <c r="I1370" s="185"/>
      <c r="J1370" s="185"/>
      <c r="K1370" s="185"/>
      <c r="L1370"/>
      <c r="M1370"/>
      <c r="N1370"/>
      <c r="O1370"/>
      <c r="P1370"/>
      <c r="Q1370"/>
    </row>
    <row r="1371" spans="9:17" s="1" customFormat="1">
      <c r="I1371" s="185"/>
      <c r="J1371" s="185"/>
      <c r="K1371" s="185"/>
      <c r="L1371"/>
      <c r="M1371"/>
      <c r="N1371"/>
      <c r="O1371"/>
      <c r="P1371"/>
      <c r="Q1371"/>
    </row>
    <row r="1372" spans="9:17" s="1" customFormat="1">
      <c r="I1372" s="185"/>
      <c r="J1372" s="185"/>
      <c r="K1372" s="185"/>
      <c r="L1372"/>
      <c r="M1372"/>
      <c r="N1372"/>
      <c r="O1372"/>
      <c r="P1372"/>
      <c r="Q1372"/>
    </row>
    <row r="1373" spans="9:17" s="1" customFormat="1">
      <c r="I1373" s="185"/>
      <c r="J1373" s="185"/>
      <c r="K1373" s="185"/>
      <c r="L1373"/>
      <c r="M1373"/>
      <c r="N1373"/>
      <c r="O1373"/>
      <c r="P1373"/>
      <c r="Q1373"/>
    </row>
    <row r="1374" spans="9:17" s="1" customFormat="1">
      <c r="I1374" s="185"/>
      <c r="J1374" s="185"/>
      <c r="K1374" s="185"/>
      <c r="L1374"/>
      <c r="M1374"/>
      <c r="N1374"/>
      <c r="O1374"/>
      <c r="P1374"/>
      <c r="Q1374"/>
    </row>
    <row r="1375" spans="9:17" s="1" customFormat="1">
      <c r="I1375" s="185"/>
      <c r="J1375" s="185"/>
      <c r="K1375" s="185"/>
      <c r="L1375"/>
      <c r="M1375"/>
      <c r="N1375"/>
      <c r="O1375"/>
      <c r="P1375"/>
      <c r="Q1375"/>
    </row>
    <row r="1376" spans="9:17" s="1" customFormat="1">
      <c r="I1376" s="185"/>
      <c r="J1376" s="185"/>
      <c r="K1376" s="185"/>
      <c r="L1376"/>
      <c r="M1376"/>
      <c r="N1376"/>
      <c r="O1376"/>
      <c r="P1376"/>
      <c r="Q1376"/>
    </row>
    <row r="1377" spans="9:17" s="1" customFormat="1">
      <c r="I1377" s="185"/>
      <c r="J1377" s="185"/>
      <c r="K1377" s="185"/>
      <c r="L1377"/>
      <c r="M1377"/>
      <c r="N1377"/>
      <c r="O1377"/>
      <c r="P1377"/>
      <c r="Q1377"/>
    </row>
    <row r="1378" spans="9:17" s="1" customFormat="1">
      <c r="I1378" s="185"/>
      <c r="J1378" s="185"/>
      <c r="K1378" s="185"/>
      <c r="L1378"/>
      <c r="M1378"/>
      <c r="N1378"/>
      <c r="O1378"/>
      <c r="P1378"/>
      <c r="Q1378"/>
    </row>
    <row r="1379" spans="9:17" s="1" customFormat="1">
      <c r="I1379" s="185"/>
      <c r="J1379" s="185"/>
      <c r="K1379" s="185"/>
      <c r="L1379"/>
      <c r="M1379"/>
      <c r="N1379"/>
      <c r="O1379"/>
      <c r="P1379"/>
      <c r="Q1379"/>
    </row>
    <row r="1380" spans="9:17" s="1" customFormat="1">
      <c r="I1380" s="185"/>
      <c r="J1380" s="185"/>
      <c r="K1380" s="185"/>
      <c r="L1380"/>
      <c r="M1380"/>
      <c r="N1380"/>
      <c r="O1380"/>
      <c r="P1380"/>
      <c r="Q1380"/>
    </row>
    <row r="1381" spans="9:17" s="1" customFormat="1">
      <c r="I1381" s="185"/>
      <c r="J1381" s="185"/>
      <c r="K1381" s="185"/>
      <c r="L1381"/>
      <c r="M1381"/>
      <c r="N1381"/>
      <c r="O1381"/>
      <c r="P1381"/>
      <c r="Q1381"/>
    </row>
    <row r="1382" spans="9:17" s="1" customFormat="1">
      <c r="I1382" s="185"/>
      <c r="J1382" s="185"/>
      <c r="K1382" s="185"/>
      <c r="L1382"/>
      <c r="M1382"/>
      <c r="N1382"/>
      <c r="O1382"/>
      <c r="P1382"/>
      <c r="Q1382"/>
    </row>
    <row r="1383" spans="9:17" s="1" customFormat="1">
      <c r="I1383" s="185"/>
      <c r="J1383" s="185"/>
      <c r="K1383" s="185"/>
      <c r="L1383"/>
      <c r="M1383"/>
      <c r="N1383"/>
      <c r="O1383"/>
      <c r="P1383"/>
      <c r="Q1383"/>
    </row>
    <row r="1384" spans="9:17" s="1" customFormat="1">
      <c r="I1384" s="185"/>
      <c r="J1384" s="185"/>
      <c r="K1384" s="185"/>
      <c r="L1384"/>
      <c r="M1384"/>
      <c r="N1384"/>
      <c r="O1384"/>
      <c r="P1384"/>
      <c r="Q1384"/>
    </row>
    <row r="1385" spans="9:17" s="1" customFormat="1">
      <c r="I1385" s="185"/>
      <c r="J1385" s="185"/>
      <c r="K1385" s="185"/>
      <c r="L1385"/>
      <c r="M1385"/>
      <c r="N1385"/>
      <c r="O1385"/>
      <c r="P1385"/>
      <c r="Q1385"/>
    </row>
    <row r="1386" spans="9:17" s="1" customFormat="1">
      <c r="I1386" s="185"/>
      <c r="J1386" s="185"/>
      <c r="K1386" s="185"/>
      <c r="L1386"/>
      <c r="M1386"/>
      <c r="N1386"/>
      <c r="O1386"/>
      <c r="P1386"/>
      <c r="Q1386"/>
    </row>
    <row r="1387" spans="9:17" s="1" customFormat="1">
      <c r="I1387" s="185"/>
      <c r="J1387" s="185"/>
      <c r="K1387" s="185"/>
      <c r="L1387"/>
      <c r="M1387"/>
      <c r="N1387"/>
      <c r="O1387"/>
      <c r="P1387"/>
      <c r="Q1387"/>
    </row>
    <row r="1388" spans="9:17" s="1" customFormat="1">
      <c r="I1388" s="185"/>
      <c r="J1388" s="185"/>
      <c r="K1388" s="185"/>
      <c r="L1388"/>
      <c r="M1388"/>
      <c r="N1388"/>
      <c r="O1388"/>
      <c r="P1388"/>
      <c r="Q1388"/>
    </row>
    <row r="1389" spans="9:17" s="1" customFormat="1">
      <c r="I1389" s="185"/>
      <c r="J1389" s="185"/>
      <c r="K1389" s="185"/>
      <c r="L1389"/>
      <c r="M1389"/>
      <c r="N1389"/>
      <c r="O1389"/>
      <c r="P1389"/>
      <c r="Q1389"/>
    </row>
    <row r="1390" spans="9:17" s="1" customFormat="1">
      <c r="I1390" s="185"/>
      <c r="J1390" s="185"/>
      <c r="K1390" s="185"/>
      <c r="L1390"/>
      <c r="M1390"/>
      <c r="N1390"/>
      <c r="O1390"/>
      <c r="P1390"/>
      <c r="Q1390"/>
    </row>
    <row r="1391" spans="9:17" s="1" customFormat="1">
      <c r="I1391" s="185"/>
      <c r="J1391" s="185"/>
      <c r="K1391" s="185"/>
      <c r="L1391"/>
      <c r="M1391"/>
      <c r="N1391"/>
      <c r="O1391"/>
      <c r="P1391"/>
      <c r="Q1391"/>
    </row>
    <row r="1392" spans="9:17" s="1" customFormat="1">
      <c r="I1392" s="185"/>
      <c r="J1392" s="185"/>
      <c r="K1392" s="185"/>
      <c r="L1392"/>
      <c r="M1392"/>
      <c r="N1392"/>
      <c r="O1392"/>
      <c r="P1392"/>
      <c r="Q1392"/>
    </row>
    <row r="1393" spans="9:17" s="1" customFormat="1">
      <c r="I1393" s="185"/>
      <c r="J1393" s="185"/>
      <c r="K1393" s="185"/>
      <c r="L1393"/>
      <c r="M1393"/>
      <c r="N1393"/>
      <c r="O1393"/>
      <c r="P1393"/>
      <c r="Q1393"/>
    </row>
    <row r="1394" spans="9:17" s="1" customFormat="1">
      <c r="I1394" s="185"/>
      <c r="J1394" s="185"/>
      <c r="K1394" s="185"/>
      <c r="L1394"/>
      <c r="M1394"/>
      <c r="N1394"/>
      <c r="O1394"/>
      <c r="P1394"/>
      <c r="Q1394"/>
    </row>
    <row r="1395" spans="9:17" s="1" customFormat="1">
      <c r="I1395" s="185"/>
      <c r="J1395" s="185"/>
      <c r="K1395" s="185"/>
      <c r="L1395"/>
      <c r="M1395"/>
      <c r="N1395"/>
      <c r="O1395"/>
      <c r="P1395"/>
      <c r="Q1395"/>
    </row>
    <row r="1396" spans="9:17" s="1" customFormat="1">
      <c r="I1396" s="185"/>
      <c r="J1396" s="185"/>
      <c r="K1396" s="185"/>
      <c r="L1396"/>
      <c r="M1396"/>
      <c r="N1396"/>
      <c r="O1396"/>
      <c r="P1396"/>
      <c r="Q1396"/>
    </row>
    <row r="1397" spans="9:17" s="1" customFormat="1">
      <c r="I1397" s="185"/>
      <c r="J1397" s="185"/>
      <c r="K1397" s="185"/>
      <c r="L1397"/>
      <c r="M1397"/>
      <c r="N1397"/>
      <c r="O1397"/>
      <c r="P1397"/>
      <c r="Q1397"/>
    </row>
    <row r="1398" spans="9:17" s="1" customFormat="1">
      <c r="I1398" s="185"/>
      <c r="J1398" s="185"/>
      <c r="K1398" s="185"/>
      <c r="L1398"/>
      <c r="M1398"/>
      <c r="N1398"/>
      <c r="O1398"/>
      <c r="P1398"/>
      <c r="Q1398"/>
    </row>
    <row r="1399" spans="9:17" s="1" customFormat="1">
      <c r="I1399" s="185"/>
      <c r="J1399" s="185"/>
      <c r="K1399" s="185"/>
      <c r="L1399"/>
      <c r="M1399"/>
      <c r="N1399"/>
      <c r="O1399"/>
      <c r="P1399"/>
      <c r="Q1399"/>
    </row>
    <row r="1400" spans="9:17" s="1" customFormat="1">
      <c r="I1400" s="185"/>
      <c r="J1400" s="185"/>
      <c r="K1400" s="185"/>
      <c r="L1400"/>
      <c r="M1400"/>
      <c r="N1400"/>
      <c r="O1400"/>
      <c r="P1400"/>
      <c r="Q1400"/>
    </row>
    <row r="1401" spans="9:17" s="1" customFormat="1">
      <c r="I1401" s="185"/>
      <c r="J1401" s="185"/>
      <c r="K1401" s="185"/>
      <c r="L1401"/>
      <c r="M1401"/>
      <c r="N1401"/>
      <c r="O1401"/>
      <c r="P1401"/>
      <c r="Q1401"/>
    </row>
    <row r="1402" spans="9:17" s="1" customFormat="1">
      <c r="I1402" s="185"/>
      <c r="J1402" s="185"/>
      <c r="K1402" s="185"/>
      <c r="L1402"/>
      <c r="M1402"/>
      <c r="N1402"/>
      <c r="O1402"/>
      <c r="P1402"/>
      <c r="Q1402"/>
    </row>
    <row r="1403" spans="9:17" s="1" customFormat="1">
      <c r="I1403" s="185"/>
      <c r="J1403" s="185"/>
      <c r="K1403" s="185"/>
      <c r="L1403"/>
      <c r="M1403"/>
      <c r="N1403"/>
      <c r="O1403"/>
      <c r="P1403"/>
      <c r="Q1403"/>
    </row>
    <row r="1404" spans="9:17" s="1" customFormat="1">
      <c r="I1404" s="185"/>
      <c r="J1404" s="185"/>
      <c r="K1404" s="185"/>
      <c r="L1404"/>
      <c r="M1404"/>
      <c r="N1404"/>
      <c r="O1404"/>
      <c r="P1404"/>
      <c r="Q1404"/>
    </row>
    <row r="1405" spans="9:17" s="1" customFormat="1">
      <c r="I1405" s="185"/>
      <c r="J1405" s="185"/>
      <c r="K1405" s="185"/>
      <c r="L1405"/>
      <c r="M1405"/>
      <c r="N1405"/>
      <c r="O1405"/>
      <c r="P1405"/>
      <c r="Q1405"/>
    </row>
    <row r="1406" spans="9:17" s="1" customFormat="1">
      <c r="I1406" s="185"/>
      <c r="J1406" s="185"/>
      <c r="K1406" s="185"/>
      <c r="L1406"/>
      <c r="M1406"/>
      <c r="N1406"/>
      <c r="O1406"/>
      <c r="P1406"/>
      <c r="Q1406"/>
    </row>
    <row r="1407" spans="9:17" s="1" customFormat="1">
      <c r="I1407" s="185"/>
      <c r="J1407" s="185"/>
      <c r="K1407" s="185"/>
      <c r="L1407"/>
      <c r="M1407"/>
      <c r="N1407"/>
      <c r="O1407"/>
      <c r="P1407"/>
      <c r="Q1407"/>
    </row>
    <row r="1408" spans="9:17" s="1" customFormat="1">
      <c r="I1408" s="185"/>
      <c r="J1408" s="185"/>
      <c r="K1408" s="185"/>
      <c r="L1408"/>
      <c r="M1408"/>
      <c r="N1408"/>
      <c r="O1408"/>
      <c r="P1408"/>
      <c r="Q1408"/>
    </row>
    <row r="1409" spans="9:17" s="1" customFormat="1">
      <c r="I1409" s="185"/>
      <c r="J1409" s="185"/>
      <c r="K1409" s="185"/>
      <c r="L1409"/>
      <c r="M1409"/>
      <c r="N1409"/>
      <c r="O1409"/>
      <c r="P1409"/>
      <c r="Q1409"/>
    </row>
    <row r="1410" spans="9:17" s="1" customFormat="1">
      <c r="I1410" s="185"/>
      <c r="J1410" s="185"/>
      <c r="K1410" s="185"/>
      <c r="L1410"/>
      <c r="M1410"/>
      <c r="N1410"/>
      <c r="O1410"/>
      <c r="P1410"/>
      <c r="Q1410"/>
    </row>
    <row r="1411" spans="9:17" s="1" customFormat="1">
      <c r="I1411" s="185"/>
      <c r="J1411" s="185"/>
      <c r="K1411" s="185"/>
      <c r="L1411"/>
      <c r="M1411"/>
      <c r="N1411"/>
      <c r="O1411"/>
      <c r="P1411"/>
      <c r="Q1411"/>
    </row>
    <row r="1412" spans="9:17" s="1" customFormat="1">
      <c r="I1412" s="185"/>
      <c r="J1412" s="185"/>
      <c r="K1412" s="185"/>
      <c r="L1412"/>
      <c r="M1412"/>
      <c r="N1412"/>
      <c r="O1412"/>
      <c r="P1412"/>
      <c r="Q1412"/>
    </row>
    <row r="1413" spans="9:17" s="1" customFormat="1">
      <c r="I1413" s="185"/>
      <c r="J1413" s="185"/>
      <c r="K1413" s="185"/>
      <c r="L1413"/>
      <c r="M1413"/>
      <c r="N1413"/>
      <c r="O1413"/>
      <c r="P1413"/>
      <c r="Q1413"/>
    </row>
    <row r="1414" spans="9:17" s="1" customFormat="1">
      <c r="I1414" s="185"/>
      <c r="J1414" s="185"/>
      <c r="K1414" s="185"/>
      <c r="L1414"/>
      <c r="M1414"/>
      <c r="N1414"/>
      <c r="O1414"/>
      <c r="P1414"/>
      <c r="Q1414"/>
    </row>
    <row r="1415" spans="9:17" s="1" customFormat="1">
      <c r="I1415" s="185"/>
      <c r="J1415" s="185"/>
      <c r="K1415" s="185"/>
      <c r="L1415"/>
      <c r="M1415"/>
      <c r="N1415"/>
      <c r="O1415"/>
      <c r="P1415"/>
      <c r="Q1415"/>
    </row>
    <row r="1416" spans="9:17" s="1" customFormat="1">
      <c r="I1416" s="185"/>
      <c r="J1416" s="185"/>
      <c r="K1416" s="185"/>
      <c r="L1416"/>
      <c r="M1416"/>
      <c r="N1416"/>
      <c r="O1416"/>
      <c r="P1416"/>
      <c r="Q1416"/>
    </row>
    <row r="1417" spans="9:17" s="1" customFormat="1">
      <c r="I1417" s="185"/>
      <c r="J1417" s="185"/>
      <c r="K1417" s="185"/>
      <c r="L1417"/>
      <c r="M1417"/>
      <c r="N1417"/>
      <c r="O1417"/>
      <c r="P1417"/>
      <c r="Q1417"/>
    </row>
    <row r="1418" spans="9:17" s="1" customFormat="1">
      <c r="I1418" s="185"/>
      <c r="J1418" s="185"/>
      <c r="K1418" s="185"/>
      <c r="L1418"/>
      <c r="M1418"/>
      <c r="N1418"/>
      <c r="O1418"/>
      <c r="P1418"/>
      <c r="Q1418"/>
    </row>
    <row r="1419" spans="9:17" s="1" customFormat="1">
      <c r="I1419" s="185"/>
      <c r="J1419" s="185"/>
      <c r="K1419" s="185"/>
      <c r="L1419"/>
      <c r="M1419"/>
      <c r="N1419"/>
      <c r="O1419"/>
      <c r="P1419"/>
      <c r="Q1419"/>
    </row>
    <row r="1420" spans="9:17" s="1" customFormat="1">
      <c r="I1420" s="185"/>
      <c r="J1420" s="185"/>
      <c r="K1420" s="185"/>
      <c r="L1420"/>
      <c r="M1420"/>
      <c r="N1420"/>
      <c r="O1420"/>
      <c r="P1420"/>
      <c r="Q1420"/>
    </row>
    <row r="1421" spans="9:17" s="1" customFormat="1">
      <c r="I1421" s="185"/>
      <c r="J1421" s="185"/>
      <c r="K1421" s="185"/>
      <c r="L1421"/>
      <c r="M1421"/>
      <c r="N1421"/>
      <c r="O1421"/>
      <c r="P1421"/>
      <c r="Q1421"/>
    </row>
    <row r="1422" spans="9:17" s="1" customFormat="1">
      <c r="I1422" s="185"/>
      <c r="J1422" s="185"/>
      <c r="K1422" s="185"/>
      <c r="L1422"/>
      <c r="M1422"/>
      <c r="N1422"/>
      <c r="O1422"/>
      <c r="P1422"/>
      <c r="Q1422"/>
    </row>
    <row r="1423" spans="9:17" s="1" customFormat="1">
      <c r="I1423" s="185"/>
      <c r="J1423" s="185"/>
      <c r="K1423" s="185"/>
      <c r="L1423"/>
      <c r="M1423"/>
      <c r="N1423"/>
      <c r="O1423"/>
      <c r="P1423"/>
      <c r="Q1423"/>
    </row>
    <row r="1424" spans="9:17" s="1" customFormat="1">
      <c r="I1424" s="185"/>
      <c r="J1424" s="185"/>
      <c r="K1424" s="185"/>
      <c r="L1424"/>
      <c r="M1424"/>
      <c r="N1424"/>
      <c r="O1424"/>
      <c r="P1424"/>
      <c r="Q1424"/>
    </row>
    <row r="1425" spans="9:17" s="1" customFormat="1">
      <c r="I1425" s="185"/>
      <c r="J1425" s="185"/>
      <c r="K1425" s="185"/>
      <c r="L1425"/>
      <c r="M1425"/>
      <c r="N1425"/>
      <c r="O1425"/>
      <c r="P1425"/>
      <c r="Q1425"/>
    </row>
    <row r="1426" spans="9:17" s="1" customFormat="1">
      <c r="I1426" s="185"/>
      <c r="J1426" s="185"/>
      <c r="K1426" s="185"/>
      <c r="L1426"/>
      <c r="M1426"/>
      <c r="N1426"/>
      <c r="O1426"/>
      <c r="P1426"/>
      <c r="Q1426"/>
    </row>
    <row r="1427" spans="9:17" s="1" customFormat="1">
      <c r="I1427" s="185"/>
      <c r="J1427" s="185"/>
      <c r="K1427" s="185"/>
      <c r="L1427"/>
      <c r="M1427"/>
      <c r="N1427"/>
      <c r="O1427"/>
      <c r="P1427"/>
      <c r="Q1427"/>
    </row>
    <row r="1428" spans="9:17" s="1" customFormat="1">
      <c r="I1428" s="185"/>
      <c r="J1428" s="185"/>
      <c r="K1428" s="185"/>
      <c r="L1428"/>
      <c r="M1428"/>
      <c r="N1428"/>
      <c r="O1428"/>
      <c r="P1428"/>
      <c r="Q1428"/>
    </row>
    <row r="1429" spans="9:17" s="1" customFormat="1">
      <c r="I1429" s="185"/>
      <c r="J1429" s="185"/>
      <c r="K1429" s="185"/>
      <c r="L1429"/>
      <c r="M1429"/>
      <c r="N1429"/>
      <c r="O1429"/>
      <c r="P1429"/>
      <c r="Q1429"/>
    </row>
    <row r="1430" spans="9:17" s="1" customFormat="1">
      <c r="I1430" s="185"/>
      <c r="J1430" s="185"/>
      <c r="K1430" s="185"/>
      <c r="L1430"/>
      <c r="M1430"/>
      <c r="N1430"/>
      <c r="O1430"/>
      <c r="P1430"/>
      <c r="Q1430"/>
    </row>
    <row r="1431" spans="9:17" s="1" customFormat="1">
      <c r="I1431" s="185"/>
      <c r="J1431" s="185"/>
      <c r="K1431" s="185"/>
      <c r="L1431"/>
      <c r="M1431"/>
      <c r="N1431"/>
      <c r="O1431"/>
      <c r="P1431"/>
      <c r="Q1431"/>
    </row>
    <row r="1432" spans="9:17" s="1" customFormat="1">
      <c r="I1432" s="185"/>
      <c r="J1432" s="185"/>
      <c r="K1432" s="185"/>
      <c r="L1432"/>
      <c r="M1432"/>
      <c r="N1432"/>
      <c r="O1432"/>
      <c r="P1432"/>
      <c r="Q1432"/>
    </row>
    <row r="1433" spans="9:17" s="1" customFormat="1">
      <c r="I1433" s="185"/>
      <c r="J1433" s="185"/>
      <c r="K1433" s="185"/>
      <c r="L1433"/>
      <c r="M1433"/>
      <c r="N1433"/>
      <c r="O1433"/>
      <c r="P1433"/>
      <c r="Q1433"/>
    </row>
    <row r="1434" spans="9:17" s="1" customFormat="1">
      <c r="I1434" s="185"/>
      <c r="J1434" s="185"/>
      <c r="K1434" s="185"/>
      <c r="L1434"/>
      <c r="M1434"/>
      <c r="N1434"/>
      <c r="O1434"/>
      <c r="P1434"/>
      <c r="Q1434"/>
    </row>
    <row r="1435" spans="9:17" s="1" customFormat="1">
      <c r="I1435" s="185"/>
      <c r="J1435" s="185"/>
      <c r="K1435" s="185"/>
      <c r="L1435"/>
      <c r="M1435"/>
      <c r="N1435"/>
      <c r="O1435"/>
      <c r="P1435"/>
      <c r="Q1435"/>
    </row>
    <row r="1436" spans="9:17" s="1" customFormat="1">
      <c r="I1436" s="185"/>
      <c r="J1436" s="185"/>
      <c r="K1436" s="185"/>
      <c r="L1436"/>
      <c r="M1436"/>
      <c r="N1436"/>
      <c r="O1436"/>
      <c r="P1436"/>
      <c r="Q1436"/>
    </row>
    <row r="1437" spans="9:17" s="1" customFormat="1">
      <c r="I1437" s="185"/>
      <c r="J1437" s="185"/>
      <c r="K1437" s="185"/>
      <c r="L1437"/>
      <c r="M1437"/>
      <c r="N1437"/>
      <c r="O1437"/>
      <c r="P1437"/>
      <c r="Q1437"/>
    </row>
    <row r="1438" spans="9:17" s="1" customFormat="1">
      <c r="I1438" s="185"/>
      <c r="J1438" s="185"/>
      <c r="K1438" s="185"/>
      <c r="L1438"/>
      <c r="M1438"/>
      <c r="N1438"/>
      <c r="O1438"/>
      <c r="P1438"/>
      <c r="Q1438"/>
    </row>
    <row r="1439" spans="9:17" s="1" customFormat="1">
      <c r="I1439" s="185"/>
      <c r="J1439" s="185"/>
      <c r="K1439" s="185"/>
      <c r="L1439"/>
      <c r="M1439"/>
      <c r="N1439"/>
      <c r="O1439"/>
      <c r="P1439"/>
      <c r="Q1439"/>
    </row>
    <row r="1440" spans="9:17" s="1" customFormat="1">
      <c r="I1440" s="185"/>
      <c r="J1440" s="185"/>
      <c r="K1440" s="185"/>
      <c r="L1440"/>
      <c r="M1440"/>
      <c r="N1440"/>
      <c r="O1440"/>
      <c r="P1440"/>
      <c r="Q1440"/>
    </row>
    <row r="1441" spans="9:17" s="1" customFormat="1">
      <c r="I1441" s="185"/>
      <c r="J1441" s="185"/>
      <c r="K1441" s="185"/>
      <c r="L1441"/>
      <c r="M1441"/>
      <c r="N1441"/>
      <c r="O1441"/>
      <c r="P1441"/>
      <c r="Q1441"/>
    </row>
    <row r="1442" spans="9:17" s="1" customFormat="1">
      <c r="I1442" s="185"/>
      <c r="J1442" s="185"/>
      <c r="K1442" s="185"/>
      <c r="L1442"/>
      <c r="M1442"/>
      <c r="N1442"/>
      <c r="O1442"/>
      <c r="P1442"/>
      <c r="Q1442"/>
    </row>
    <row r="1443" spans="9:17" s="1" customFormat="1">
      <c r="I1443" s="185"/>
      <c r="J1443" s="185"/>
      <c r="K1443" s="185"/>
      <c r="L1443"/>
      <c r="M1443"/>
      <c r="N1443"/>
      <c r="O1443"/>
      <c r="P1443"/>
      <c r="Q1443"/>
    </row>
    <row r="1444" spans="9:17" s="1" customFormat="1">
      <c r="I1444" s="185"/>
      <c r="J1444" s="185"/>
      <c r="K1444" s="185"/>
      <c r="L1444"/>
      <c r="M1444"/>
      <c r="N1444"/>
      <c r="O1444"/>
      <c r="P1444"/>
      <c r="Q1444"/>
    </row>
    <row r="1445" spans="9:17" s="1" customFormat="1">
      <c r="I1445" s="185"/>
      <c r="J1445" s="185"/>
      <c r="K1445" s="185"/>
      <c r="L1445"/>
      <c r="M1445"/>
      <c r="N1445"/>
      <c r="O1445"/>
      <c r="P1445"/>
      <c r="Q1445"/>
    </row>
    <row r="1446" spans="9:17" s="1" customFormat="1">
      <c r="I1446" s="185"/>
      <c r="J1446" s="185"/>
      <c r="K1446" s="185"/>
      <c r="L1446"/>
      <c r="M1446"/>
      <c r="N1446"/>
      <c r="O1446"/>
      <c r="P1446"/>
      <c r="Q1446"/>
    </row>
    <row r="1447" spans="9:17" s="1" customFormat="1">
      <c r="I1447" s="185"/>
      <c r="J1447" s="185"/>
      <c r="K1447" s="185"/>
      <c r="L1447"/>
      <c r="M1447"/>
      <c r="N1447"/>
      <c r="O1447"/>
      <c r="P1447"/>
      <c r="Q1447"/>
    </row>
    <row r="1448" spans="9:17" s="1" customFormat="1">
      <c r="I1448" s="185"/>
      <c r="J1448" s="185"/>
      <c r="K1448" s="185"/>
      <c r="L1448"/>
      <c r="M1448"/>
      <c r="N1448"/>
      <c r="O1448"/>
      <c r="P1448"/>
      <c r="Q1448"/>
    </row>
    <row r="1449" spans="9:17" s="1" customFormat="1">
      <c r="I1449" s="185"/>
      <c r="J1449" s="185"/>
      <c r="K1449" s="185"/>
      <c r="L1449"/>
      <c r="M1449"/>
      <c r="N1449"/>
      <c r="O1449"/>
      <c r="P1449"/>
      <c r="Q1449"/>
    </row>
    <row r="1450" spans="9:17" s="1" customFormat="1">
      <c r="I1450" s="185"/>
      <c r="J1450" s="185"/>
      <c r="K1450" s="185"/>
      <c r="L1450"/>
      <c r="M1450"/>
      <c r="N1450"/>
      <c r="O1450"/>
      <c r="P1450"/>
      <c r="Q1450"/>
    </row>
    <row r="1451" spans="9:17" s="1" customFormat="1">
      <c r="I1451" s="185"/>
      <c r="J1451" s="185"/>
      <c r="K1451" s="185"/>
      <c r="L1451"/>
      <c r="M1451"/>
      <c r="N1451"/>
      <c r="O1451"/>
      <c r="P1451"/>
      <c r="Q1451"/>
    </row>
    <row r="1452" spans="9:17" s="1" customFormat="1">
      <c r="I1452" s="185"/>
      <c r="J1452" s="185"/>
      <c r="K1452" s="185"/>
      <c r="L1452"/>
      <c r="M1452"/>
      <c r="N1452"/>
      <c r="O1452"/>
      <c r="P1452"/>
      <c r="Q1452"/>
    </row>
    <row r="1453" spans="9:17" s="1" customFormat="1">
      <c r="I1453" s="185"/>
      <c r="J1453" s="185"/>
      <c r="K1453" s="185"/>
      <c r="L1453"/>
      <c r="M1453"/>
      <c r="N1453"/>
      <c r="O1453"/>
      <c r="P1453"/>
      <c r="Q1453"/>
    </row>
    <row r="1454" spans="9:17" s="1" customFormat="1">
      <c r="I1454" s="185"/>
      <c r="J1454" s="185"/>
      <c r="K1454" s="185"/>
      <c r="L1454"/>
      <c r="M1454"/>
      <c r="N1454"/>
      <c r="O1454"/>
      <c r="P1454"/>
      <c r="Q1454"/>
    </row>
    <row r="1455" spans="9:17" s="1" customFormat="1">
      <c r="I1455" s="185"/>
      <c r="J1455" s="185"/>
      <c r="K1455" s="185"/>
      <c r="L1455"/>
      <c r="M1455"/>
      <c r="N1455"/>
      <c r="O1455"/>
      <c r="P1455"/>
      <c r="Q1455"/>
    </row>
    <row r="1456" spans="9:17" s="1" customFormat="1">
      <c r="I1456" s="185"/>
      <c r="J1456" s="185"/>
      <c r="K1456" s="185"/>
      <c r="L1456"/>
      <c r="M1456"/>
      <c r="N1456"/>
      <c r="O1456"/>
      <c r="P1456"/>
      <c r="Q1456"/>
    </row>
    <row r="1457" spans="9:17" s="1" customFormat="1">
      <c r="I1457" s="185"/>
      <c r="J1457" s="185"/>
      <c r="K1457" s="185"/>
      <c r="L1457"/>
      <c r="M1457"/>
      <c r="N1457"/>
      <c r="O1457"/>
      <c r="P1457"/>
      <c r="Q1457"/>
    </row>
    <row r="1458" spans="9:17" s="1" customFormat="1">
      <c r="I1458" s="185"/>
      <c r="J1458" s="185"/>
      <c r="K1458" s="185"/>
      <c r="L1458"/>
      <c r="M1458"/>
      <c r="N1458"/>
      <c r="O1458"/>
      <c r="P1458"/>
      <c r="Q1458"/>
    </row>
    <row r="1459" spans="9:17" s="1" customFormat="1">
      <c r="I1459" s="185"/>
      <c r="J1459" s="185"/>
      <c r="K1459" s="185"/>
      <c r="L1459"/>
      <c r="M1459"/>
      <c r="N1459"/>
      <c r="O1459"/>
      <c r="P1459"/>
      <c r="Q1459"/>
    </row>
    <row r="1460" spans="9:17" s="1" customFormat="1">
      <c r="I1460" s="185"/>
      <c r="J1460" s="185"/>
      <c r="K1460" s="185"/>
      <c r="L1460"/>
      <c r="M1460"/>
      <c r="N1460"/>
      <c r="O1460"/>
      <c r="P1460"/>
      <c r="Q1460"/>
    </row>
    <row r="1461" spans="9:17" s="1" customFormat="1">
      <c r="I1461" s="185"/>
      <c r="J1461" s="185"/>
      <c r="K1461" s="185"/>
      <c r="L1461"/>
      <c r="M1461"/>
      <c r="N1461"/>
      <c r="O1461"/>
      <c r="P1461"/>
      <c r="Q1461"/>
    </row>
    <row r="1462" spans="9:17" s="1" customFormat="1">
      <c r="I1462" s="185"/>
      <c r="J1462" s="185"/>
      <c r="K1462" s="185"/>
      <c r="L1462"/>
      <c r="M1462"/>
      <c r="N1462"/>
      <c r="O1462"/>
      <c r="P1462"/>
      <c r="Q1462"/>
    </row>
    <row r="1463" spans="9:17" s="1" customFormat="1">
      <c r="I1463" s="185"/>
      <c r="J1463" s="185"/>
      <c r="K1463" s="185"/>
      <c r="L1463"/>
      <c r="M1463"/>
      <c r="N1463"/>
      <c r="O1463"/>
      <c r="P1463"/>
      <c r="Q1463"/>
    </row>
    <row r="1464" spans="9:17" s="1" customFormat="1">
      <c r="I1464" s="185"/>
      <c r="J1464" s="185"/>
      <c r="K1464" s="185"/>
      <c r="L1464"/>
      <c r="M1464"/>
      <c r="N1464"/>
      <c r="O1464"/>
      <c r="P1464"/>
      <c r="Q1464"/>
    </row>
    <row r="1465" spans="9:17" s="1" customFormat="1">
      <c r="I1465" s="185"/>
      <c r="J1465" s="185"/>
      <c r="K1465" s="185"/>
      <c r="L1465"/>
      <c r="M1465"/>
      <c r="N1465"/>
      <c r="O1465"/>
      <c r="P1465"/>
      <c r="Q1465"/>
    </row>
    <row r="1466" spans="9:17" s="1" customFormat="1">
      <c r="I1466" s="185"/>
      <c r="J1466" s="185"/>
      <c r="K1466" s="185"/>
      <c r="L1466"/>
      <c r="M1466"/>
      <c r="N1466"/>
      <c r="O1466"/>
      <c r="P1466"/>
      <c r="Q1466"/>
    </row>
    <row r="1467" spans="9:17" s="1" customFormat="1">
      <c r="I1467" s="185"/>
      <c r="J1467" s="185"/>
      <c r="K1467" s="185"/>
      <c r="L1467"/>
      <c r="M1467"/>
      <c r="N1467"/>
      <c r="O1467"/>
      <c r="P1467"/>
      <c r="Q1467"/>
    </row>
    <row r="1468" spans="9:17" s="1" customFormat="1">
      <c r="I1468" s="185"/>
      <c r="J1468" s="185"/>
      <c r="K1468" s="185"/>
      <c r="L1468"/>
      <c r="M1468"/>
      <c r="N1468"/>
      <c r="O1468"/>
      <c r="P1468"/>
      <c r="Q1468"/>
    </row>
    <row r="1469" spans="9:17" s="1" customFormat="1">
      <c r="I1469" s="185"/>
      <c r="J1469" s="185"/>
      <c r="K1469" s="185"/>
      <c r="L1469"/>
      <c r="M1469"/>
      <c r="N1469"/>
      <c r="O1469"/>
      <c r="P1469"/>
      <c r="Q1469"/>
    </row>
    <row r="1470" spans="9:17" s="1" customFormat="1">
      <c r="I1470" s="185"/>
      <c r="J1470" s="185"/>
      <c r="K1470" s="185"/>
      <c r="L1470"/>
      <c r="M1470"/>
      <c r="N1470"/>
      <c r="O1470"/>
      <c r="P1470"/>
      <c r="Q1470"/>
    </row>
    <row r="1471" spans="9:17" s="1" customFormat="1">
      <c r="I1471" s="185"/>
      <c r="J1471" s="185"/>
      <c r="K1471" s="185"/>
      <c r="L1471"/>
      <c r="M1471"/>
      <c r="N1471"/>
      <c r="O1471"/>
      <c r="P1471"/>
      <c r="Q1471"/>
    </row>
    <row r="1472" spans="9:17" s="1" customFormat="1">
      <c r="I1472" s="185"/>
      <c r="J1472" s="185"/>
      <c r="K1472" s="185"/>
      <c r="L1472"/>
      <c r="M1472"/>
      <c r="N1472"/>
      <c r="O1472"/>
      <c r="P1472"/>
      <c r="Q1472"/>
    </row>
    <row r="1473" spans="9:17" s="1" customFormat="1">
      <c r="I1473" s="185"/>
      <c r="J1473" s="185"/>
      <c r="K1473" s="185"/>
      <c r="L1473"/>
      <c r="M1473"/>
      <c r="N1473"/>
      <c r="O1473"/>
      <c r="P1473"/>
      <c r="Q1473"/>
    </row>
    <row r="1474" spans="9:17" s="1" customFormat="1">
      <c r="I1474" s="185"/>
      <c r="J1474" s="185"/>
      <c r="K1474" s="185"/>
      <c r="L1474"/>
      <c r="M1474"/>
      <c r="N1474"/>
      <c r="O1474"/>
      <c r="P1474"/>
      <c r="Q1474"/>
    </row>
    <row r="1475" spans="9:17" s="1" customFormat="1">
      <c r="I1475" s="185"/>
      <c r="J1475" s="185"/>
      <c r="K1475" s="185"/>
      <c r="L1475"/>
      <c r="M1475"/>
      <c r="N1475"/>
      <c r="O1475"/>
      <c r="P1475"/>
      <c r="Q1475"/>
    </row>
    <row r="1476" spans="9:17" s="1" customFormat="1">
      <c r="I1476" s="185"/>
      <c r="J1476" s="185"/>
      <c r="K1476" s="185"/>
      <c r="L1476"/>
      <c r="M1476"/>
      <c r="N1476"/>
      <c r="O1476"/>
      <c r="P1476"/>
      <c r="Q1476"/>
    </row>
    <row r="1477" spans="9:17" s="1" customFormat="1">
      <c r="I1477" s="185"/>
      <c r="J1477" s="185"/>
      <c r="K1477" s="185"/>
      <c r="L1477"/>
      <c r="M1477"/>
      <c r="N1477"/>
      <c r="O1477"/>
      <c r="P1477"/>
      <c r="Q1477"/>
    </row>
    <row r="1478" spans="9:17" s="1" customFormat="1">
      <c r="I1478" s="185"/>
      <c r="J1478" s="185"/>
      <c r="K1478" s="185"/>
      <c r="L1478"/>
      <c r="M1478"/>
      <c r="N1478"/>
      <c r="O1478"/>
      <c r="P1478"/>
      <c r="Q1478"/>
    </row>
    <row r="1479" spans="9:17" s="1" customFormat="1">
      <c r="I1479" s="185"/>
      <c r="J1479" s="185"/>
      <c r="K1479" s="185"/>
      <c r="L1479"/>
      <c r="M1479"/>
      <c r="N1479"/>
      <c r="O1479"/>
      <c r="P1479"/>
      <c r="Q1479"/>
    </row>
    <row r="1480" spans="9:17" s="1" customFormat="1">
      <c r="I1480" s="185"/>
      <c r="J1480" s="185"/>
      <c r="K1480" s="185"/>
      <c r="L1480"/>
      <c r="M1480"/>
      <c r="N1480"/>
      <c r="O1480"/>
      <c r="P1480"/>
      <c r="Q1480"/>
    </row>
    <row r="1481" spans="9:17" s="1" customFormat="1">
      <c r="I1481" s="185"/>
      <c r="J1481" s="185"/>
      <c r="K1481" s="185"/>
      <c r="L1481"/>
      <c r="M1481"/>
      <c r="N1481"/>
      <c r="O1481"/>
      <c r="P1481"/>
      <c r="Q1481"/>
    </row>
    <row r="1482" spans="9:17" s="1" customFormat="1">
      <c r="I1482" s="185"/>
      <c r="J1482" s="185"/>
      <c r="K1482" s="185"/>
      <c r="L1482"/>
      <c r="M1482"/>
      <c r="N1482"/>
      <c r="O1482"/>
      <c r="P1482"/>
      <c r="Q1482"/>
    </row>
    <row r="1483" spans="9:17" s="1" customFormat="1">
      <c r="I1483" s="185"/>
      <c r="J1483" s="185"/>
      <c r="K1483" s="185"/>
      <c r="L1483"/>
      <c r="M1483"/>
      <c r="N1483"/>
      <c r="O1483"/>
      <c r="P1483"/>
      <c r="Q1483"/>
    </row>
    <row r="1484" spans="9:17" s="1" customFormat="1">
      <c r="I1484" s="185"/>
      <c r="J1484" s="185"/>
      <c r="K1484" s="185"/>
      <c r="L1484"/>
      <c r="M1484"/>
      <c r="N1484"/>
      <c r="O1484"/>
      <c r="P1484"/>
      <c r="Q1484"/>
    </row>
    <row r="1485" spans="9:17" s="1" customFormat="1">
      <c r="I1485" s="185"/>
      <c r="J1485" s="185"/>
      <c r="K1485" s="185"/>
      <c r="L1485"/>
      <c r="M1485"/>
      <c r="N1485"/>
      <c r="O1485"/>
      <c r="P1485"/>
      <c r="Q1485"/>
    </row>
    <row r="1486" spans="9:17" s="1" customFormat="1">
      <c r="I1486" s="185"/>
      <c r="J1486" s="185"/>
      <c r="K1486" s="185"/>
      <c r="L1486"/>
      <c r="M1486"/>
      <c r="N1486"/>
      <c r="O1486"/>
      <c r="P1486"/>
      <c r="Q1486"/>
    </row>
    <row r="1487" spans="9:17" s="1" customFormat="1">
      <c r="I1487" s="185"/>
      <c r="J1487" s="185"/>
      <c r="K1487" s="185"/>
      <c r="L1487"/>
      <c r="M1487"/>
      <c r="N1487"/>
      <c r="O1487"/>
      <c r="P1487"/>
      <c r="Q1487"/>
    </row>
    <row r="1488" spans="9:17" s="1" customFormat="1">
      <c r="I1488" s="185"/>
      <c r="J1488" s="185"/>
      <c r="K1488" s="185"/>
      <c r="L1488"/>
      <c r="M1488"/>
      <c r="N1488"/>
      <c r="O1488"/>
      <c r="P1488"/>
      <c r="Q1488"/>
    </row>
    <row r="1489" spans="9:17" s="1" customFormat="1">
      <c r="I1489" s="185"/>
      <c r="J1489" s="185"/>
      <c r="K1489" s="185"/>
      <c r="L1489"/>
      <c r="M1489"/>
      <c r="N1489"/>
      <c r="O1489"/>
      <c r="P1489"/>
      <c r="Q1489"/>
    </row>
    <row r="1490" spans="9:17" s="1" customFormat="1">
      <c r="I1490" s="185"/>
      <c r="J1490" s="185"/>
      <c r="K1490" s="185"/>
      <c r="L1490"/>
      <c r="M1490"/>
      <c r="N1490"/>
      <c r="O1490"/>
      <c r="P1490"/>
      <c r="Q1490"/>
    </row>
    <row r="1491" spans="9:17" s="1" customFormat="1">
      <c r="I1491" s="185"/>
      <c r="J1491" s="185"/>
      <c r="K1491" s="185"/>
      <c r="L1491"/>
      <c r="M1491"/>
      <c r="N1491"/>
      <c r="O1491"/>
      <c r="P1491"/>
      <c r="Q1491"/>
    </row>
    <row r="1492" spans="9:17" s="1" customFormat="1">
      <c r="I1492" s="185"/>
      <c r="J1492" s="185"/>
      <c r="K1492" s="185"/>
      <c r="L1492"/>
      <c r="M1492"/>
      <c r="N1492"/>
      <c r="O1492"/>
      <c r="P1492"/>
      <c r="Q1492"/>
    </row>
    <row r="1493" spans="9:17" s="1" customFormat="1">
      <c r="I1493" s="185"/>
      <c r="J1493" s="185"/>
      <c r="K1493" s="185"/>
      <c r="L1493"/>
      <c r="M1493"/>
      <c r="N1493"/>
      <c r="O1493"/>
      <c r="P1493"/>
      <c r="Q1493"/>
    </row>
    <row r="1494" spans="9:17" s="1" customFormat="1">
      <c r="I1494" s="185"/>
      <c r="J1494" s="185"/>
      <c r="K1494" s="185"/>
      <c r="L1494"/>
      <c r="M1494"/>
      <c r="N1494"/>
      <c r="O1494"/>
      <c r="P1494"/>
      <c r="Q1494"/>
    </row>
    <row r="1495" spans="9:17" s="1" customFormat="1">
      <c r="I1495" s="185"/>
      <c r="J1495" s="185"/>
      <c r="K1495" s="185"/>
      <c r="L1495"/>
      <c r="M1495"/>
      <c r="N1495"/>
      <c r="O1495"/>
      <c r="P1495"/>
      <c r="Q1495"/>
    </row>
    <row r="1496" spans="9:17" s="1" customFormat="1">
      <c r="I1496" s="185"/>
      <c r="J1496" s="185"/>
      <c r="K1496" s="185"/>
      <c r="L1496"/>
      <c r="M1496"/>
      <c r="N1496"/>
      <c r="O1496"/>
      <c r="P1496"/>
      <c r="Q1496"/>
    </row>
    <row r="1497" spans="9:17" s="1" customFormat="1">
      <c r="I1497" s="185"/>
      <c r="J1497" s="185"/>
      <c r="K1497" s="185"/>
      <c r="L1497"/>
      <c r="M1497"/>
      <c r="N1497"/>
      <c r="O1497"/>
      <c r="P1497"/>
      <c r="Q1497"/>
    </row>
    <row r="1498" spans="9:17" s="1" customFormat="1">
      <c r="I1498" s="185"/>
      <c r="J1498" s="185"/>
      <c r="K1498" s="185"/>
      <c r="L1498"/>
      <c r="M1498"/>
      <c r="N1498"/>
      <c r="O1498"/>
      <c r="P1498"/>
      <c r="Q1498"/>
    </row>
    <row r="1499" spans="9:17" s="1" customFormat="1">
      <c r="I1499" s="185"/>
      <c r="J1499" s="185"/>
      <c r="K1499" s="185"/>
      <c r="L1499"/>
      <c r="M1499"/>
      <c r="N1499"/>
      <c r="O1499"/>
      <c r="P1499"/>
      <c r="Q1499"/>
    </row>
    <row r="1500" spans="9:17" s="1" customFormat="1">
      <c r="I1500" s="185"/>
      <c r="J1500" s="185"/>
      <c r="K1500" s="185"/>
      <c r="L1500"/>
      <c r="M1500"/>
      <c r="N1500"/>
      <c r="O1500"/>
      <c r="P1500"/>
      <c r="Q1500"/>
    </row>
    <row r="1501" spans="9:17" s="1" customFormat="1">
      <c r="I1501" s="185"/>
      <c r="J1501" s="185"/>
      <c r="K1501" s="185"/>
      <c r="L1501"/>
      <c r="M1501"/>
      <c r="N1501"/>
      <c r="O1501"/>
      <c r="P1501"/>
      <c r="Q1501"/>
    </row>
    <row r="1502" spans="9:17" s="1" customFormat="1">
      <c r="I1502" s="185"/>
      <c r="J1502" s="185"/>
      <c r="K1502" s="185"/>
      <c r="L1502"/>
      <c r="M1502"/>
      <c r="N1502"/>
      <c r="O1502"/>
      <c r="P1502"/>
      <c r="Q1502"/>
    </row>
    <row r="1503" spans="9:17" s="1" customFormat="1">
      <c r="I1503" s="185"/>
      <c r="J1503" s="185"/>
      <c r="K1503" s="185"/>
      <c r="L1503"/>
      <c r="M1503"/>
      <c r="N1503"/>
      <c r="O1503"/>
      <c r="P1503"/>
      <c r="Q1503"/>
    </row>
    <row r="1504" spans="9:17" s="1" customFormat="1">
      <c r="I1504" s="185"/>
      <c r="J1504" s="185"/>
      <c r="K1504" s="185"/>
      <c r="L1504"/>
      <c r="M1504"/>
      <c r="N1504"/>
      <c r="O1504"/>
      <c r="P1504"/>
      <c r="Q1504"/>
    </row>
    <row r="1505" spans="9:17" s="1" customFormat="1">
      <c r="I1505" s="185"/>
      <c r="J1505" s="185"/>
      <c r="K1505" s="185"/>
      <c r="L1505"/>
      <c r="M1505"/>
      <c r="N1505"/>
      <c r="O1505"/>
      <c r="P1505"/>
      <c r="Q1505"/>
    </row>
    <row r="1506" spans="9:17" s="1" customFormat="1">
      <c r="I1506" s="185"/>
      <c r="J1506" s="185"/>
      <c r="K1506" s="185"/>
      <c r="L1506"/>
      <c r="M1506"/>
      <c r="N1506"/>
      <c r="O1506"/>
      <c r="P1506"/>
      <c r="Q1506"/>
    </row>
    <row r="1507" spans="9:17" s="1" customFormat="1">
      <c r="I1507" s="185"/>
      <c r="J1507" s="185"/>
      <c r="K1507" s="185"/>
      <c r="L1507"/>
      <c r="M1507"/>
      <c r="N1507"/>
      <c r="O1507"/>
      <c r="P1507"/>
      <c r="Q1507"/>
    </row>
    <row r="1508" spans="9:17" s="1" customFormat="1">
      <c r="I1508" s="185"/>
      <c r="J1508" s="185"/>
      <c r="K1508" s="185"/>
      <c r="L1508"/>
      <c r="M1508"/>
      <c r="N1508"/>
      <c r="O1508"/>
      <c r="P1508"/>
      <c r="Q1508"/>
    </row>
    <row r="1509" spans="9:17" s="1" customFormat="1">
      <c r="I1509" s="185"/>
      <c r="J1509" s="185"/>
      <c r="K1509" s="185"/>
      <c r="L1509"/>
      <c r="M1509"/>
      <c r="N1509"/>
      <c r="O1509"/>
      <c r="P1509"/>
      <c r="Q1509"/>
    </row>
    <row r="1510" spans="9:17" s="1" customFormat="1">
      <c r="I1510" s="185"/>
      <c r="J1510" s="185"/>
      <c r="K1510" s="185"/>
      <c r="L1510"/>
      <c r="M1510"/>
      <c r="N1510"/>
      <c r="O1510"/>
      <c r="P1510"/>
      <c r="Q1510"/>
    </row>
    <row r="1511" spans="9:17" s="1" customFormat="1">
      <c r="I1511" s="185"/>
      <c r="J1511" s="185"/>
      <c r="K1511" s="185"/>
      <c r="L1511"/>
      <c r="M1511"/>
      <c r="N1511"/>
      <c r="O1511"/>
      <c r="P1511"/>
      <c r="Q1511"/>
    </row>
    <row r="1512" spans="9:17" s="1" customFormat="1">
      <c r="I1512" s="185"/>
      <c r="J1512" s="185"/>
      <c r="K1512" s="185"/>
      <c r="L1512"/>
      <c r="M1512"/>
      <c r="N1512"/>
      <c r="O1512"/>
      <c r="P1512"/>
      <c r="Q1512"/>
    </row>
    <row r="1513" spans="9:17" s="1" customFormat="1">
      <c r="I1513" s="185"/>
      <c r="J1513" s="185"/>
      <c r="K1513" s="185"/>
      <c r="L1513"/>
      <c r="M1513"/>
      <c r="N1513"/>
      <c r="O1513"/>
      <c r="P1513"/>
      <c r="Q1513"/>
    </row>
    <row r="1514" spans="9:17" s="1" customFormat="1">
      <c r="I1514" s="185"/>
      <c r="J1514" s="185"/>
      <c r="K1514" s="185"/>
      <c r="L1514"/>
      <c r="M1514"/>
      <c r="N1514"/>
      <c r="O1514"/>
      <c r="P1514"/>
      <c r="Q1514"/>
    </row>
    <row r="1515" spans="9:17" s="1" customFormat="1">
      <c r="I1515" s="185"/>
      <c r="J1515" s="185"/>
      <c r="K1515" s="185"/>
      <c r="L1515"/>
      <c r="M1515"/>
      <c r="N1515"/>
      <c r="O1515"/>
      <c r="P1515"/>
      <c r="Q1515"/>
    </row>
    <row r="1516" spans="9:17" s="1" customFormat="1">
      <c r="I1516" s="185"/>
      <c r="J1516" s="185"/>
      <c r="K1516" s="185"/>
      <c r="L1516"/>
      <c r="M1516"/>
      <c r="N1516"/>
      <c r="O1516"/>
      <c r="P1516"/>
      <c r="Q1516"/>
    </row>
    <row r="1517" spans="9:17" s="1" customFormat="1">
      <c r="I1517" s="185"/>
      <c r="J1517" s="185"/>
      <c r="K1517" s="185"/>
      <c r="L1517"/>
      <c r="M1517"/>
      <c r="N1517"/>
      <c r="O1517"/>
      <c r="P1517"/>
      <c r="Q1517"/>
    </row>
    <row r="1518" spans="9:17" s="1" customFormat="1">
      <c r="I1518" s="185"/>
      <c r="J1518" s="185"/>
      <c r="K1518" s="185"/>
      <c r="L1518"/>
      <c r="M1518"/>
      <c r="N1518"/>
      <c r="O1518"/>
      <c r="P1518"/>
      <c r="Q1518"/>
    </row>
    <row r="1519" spans="9:17" s="1" customFormat="1">
      <c r="I1519" s="185"/>
      <c r="J1519" s="185"/>
      <c r="K1519" s="185"/>
      <c r="L1519"/>
      <c r="M1519"/>
      <c r="N1519"/>
      <c r="O1519"/>
      <c r="P1519"/>
      <c r="Q1519"/>
    </row>
    <row r="1520" spans="9:17" s="1" customFormat="1">
      <c r="I1520" s="185"/>
      <c r="J1520" s="185"/>
      <c r="K1520" s="185"/>
      <c r="L1520"/>
      <c r="M1520"/>
      <c r="N1520"/>
      <c r="O1520"/>
      <c r="P1520"/>
      <c r="Q1520"/>
    </row>
    <row r="1521" spans="9:17" s="1" customFormat="1">
      <c r="I1521" s="185"/>
      <c r="J1521" s="185"/>
      <c r="K1521" s="185"/>
      <c r="L1521"/>
      <c r="M1521"/>
      <c r="N1521"/>
      <c r="O1521"/>
      <c r="P1521"/>
      <c r="Q1521"/>
    </row>
    <row r="1522" spans="9:17" s="1" customFormat="1">
      <c r="I1522" s="185"/>
      <c r="J1522" s="185"/>
      <c r="K1522" s="185"/>
      <c r="L1522"/>
      <c r="M1522"/>
      <c r="N1522"/>
      <c r="O1522"/>
      <c r="P1522"/>
      <c r="Q1522"/>
    </row>
    <row r="1523" spans="9:17" s="1" customFormat="1">
      <c r="I1523" s="185"/>
      <c r="J1523" s="185"/>
      <c r="K1523" s="185"/>
      <c r="L1523"/>
      <c r="M1523"/>
      <c r="N1523"/>
      <c r="O1523"/>
      <c r="P1523"/>
      <c r="Q1523"/>
    </row>
    <row r="1524" spans="9:17" s="1" customFormat="1">
      <c r="I1524" s="185"/>
      <c r="J1524" s="185"/>
      <c r="K1524" s="185"/>
      <c r="L1524"/>
      <c r="M1524"/>
      <c r="N1524"/>
      <c r="O1524"/>
      <c r="P1524"/>
      <c r="Q1524"/>
    </row>
    <row r="1525" spans="9:17" s="1" customFormat="1">
      <c r="I1525" s="185"/>
      <c r="J1525" s="185"/>
      <c r="K1525" s="185"/>
      <c r="L1525"/>
      <c r="M1525"/>
      <c r="N1525"/>
      <c r="O1525"/>
      <c r="P1525"/>
      <c r="Q1525"/>
    </row>
    <row r="1526" spans="9:17" s="1" customFormat="1">
      <c r="I1526" s="185"/>
      <c r="J1526" s="185"/>
      <c r="K1526" s="185"/>
      <c r="L1526"/>
      <c r="M1526"/>
      <c r="N1526"/>
      <c r="O1526"/>
      <c r="P1526"/>
      <c r="Q1526"/>
    </row>
    <row r="1527" spans="9:17" s="1" customFormat="1">
      <c r="I1527" s="185"/>
      <c r="J1527" s="185"/>
      <c r="K1527" s="185"/>
      <c r="L1527"/>
      <c r="M1527"/>
      <c r="N1527"/>
      <c r="O1527"/>
      <c r="P1527"/>
      <c r="Q1527"/>
    </row>
    <row r="1528" spans="9:17" s="1" customFormat="1">
      <c r="I1528" s="185"/>
      <c r="J1528" s="185"/>
      <c r="K1528" s="185"/>
      <c r="L1528"/>
      <c r="M1528"/>
      <c r="N1528"/>
      <c r="O1528"/>
      <c r="P1528"/>
      <c r="Q1528"/>
    </row>
    <row r="1529" spans="9:17" s="1" customFormat="1">
      <c r="I1529" s="185"/>
      <c r="J1529" s="185"/>
      <c r="K1529" s="185"/>
      <c r="L1529"/>
      <c r="M1529"/>
      <c r="N1529"/>
      <c r="O1529"/>
      <c r="P1529"/>
      <c r="Q1529"/>
    </row>
    <row r="1530" spans="9:17" s="1" customFormat="1">
      <c r="I1530" s="185"/>
      <c r="J1530" s="185"/>
      <c r="K1530" s="185"/>
      <c r="L1530"/>
      <c r="M1530"/>
      <c r="N1530"/>
      <c r="O1530"/>
      <c r="P1530"/>
      <c r="Q1530"/>
    </row>
    <row r="1531" spans="9:17" s="1" customFormat="1">
      <c r="I1531" s="185"/>
      <c r="J1531" s="185"/>
      <c r="K1531" s="185"/>
      <c r="L1531"/>
      <c r="M1531"/>
      <c r="N1531"/>
      <c r="O1531"/>
      <c r="P1531"/>
      <c r="Q1531"/>
    </row>
    <row r="1532" spans="9:17" s="1" customFormat="1">
      <c r="I1532" s="185"/>
      <c r="J1532" s="185"/>
      <c r="K1532" s="185"/>
      <c r="L1532"/>
      <c r="M1532"/>
      <c r="N1532"/>
      <c r="O1532"/>
      <c r="P1532"/>
      <c r="Q1532"/>
    </row>
    <row r="1533" spans="9:17" s="1" customFormat="1">
      <c r="I1533" s="185"/>
      <c r="J1533" s="185"/>
      <c r="K1533" s="185"/>
      <c r="L1533"/>
      <c r="M1533"/>
      <c r="N1533"/>
      <c r="O1533"/>
      <c r="P1533"/>
      <c r="Q1533"/>
    </row>
    <row r="1534" spans="9:17" s="1" customFormat="1">
      <c r="I1534" s="185"/>
      <c r="J1534" s="185"/>
      <c r="K1534" s="185"/>
      <c r="L1534"/>
      <c r="M1534"/>
      <c r="N1534"/>
      <c r="O1534"/>
      <c r="P1534"/>
      <c r="Q1534"/>
    </row>
    <row r="1535" spans="9:17" s="1" customFormat="1">
      <c r="I1535" s="185"/>
      <c r="J1535" s="185"/>
      <c r="K1535" s="185"/>
      <c r="L1535"/>
      <c r="M1535"/>
      <c r="N1535"/>
      <c r="O1535"/>
      <c r="P1535"/>
      <c r="Q1535"/>
    </row>
    <row r="1536" spans="9:17" s="1" customFormat="1">
      <c r="I1536" s="185"/>
      <c r="J1536" s="185"/>
      <c r="K1536" s="185"/>
      <c r="L1536"/>
      <c r="M1536"/>
      <c r="N1536"/>
      <c r="O1536"/>
      <c r="P1536"/>
      <c r="Q1536"/>
    </row>
    <row r="1537" spans="9:17" s="1" customFormat="1">
      <c r="I1537" s="185"/>
      <c r="J1537" s="185"/>
      <c r="K1537" s="185"/>
      <c r="L1537"/>
      <c r="M1537"/>
      <c r="N1537"/>
      <c r="O1537"/>
      <c r="P1537"/>
      <c r="Q1537"/>
    </row>
    <row r="1538" spans="9:17" s="1" customFormat="1">
      <c r="I1538" s="185"/>
      <c r="J1538" s="185"/>
      <c r="K1538" s="185"/>
      <c r="L1538"/>
      <c r="M1538"/>
      <c r="N1538"/>
      <c r="O1538"/>
      <c r="P1538"/>
      <c r="Q1538"/>
    </row>
    <row r="1539" spans="9:17" s="1" customFormat="1">
      <c r="I1539" s="185"/>
      <c r="J1539" s="185"/>
      <c r="K1539" s="185"/>
      <c r="L1539"/>
      <c r="M1539"/>
      <c r="N1539"/>
      <c r="O1539"/>
      <c r="P1539"/>
      <c r="Q1539"/>
    </row>
    <row r="1540" spans="9:17" s="1" customFormat="1">
      <c r="I1540" s="185"/>
      <c r="J1540" s="185"/>
      <c r="K1540" s="185"/>
      <c r="L1540"/>
      <c r="M1540"/>
      <c r="N1540"/>
      <c r="O1540"/>
      <c r="P1540"/>
      <c r="Q1540"/>
    </row>
    <row r="1541" spans="9:17" s="1" customFormat="1">
      <c r="I1541" s="185"/>
      <c r="J1541" s="185"/>
      <c r="K1541" s="185"/>
      <c r="L1541"/>
      <c r="M1541"/>
      <c r="N1541"/>
      <c r="O1541"/>
      <c r="P1541"/>
      <c r="Q1541"/>
    </row>
    <row r="1542" spans="9:17" s="1" customFormat="1">
      <c r="I1542" s="185"/>
      <c r="J1542" s="185"/>
      <c r="K1542" s="185"/>
      <c r="L1542"/>
      <c r="M1542"/>
      <c r="N1542"/>
      <c r="O1542"/>
      <c r="P1542"/>
      <c r="Q1542"/>
    </row>
    <row r="1543" spans="9:17" s="1" customFormat="1">
      <c r="I1543" s="185"/>
      <c r="J1543" s="185"/>
      <c r="K1543" s="185"/>
      <c r="L1543"/>
      <c r="M1543"/>
      <c r="N1543"/>
      <c r="O1543"/>
      <c r="P1543"/>
      <c r="Q1543"/>
    </row>
    <row r="1544" spans="9:17" s="1" customFormat="1">
      <c r="I1544" s="185"/>
      <c r="J1544" s="185"/>
      <c r="K1544" s="185"/>
      <c r="L1544"/>
      <c r="M1544"/>
      <c r="N1544"/>
      <c r="O1544"/>
      <c r="P1544"/>
      <c r="Q1544"/>
    </row>
    <row r="1545" spans="9:17" s="1" customFormat="1">
      <c r="I1545" s="185"/>
      <c r="J1545" s="185"/>
      <c r="K1545" s="185"/>
      <c r="L1545"/>
      <c r="M1545"/>
      <c r="N1545"/>
      <c r="O1545"/>
      <c r="P1545"/>
      <c r="Q1545"/>
    </row>
    <row r="1546" spans="9:17" s="1" customFormat="1">
      <c r="I1546" s="185"/>
      <c r="J1546" s="185"/>
      <c r="K1546" s="185"/>
      <c r="L1546"/>
      <c r="M1546"/>
      <c r="N1546"/>
      <c r="O1546"/>
      <c r="P1546"/>
      <c r="Q1546"/>
    </row>
    <row r="1547" spans="9:17" s="1" customFormat="1">
      <c r="I1547" s="185"/>
      <c r="J1547" s="185"/>
      <c r="K1547" s="185"/>
      <c r="L1547"/>
      <c r="M1547"/>
      <c r="N1547"/>
      <c r="O1547"/>
      <c r="P1547"/>
      <c r="Q1547"/>
    </row>
    <row r="1548" spans="9:17" s="1" customFormat="1">
      <c r="I1548" s="185"/>
      <c r="J1548" s="185"/>
      <c r="K1548" s="185"/>
      <c r="L1548"/>
      <c r="M1548"/>
      <c r="N1548"/>
      <c r="O1548"/>
      <c r="P1548"/>
      <c r="Q1548"/>
    </row>
    <row r="1549" spans="9:17" s="1" customFormat="1">
      <c r="I1549" s="185"/>
      <c r="J1549" s="185"/>
      <c r="K1549" s="185"/>
      <c r="L1549"/>
      <c r="M1549"/>
      <c r="N1549"/>
      <c r="O1549"/>
      <c r="P1549"/>
      <c r="Q1549"/>
    </row>
    <row r="1550" spans="9:17" s="1" customFormat="1">
      <c r="I1550" s="185"/>
      <c r="J1550" s="185"/>
      <c r="K1550" s="185"/>
      <c r="L1550"/>
      <c r="M1550"/>
      <c r="N1550"/>
      <c r="O1550"/>
      <c r="P1550"/>
      <c r="Q1550"/>
    </row>
    <row r="1551" spans="9:17" s="1" customFormat="1">
      <c r="I1551" s="185"/>
      <c r="J1551" s="185"/>
      <c r="K1551" s="185"/>
      <c r="L1551"/>
      <c r="M1551"/>
      <c r="N1551"/>
      <c r="O1551"/>
      <c r="P1551"/>
      <c r="Q1551"/>
    </row>
    <row r="1552" spans="9:17" s="1" customFormat="1">
      <c r="I1552" s="185"/>
      <c r="J1552" s="185"/>
      <c r="K1552" s="185"/>
      <c r="L1552"/>
      <c r="M1552"/>
      <c r="N1552"/>
      <c r="O1552"/>
      <c r="P1552"/>
      <c r="Q1552"/>
    </row>
    <row r="1553" spans="9:17" s="1" customFormat="1">
      <c r="I1553" s="185"/>
      <c r="J1553" s="185"/>
      <c r="K1553" s="185"/>
      <c r="L1553"/>
      <c r="M1553"/>
      <c r="N1553"/>
      <c r="O1553"/>
      <c r="P1553"/>
      <c r="Q1553"/>
    </row>
    <row r="1554" spans="9:17" s="1" customFormat="1">
      <c r="I1554" s="185"/>
      <c r="J1554" s="185"/>
      <c r="K1554" s="185"/>
      <c r="L1554"/>
      <c r="M1554"/>
      <c r="N1554"/>
      <c r="O1554"/>
      <c r="P1554"/>
      <c r="Q1554"/>
    </row>
    <row r="1555" spans="9:17" s="1" customFormat="1">
      <c r="I1555" s="185"/>
      <c r="J1555" s="185"/>
      <c r="K1555" s="185"/>
      <c r="L1555"/>
      <c r="M1555"/>
      <c r="N1555"/>
      <c r="O1555"/>
      <c r="P1555"/>
      <c r="Q1555"/>
    </row>
    <row r="1556" spans="9:17" s="1" customFormat="1">
      <c r="I1556" s="185"/>
      <c r="J1556" s="185"/>
      <c r="K1556" s="185"/>
      <c r="L1556"/>
      <c r="M1556"/>
      <c r="N1556"/>
      <c r="O1556"/>
      <c r="P1556"/>
      <c r="Q1556"/>
    </row>
    <row r="1557" spans="9:17" s="1" customFormat="1">
      <c r="I1557" s="185"/>
      <c r="J1557" s="185"/>
      <c r="K1557" s="185"/>
      <c r="L1557"/>
      <c r="M1557"/>
      <c r="N1557"/>
      <c r="O1557"/>
      <c r="P1557"/>
      <c r="Q1557"/>
    </row>
    <row r="1558" spans="9:17" s="1" customFormat="1">
      <c r="I1558" s="185"/>
      <c r="J1558" s="185"/>
      <c r="K1558" s="185"/>
      <c r="L1558"/>
      <c r="M1558"/>
      <c r="N1558"/>
      <c r="O1558"/>
      <c r="P1558"/>
      <c r="Q1558"/>
    </row>
    <row r="1559" spans="9:17" s="1" customFormat="1">
      <c r="I1559" s="185"/>
      <c r="J1559" s="185"/>
      <c r="K1559" s="185"/>
      <c r="L1559"/>
      <c r="M1559"/>
      <c r="N1559"/>
      <c r="O1559"/>
      <c r="P1559"/>
      <c r="Q1559"/>
    </row>
    <row r="1560" spans="9:17" s="1" customFormat="1">
      <c r="I1560" s="185"/>
      <c r="J1560" s="185"/>
      <c r="K1560" s="185"/>
      <c r="L1560"/>
      <c r="M1560"/>
      <c r="N1560"/>
      <c r="O1560"/>
      <c r="P1560"/>
      <c r="Q1560"/>
    </row>
    <row r="1561" spans="9:17" s="1" customFormat="1">
      <c r="I1561" s="185"/>
      <c r="J1561" s="185"/>
      <c r="K1561" s="185"/>
      <c r="L1561"/>
      <c r="M1561"/>
      <c r="N1561"/>
      <c r="O1561"/>
      <c r="P1561"/>
      <c r="Q1561"/>
    </row>
    <row r="1562" spans="9:17" s="1" customFormat="1">
      <c r="I1562" s="185"/>
      <c r="J1562" s="185"/>
      <c r="K1562" s="185"/>
      <c r="L1562"/>
      <c r="M1562"/>
      <c r="N1562"/>
      <c r="O1562"/>
      <c r="P1562"/>
      <c r="Q1562"/>
    </row>
    <row r="1563" spans="9:17" s="1" customFormat="1">
      <c r="I1563" s="185"/>
      <c r="J1563" s="185"/>
      <c r="K1563" s="185"/>
      <c r="L1563"/>
      <c r="M1563"/>
      <c r="N1563"/>
      <c r="O1563"/>
      <c r="P1563"/>
      <c r="Q1563"/>
    </row>
    <row r="1564" spans="9:17" s="1" customFormat="1">
      <c r="I1564" s="185"/>
      <c r="J1564" s="185"/>
      <c r="K1564" s="185"/>
      <c r="L1564"/>
      <c r="M1564"/>
      <c r="N1564"/>
      <c r="O1564"/>
      <c r="P1564"/>
      <c r="Q1564"/>
    </row>
    <row r="1565" spans="9:17" s="1" customFormat="1">
      <c r="I1565" s="185"/>
      <c r="J1565" s="185"/>
      <c r="K1565" s="185"/>
      <c r="L1565"/>
      <c r="M1565"/>
      <c r="N1565"/>
      <c r="O1565"/>
      <c r="P1565"/>
      <c r="Q1565"/>
    </row>
    <row r="1566" spans="9:17" s="1" customFormat="1">
      <c r="I1566" s="185"/>
      <c r="J1566" s="185"/>
      <c r="K1566" s="185"/>
      <c r="L1566"/>
      <c r="M1566"/>
      <c r="N1566"/>
      <c r="O1566"/>
      <c r="P1566"/>
      <c r="Q1566"/>
    </row>
    <row r="1567" spans="9:17" s="1" customFormat="1">
      <c r="I1567" s="185"/>
      <c r="J1567" s="185"/>
      <c r="K1567" s="185"/>
      <c r="L1567"/>
      <c r="M1567"/>
      <c r="N1567"/>
      <c r="O1567"/>
      <c r="P1567"/>
      <c r="Q1567"/>
    </row>
    <row r="1568" spans="9:17" s="1" customFormat="1">
      <c r="I1568" s="185"/>
      <c r="J1568" s="185"/>
      <c r="K1568" s="185"/>
      <c r="L1568"/>
      <c r="M1568"/>
      <c r="N1568"/>
      <c r="O1568"/>
      <c r="P1568"/>
      <c r="Q1568"/>
    </row>
    <row r="1569" spans="9:17" s="1" customFormat="1">
      <c r="I1569" s="185"/>
      <c r="J1569" s="185"/>
      <c r="K1569" s="185"/>
      <c r="L1569"/>
      <c r="M1569"/>
      <c r="N1569"/>
      <c r="O1569"/>
      <c r="P1569"/>
      <c r="Q1569"/>
    </row>
    <row r="1570" spans="9:17" s="1" customFormat="1">
      <c r="I1570" s="185"/>
      <c r="J1570" s="185"/>
      <c r="K1570" s="185"/>
      <c r="L1570"/>
      <c r="M1570"/>
      <c r="N1570"/>
      <c r="O1570"/>
      <c r="P1570"/>
      <c r="Q1570"/>
    </row>
    <row r="1571" spans="9:17" s="1" customFormat="1">
      <c r="I1571" s="185"/>
      <c r="J1571" s="185"/>
      <c r="K1571" s="185"/>
      <c r="L1571"/>
      <c r="M1571"/>
      <c r="N1571"/>
      <c r="O1571"/>
      <c r="P1571"/>
      <c r="Q1571"/>
    </row>
    <row r="1572" spans="9:17" s="1" customFormat="1">
      <c r="I1572" s="185"/>
      <c r="J1572" s="185"/>
      <c r="K1572" s="185"/>
      <c r="L1572"/>
      <c r="M1572"/>
      <c r="N1572"/>
      <c r="O1572"/>
      <c r="P1572"/>
      <c r="Q1572"/>
    </row>
    <row r="1573" spans="9:17" s="1" customFormat="1">
      <c r="I1573" s="185"/>
      <c r="J1573" s="185"/>
      <c r="K1573" s="185"/>
      <c r="L1573"/>
      <c r="M1573"/>
      <c r="N1573"/>
      <c r="O1573"/>
      <c r="P1573"/>
      <c r="Q1573"/>
    </row>
    <row r="1574" spans="9:17" s="1" customFormat="1">
      <c r="I1574" s="185"/>
      <c r="J1574" s="185"/>
      <c r="K1574" s="185"/>
      <c r="L1574"/>
      <c r="M1574"/>
      <c r="N1574"/>
      <c r="O1574"/>
      <c r="P1574"/>
      <c r="Q1574"/>
    </row>
    <row r="1575" spans="9:17" s="1" customFormat="1">
      <c r="I1575" s="185"/>
      <c r="J1575" s="185"/>
      <c r="K1575" s="185"/>
      <c r="L1575"/>
      <c r="M1575"/>
      <c r="N1575"/>
      <c r="O1575"/>
      <c r="P1575"/>
      <c r="Q1575"/>
    </row>
    <row r="1576" spans="9:17" s="1" customFormat="1">
      <c r="I1576" s="185"/>
      <c r="J1576" s="185"/>
      <c r="K1576" s="185"/>
      <c r="L1576"/>
      <c r="M1576"/>
      <c r="N1576"/>
      <c r="O1576"/>
      <c r="P1576"/>
      <c r="Q1576"/>
    </row>
    <row r="1577" spans="9:17" s="1" customFormat="1">
      <c r="I1577" s="185"/>
      <c r="J1577" s="185"/>
      <c r="K1577" s="185"/>
      <c r="L1577"/>
      <c r="M1577"/>
      <c r="N1577"/>
      <c r="O1577"/>
      <c r="P1577"/>
      <c r="Q1577"/>
    </row>
    <row r="1578" spans="9:17" s="1" customFormat="1">
      <c r="I1578" s="185"/>
      <c r="J1578" s="185"/>
      <c r="K1578" s="185"/>
      <c r="L1578"/>
      <c r="M1578"/>
      <c r="N1578"/>
      <c r="O1578"/>
      <c r="P1578"/>
      <c r="Q1578"/>
    </row>
    <row r="1579" spans="9:17" s="1" customFormat="1">
      <c r="I1579" s="185"/>
      <c r="J1579" s="185"/>
      <c r="K1579" s="185"/>
      <c r="L1579"/>
      <c r="M1579"/>
      <c r="N1579"/>
      <c r="O1579"/>
      <c r="P1579"/>
      <c r="Q1579"/>
    </row>
    <row r="1580" spans="9:17" s="1" customFormat="1">
      <c r="I1580" s="185"/>
      <c r="J1580" s="185"/>
      <c r="K1580" s="185"/>
      <c r="L1580"/>
      <c r="M1580"/>
      <c r="N1580"/>
      <c r="O1580"/>
      <c r="P1580"/>
      <c r="Q1580"/>
    </row>
    <row r="1581" spans="9:17" s="1" customFormat="1">
      <c r="I1581" s="185"/>
      <c r="J1581" s="185"/>
      <c r="K1581" s="185"/>
      <c r="L1581"/>
      <c r="M1581"/>
      <c r="N1581"/>
      <c r="O1581"/>
      <c r="P1581"/>
      <c r="Q1581"/>
    </row>
    <row r="1582" spans="9:17" s="1" customFormat="1">
      <c r="I1582" s="185"/>
      <c r="J1582" s="185"/>
      <c r="K1582" s="185"/>
      <c r="L1582"/>
      <c r="M1582"/>
      <c r="N1582"/>
      <c r="O1582"/>
      <c r="P1582"/>
      <c r="Q1582"/>
    </row>
    <row r="1583" spans="9:17" s="1" customFormat="1">
      <c r="I1583" s="185"/>
      <c r="J1583" s="185"/>
      <c r="K1583" s="185"/>
      <c r="L1583"/>
      <c r="M1583"/>
      <c r="N1583"/>
      <c r="O1583"/>
      <c r="P1583"/>
      <c r="Q1583"/>
    </row>
    <row r="1584" spans="9:17" s="1" customFormat="1">
      <c r="I1584" s="185"/>
      <c r="J1584" s="185"/>
      <c r="K1584" s="185"/>
      <c r="L1584"/>
      <c r="M1584"/>
      <c r="N1584"/>
      <c r="O1584"/>
      <c r="P1584"/>
      <c r="Q1584"/>
    </row>
    <row r="1585" spans="9:17" s="1" customFormat="1">
      <c r="I1585" s="185"/>
      <c r="J1585" s="185"/>
      <c r="K1585" s="185"/>
      <c r="L1585"/>
      <c r="M1585"/>
      <c r="N1585"/>
      <c r="O1585"/>
      <c r="P1585"/>
      <c r="Q1585"/>
    </row>
    <row r="1586" spans="9:17" s="1" customFormat="1">
      <c r="I1586" s="185"/>
      <c r="J1586" s="185"/>
      <c r="K1586" s="185"/>
      <c r="L1586"/>
      <c r="M1586"/>
      <c r="N1586"/>
      <c r="O1586"/>
      <c r="P1586"/>
      <c r="Q1586"/>
    </row>
    <row r="1587" spans="9:17" s="1" customFormat="1">
      <c r="I1587" s="185"/>
      <c r="J1587" s="185"/>
      <c r="K1587" s="185"/>
      <c r="L1587"/>
      <c r="M1587"/>
      <c r="N1587"/>
      <c r="O1587"/>
      <c r="P1587"/>
      <c r="Q1587"/>
    </row>
    <row r="1588" spans="9:17" s="1" customFormat="1">
      <c r="I1588" s="185"/>
      <c r="J1588" s="185"/>
      <c r="K1588" s="185"/>
      <c r="L1588"/>
      <c r="M1588"/>
      <c r="N1588"/>
      <c r="O1588"/>
      <c r="P1588"/>
      <c r="Q1588"/>
    </row>
    <row r="1589" spans="9:17" s="1" customFormat="1">
      <c r="I1589" s="185"/>
      <c r="J1589" s="185"/>
      <c r="K1589" s="185"/>
      <c r="L1589"/>
      <c r="M1589"/>
      <c r="N1589"/>
      <c r="O1589"/>
      <c r="P1589"/>
      <c r="Q1589"/>
    </row>
    <row r="1590" spans="9:17" s="1" customFormat="1">
      <c r="I1590" s="185"/>
      <c r="J1590" s="185"/>
      <c r="K1590" s="185"/>
      <c r="L1590"/>
      <c r="M1590"/>
      <c r="N1590"/>
      <c r="O1590"/>
      <c r="P1590"/>
      <c r="Q1590"/>
    </row>
    <row r="1591" spans="9:17" s="1" customFormat="1">
      <c r="I1591" s="185"/>
      <c r="J1591" s="185"/>
      <c r="K1591" s="185"/>
      <c r="L1591"/>
      <c r="M1591"/>
      <c r="N1591"/>
      <c r="O1591"/>
      <c r="P1591"/>
      <c r="Q1591"/>
    </row>
    <row r="1592" spans="9:17" s="1" customFormat="1">
      <c r="I1592" s="185"/>
      <c r="J1592" s="185"/>
      <c r="K1592" s="185"/>
      <c r="L1592"/>
      <c r="M1592"/>
      <c r="N1592"/>
      <c r="O1592"/>
      <c r="P1592"/>
      <c r="Q1592"/>
    </row>
    <row r="1593" spans="9:17" s="1" customFormat="1">
      <c r="I1593" s="185"/>
      <c r="J1593" s="185"/>
      <c r="K1593" s="185"/>
      <c r="L1593"/>
      <c r="M1593"/>
      <c r="N1593"/>
      <c r="O1593"/>
      <c r="P1593"/>
      <c r="Q1593"/>
    </row>
    <row r="1594" spans="9:17" s="1" customFormat="1">
      <c r="I1594" s="185"/>
      <c r="J1594" s="185"/>
      <c r="K1594" s="185"/>
      <c r="L1594"/>
      <c r="M1594"/>
      <c r="N1594"/>
      <c r="O1594"/>
      <c r="P1594"/>
      <c r="Q1594"/>
    </row>
    <row r="1595" spans="9:17" s="1" customFormat="1">
      <c r="I1595" s="185"/>
      <c r="J1595" s="185"/>
      <c r="K1595" s="185"/>
      <c r="L1595"/>
      <c r="M1595"/>
      <c r="N1595"/>
      <c r="O1595"/>
      <c r="P1595"/>
      <c r="Q1595"/>
    </row>
    <row r="1596" spans="9:17" s="1" customFormat="1">
      <c r="I1596" s="185"/>
      <c r="J1596" s="185"/>
      <c r="K1596" s="185"/>
      <c r="L1596"/>
      <c r="M1596"/>
      <c r="N1596"/>
      <c r="O1596"/>
      <c r="P1596"/>
      <c r="Q1596"/>
    </row>
    <row r="1597" spans="9:17" s="1" customFormat="1">
      <c r="I1597" s="185"/>
      <c r="J1597" s="185"/>
      <c r="K1597" s="185"/>
      <c r="L1597"/>
      <c r="M1597"/>
      <c r="N1597"/>
      <c r="O1597"/>
      <c r="P1597"/>
      <c r="Q1597"/>
    </row>
    <row r="1598" spans="9:17" s="1" customFormat="1">
      <c r="I1598" s="185"/>
      <c r="J1598" s="185"/>
      <c r="K1598" s="185"/>
      <c r="L1598"/>
      <c r="M1598"/>
      <c r="N1598"/>
      <c r="O1598"/>
      <c r="P1598"/>
      <c r="Q1598"/>
    </row>
    <row r="1599" spans="9:17" s="1" customFormat="1">
      <c r="I1599" s="185"/>
      <c r="J1599" s="185"/>
      <c r="K1599" s="185"/>
      <c r="L1599"/>
      <c r="M1599"/>
      <c r="N1599"/>
      <c r="O1599"/>
      <c r="P1599"/>
      <c r="Q1599"/>
    </row>
    <row r="1600" spans="9:17" s="1" customFormat="1">
      <c r="I1600" s="185"/>
      <c r="J1600" s="185"/>
      <c r="K1600" s="185"/>
      <c r="L1600"/>
      <c r="M1600"/>
      <c r="N1600"/>
      <c r="O1600"/>
      <c r="P1600"/>
      <c r="Q1600"/>
    </row>
    <row r="1601" spans="9:17" s="1" customFormat="1">
      <c r="I1601" s="185"/>
      <c r="J1601" s="185"/>
      <c r="K1601" s="185"/>
      <c r="L1601"/>
      <c r="M1601"/>
      <c r="N1601"/>
      <c r="O1601"/>
      <c r="P1601"/>
      <c r="Q1601"/>
    </row>
    <row r="1602" spans="9:17" s="1" customFormat="1">
      <c r="I1602" s="185"/>
      <c r="J1602" s="185"/>
      <c r="K1602" s="185"/>
      <c r="L1602"/>
      <c r="M1602"/>
      <c r="N1602"/>
      <c r="O1602"/>
      <c r="P1602"/>
      <c r="Q1602"/>
    </row>
    <row r="1603" spans="9:17" s="1" customFormat="1">
      <c r="I1603" s="185"/>
      <c r="J1603" s="185"/>
      <c r="K1603" s="185"/>
      <c r="L1603"/>
      <c r="M1603"/>
      <c r="N1603"/>
      <c r="O1603"/>
      <c r="P1603"/>
      <c r="Q1603"/>
    </row>
    <row r="1604" spans="9:17" s="1" customFormat="1">
      <c r="I1604" s="185"/>
      <c r="J1604" s="185"/>
      <c r="K1604" s="185"/>
      <c r="L1604"/>
      <c r="M1604"/>
      <c r="N1604"/>
      <c r="O1604"/>
      <c r="P1604"/>
      <c r="Q1604"/>
    </row>
    <row r="1605" spans="9:17" s="1" customFormat="1">
      <c r="I1605" s="185"/>
      <c r="J1605" s="185"/>
      <c r="K1605" s="185"/>
      <c r="L1605"/>
      <c r="M1605"/>
      <c r="N1605"/>
      <c r="O1605"/>
      <c r="P1605"/>
      <c r="Q1605"/>
    </row>
    <row r="1606" spans="9:17" s="1" customFormat="1">
      <c r="I1606" s="185"/>
      <c r="J1606" s="185"/>
      <c r="K1606" s="185"/>
      <c r="L1606"/>
      <c r="M1606"/>
      <c r="N1606"/>
      <c r="O1606"/>
      <c r="P1606"/>
      <c r="Q1606"/>
    </row>
    <row r="1607" spans="9:17" s="1" customFormat="1">
      <c r="I1607" s="185"/>
      <c r="J1607" s="185"/>
      <c r="K1607" s="185"/>
      <c r="L1607"/>
      <c r="M1607"/>
      <c r="N1607"/>
      <c r="O1607"/>
      <c r="P1607"/>
      <c r="Q1607"/>
    </row>
    <row r="1608" spans="9:17" s="1" customFormat="1">
      <c r="I1608" s="185"/>
      <c r="J1608" s="185"/>
      <c r="K1608" s="185"/>
      <c r="L1608"/>
      <c r="M1608"/>
      <c r="N1608"/>
      <c r="O1608"/>
      <c r="P1608"/>
      <c r="Q1608"/>
    </row>
    <row r="1609" spans="9:17" s="1" customFormat="1">
      <c r="I1609" s="185"/>
      <c r="J1609" s="185"/>
      <c r="K1609" s="185"/>
      <c r="L1609"/>
      <c r="M1609"/>
      <c r="N1609"/>
      <c r="O1609"/>
      <c r="P1609"/>
      <c r="Q1609"/>
    </row>
    <row r="1610" spans="9:17" s="1" customFormat="1">
      <c r="I1610" s="185"/>
      <c r="J1610" s="185"/>
      <c r="K1610" s="185"/>
      <c r="L1610"/>
      <c r="M1610"/>
      <c r="N1610"/>
      <c r="O1610"/>
      <c r="P1610"/>
      <c r="Q1610"/>
    </row>
    <row r="1611" spans="9:17" s="1" customFormat="1">
      <c r="I1611" s="185"/>
      <c r="J1611" s="185"/>
      <c r="K1611" s="185"/>
      <c r="L1611"/>
      <c r="M1611"/>
      <c r="N1611"/>
      <c r="O1611"/>
      <c r="P1611"/>
      <c r="Q1611"/>
    </row>
    <row r="1612" spans="9:17" s="1" customFormat="1">
      <c r="I1612" s="185"/>
      <c r="J1612" s="185"/>
      <c r="K1612" s="185"/>
      <c r="L1612"/>
      <c r="M1612"/>
      <c r="N1612"/>
      <c r="O1612"/>
      <c r="P1612"/>
      <c r="Q1612"/>
    </row>
    <row r="1613" spans="9:17" s="1" customFormat="1">
      <c r="I1613" s="185"/>
      <c r="J1613" s="185"/>
      <c r="K1613" s="185"/>
      <c r="L1613"/>
      <c r="M1613"/>
      <c r="N1613"/>
      <c r="O1613"/>
      <c r="P1613"/>
      <c r="Q1613"/>
    </row>
    <row r="1614" spans="9:17" s="1" customFormat="1">
      <c r="I1614" s="185"/>
      <c r="J1614" s="185"/>
      <c r="K1614" s="185"/>
      <c r="L1614"/>
      <c r="M1614"/>
      <c r="N1614"/>
      <c r="O1614"/>
      <c r="P1614"/>
      <c r="Q1614"/>
    </row>
    <row r="1615" spans="9:17" s="1" customFormat="1">
      <c r="I1615" s="185"/>
      <c r="J1615" s="185"/>
      <c r="K1615" s="185"/>
      <c r="L1615"/>
      <c r="M1615"/>
      <c r="N1615"/>
      <c r="O1615"/>
      <c r="P1615"/>
      <c r="Q1615"/>
    </row>
    <row r="1616" spans="9:17" s="1" customFormat="1">
      <c r="I1616" s="185"/>
      <c r="J1616" s="185"/>
      <c r="K1616" s="185"/>
      <c r="L1616"/>
      <c r="M1616"/>
      <c r="N1616"/>
      <c r="O1616"/>
      <c r="P1616"/>
      <c r="Q1616"/>
    </row>
    <row r="1617" spans="9:17" s="1" customFormat="1">
      <c r="I1617" s="185"/>
      <c r="J1617" s="185"/>
      <c r="K1617" s="185"/>
      <c r="L1617"/>
      <c r="M1617"/>
      <c r="N1617"/>
      <c r="O1617"/>
      <c r="P1617"/>
      <c r="Q1617"/>
    </row>
    <row r="1618" spans="9:17" s="1" customFormat="1">
      <c r="I1618" s="185"/>
      <c r="J1618" s="185"/>
      <c r="K1618" s="185"/>
      <c r="L1618"/>
      <c r="M1618"/>
      <c r="N1618"/>
      <c r="O1618"/>
      <c r="P1618"/>
      <c r="Q1618"/>
    </row>
    <row r="1619" spans="9:17" s="1" customFormat="1">
      <c r="I1619" s="185"/>
      <c r="J1619" s="185"/>
      <c r="K1619" s="185"/>
      <c r="L1619"/>
      <c r="M1619"/>
      <c r="N1619"/>
      <c r="O1619"/>
      <c r="P1619"/>
      <c r="Q1619"/>
    </row>
    <row r="1620" spans="9:17" s="1" customFormat="1">
      <c r="I1620" s="185"/>
      <c r="J1620" s="185"/>
      <c r="K1620" s="185"/>
      <c r="L1620"/>
      <c r="M1620"/>
      <c r="N1620"/>
      <c r="O1620"/>
      <c r="P1620"/>
      <c r="Q1620"/>
    </row>
    <row r="1621" spans="9:17" s="1" customFormat="1">
      <c r="I1621" s="185"/>
      <c r="J1621" s="185"/>
      <c r="K1621" s="185"/>
      <c r="L1621"/>
      <c r="M1621"/>
      <c r="N1621"/>
      <c r="O1621"/>
      <c r="P1621"/>
      <c r="Q1621"/>
    </row>
    <row r="1622" spans="9:17" s="1" customFormat="1">
      <c r="I1622" s="185"/>
      <c r="J1622" s="185"/>
      <c r="K1622" s="185"/>
      <c r="L1622"/>
      <c r="M1622"/>
      <c r="N1622"/>
      <c r="O1622"/>
      <c r="P1622"/>
      <c r="Q1622"/>
    </row>
    <row r="1623" spans="9:17" s="1" customFormat="1">
      <c r="I1623" s="185"/>
      <c r="J1623" s="185"/>
      <c r="K1623" s="185"/>
      <c r="L1623"/>
      <c r="M1623"/>
      <c r="N1623"/>
      <c r="O1623"/>
      <c r="P1623"/>
      <c r="Q1623"/>
    </row>
    <row r="1624" spans="9:17" s="1" customFormat="1">
      <c r="I1624" s="185"/>
      <c r="J1624" s="185"/>
      <c r="K1624" s="185"/>
      <c r="L1624"/>
      <c r="M1624"/>
      <c r="N1624"/>
      <c r="O1624"/>
      <c r="P1624"/>
      <c r="Q1624"/>
    </row>
    <row r="1625" spans="9:17" s="1" customFormat="1">
      <c r="I1625" s="185"/>
      <c r="J1625" s="185"/>
      <c r="K1625" s="185"/>
      <c r="L1625"/>
      <c r="M1625"/>
      <c r="N1625"/>
      <c r="O1625"/>
      <c r="P1625"/>
      <c r="Q1625"/>
    </row>
    <row r="1626" spans="9:17" s="1" customFormat="1">
      <c r="I1626" s="185"/>
      <c r="J1626" s="185"/>
      <c r="K1626" s="185"/>
      <c r="L1626"/>
      <c r="M1626"/>
      <c r="N1626"/>
      <c r="O1626"/>
      <c r="P1626"/>
      <c r="Q1626"/>
    </row>
    <row r="1627" spans="9:17" s="1" customFormat="1">
      <c r="I1627" s="185"/>
      <c r="J1627" s="185"/>
      <c r="K1627" s="185"/>
      <c r="L1627"/>
      <c r="M1627"/>
      <c r="N1627"/>
      <c r="O1627"/>
      <c r="P1627"/>
      <c r="Q1627"/>
    </row>
    <row r="1628" spans="9:17" s="1" customFormat="1">
      <c r="I1628" s="185"/>
      <c r="J1628" s="185"/>
      <c r="K1628" s="185"/>
      <c r="L1628"/>
      <c r="M1628"/>
      <c r="N1628"/>
      <c r="O1628"/>
      <c r="P1628"/>
      <c r="Q1628"/>
    </row>
    <row r="1629" spans="9:17" s="1" customFormat="1">
      <c r="I1629" s="185"/>
      <c r="J1629" s="185"/>
      <c r="K1629" s="185"/>
      <c r="L1629"/>
      <c r="M1629"/>
      <c r="N1629"/>
      <c r="O1629"/>
      <c r="P1629"/>
      <c r="Q1629"/>
    </row>
    <row r="1630" spans="9:17" s="1" customFormat="1">
      <c r="I1630" s="185"/>
      <c r="J1630" s="185"/>
      <c r="K1630" s="185"/>
      <c r="L1630"/>
      <c r="M1630"/>
      <c r="N1630"/>
      <c r="O1630"/>
      <c r="P1630"/>
      <c r="Q1630"/>
    </row>
    <row r="1631" spans="9:17" s="1" customFormat="1">
      <c r="I1631" s="185"/>
      <c r="J1631" s="185"/>
      <c r="K1631" s="185"/>
      <c r="L1631"/>
      <c r="M1631"/>
      <c r="N1631"/>
      <c r="O1631"/>
      <c r="P1631"/>
      <c r="Q1631"/>
    </row>
    <row r="1632" spans="9:17" s="1" customFormat="1">
      <c r="I1632" s="185"/>
      <c r="J1632" s="185"/>
      <c r="K1632" s="185"/>
      <c r="L1632"/>
      <c r="M1632"/>
      <c r="N1632"/>
      <c r="O1632"/>
      <c r="P1632"/>
      <c r="Q1632"/>
    </row>
    <row r="1633" spans="9:17" s="1" customFormat="1">
      <c r="I1633" s="185"/>
      <c r="J1633" s="185"/>
      <c r="K1633" s="185"/>
      <c r="L1633"/>
      <c r="M1633"/>
      <c r="N1633"/>
      <c r="O1633"/>
      <c r="P1633"/>
      <c r="Q1633"/>
    </row>
    <row r="1634" spans="9:17" s="1" customFormat="1">
      <c r="I1634" s="185"/>
      <c r="J1634" s="185"/>
      <c r="K1634" s="185"/>
      <c r="L1634"/>
      <c r="M1634"/>
      <c r="N1634"/>
      <c r="O1634"/>
      <c r="P1634"/>
      <c r="Q1634"/>
    </row>
    <row r="1635" spans="9:17" s="1" customFormat="1">
      <c r="I1635" s="185"/>
      <c r="J1635" s="185"/>
      <c r="K1635" s="185"/>
      <c r="L1635"/>
      <c r="M1635"/>
      <c r="N1635"/>
      <c r="O1635"/>
      <c r="P1635"/>
      <c r="Q1635"/>
    </row>
    <row r="1636" spans="9:17" s="1" customFormat="1">
      <c r="I1636" s="185"/>
      <c r="J1636" s="185"/>
      <c r="K1636" s="185"/>
      <c r="L1636"/>
      <c r="M1636"/>
      <c r="N1636"/>
      <c r="O1636"/>
      <c r="P1636"/>
      <c r="Q1636"/>
    </row>
    <row r="1637" spans="9:17" s="1" customFormat="1">
      <c r="I1637" s="185"/>
      <c r="J1637" s="185"/>
      <c r="K1637" s="185"/>
      <c r="L1637"/>
      <c r="M1637"/>
      <c r="N1637"/>
      <c r="O1637"/>
      <c r="P1637"/>
      <c r="Q1637"/>
    </row>
    <row r="1638" spans="9:17" s="1" customFormat="1">
      <c r="I1638" s="185"/>
      <c r="J1638" s="185"/>
      <c r="K1638" s="185"/>
      <c r="L1638"/>
      <c r="M1638"/>
      <c r="N1638"/>
      <c r="O1638"/>
      <c r="P1638"/>
      <c r="Q1638"/>
    </row>
    <row r="1639" spans="9:17" s="1" customFormat="1">
      <c r="I1639" s="185"/>
      <c r="J1639" s="185"/>
      <c r="K1639" s="185"/>
      <c r="L1639"/>
      <c r="M1639"/>
      <c r="N1639"/>
      <c r="O1639"/>
      <c r="P1639"/>
      <c r="Q1639"/>
    </row>
    <row r="1640" spans="9:17" s="1" customFormat="1">
      <c r="I1640" s="185"/>
      <c r="J1640" s="185"/>
      <c r="K1640" s="185"/>
      <c r="L1640"/>
      <c r="M1640"/>
      <c r="N1640"/>
      <c r="O1640"/>
      <c r="P1640"/>
      <c r="Q1640"/>
    </row>
    <row r="1641" spans="9:17" s="1" customFormat="1">
      <c r="I1641" s="185"/>
      <c r="J1641" s="185"/>
      <c r="K1641" s="185"/>
      <c r="L1641"/>
      <c r="M1641"/>
      <c r="N1641"/>
      <c r="O1641"/>
      <c r="P1641"/>
      <c r="Q1641"/>
    </row>
    <row r="1642" spans="9:17" s="1" customFormat="1">
      <c r="I1642" s="185"/>
      <c r="J1642" s="185"/>
      <c r="K1642" s="185"/>
      <c r="L1642"/>
      <c r="M1642"/>
      <c r="N1642"/>
      <c r="O1642"/>
      <c r="P1642"/>
      <c r="Q1642"/>
    </row>
    <row r="1643" spans="9:17" s="1" customFormat="1">
      <c r="I1643" s="185"/>
      <c r="J1643" s="185"/>
      <c r="K1643" s="185"/>
      <c r="L1643"/>
      <c r="M1643"/>
      <c r="N1643"/>
      <c r="O1643"/>
      <c r="P1643"/>
      <c r="Q1643"/>
    </row>
    <row r="1644" spans="9:17" s="1" customFormat="1">
      <c r="I1644" s="185"/>
      <c r="J1644" s="185"/>
      <c r="K1644" s="185"/>
      <c r="L1644"/>
      <c r="M1644"/>
      <c r="N1644"/>
      <c r="O1644"/>
      <c r="P1644"/>
      <c r="Q1644"/>
    </row>
    <row r="1645" spans="9:17" s="1" customFormat="1">
      <c r="I1645" s="185"/>
      <c r="J1645" s="185"/>
      <c r="K1645" s="185"/>
      <c r="L1645"/>
      <c r="M1645"/>
      <c r="N1645"/>
      <c r="O1645"/>
      <c r="P1645"/>
      <c r="Q1645"/>
    </row>
    <row r="1646" spans="9:17" s="1" customFormat="1">
      <c r="I1646" s="185"/>
      <c r="J1646" s="185"/>
      <c r="K1646" s="185"/>
      <c r="L1646"/>
      <c r="M1646"/>
      <c r="N1646"/>
      <c r="O1646"/>
      <c r="P1646"/>
      <c r="Q1646"/>
    </row>
    <row r="1647" spans="9:17" s="1" customFormat="1">
      <c r="I1647" s="185"/>
      <c r="J1647" s="185"/>
      <c r="K1647" s="185"/>
      <c r="L1647"/>
      <c r="M1647"/>
      <c r="N1647"/>
      <c r="O1647"/>
      <c r="P1647"/>
      <c r="Q1647"/>
    </row>
    <row r="1648" spans="9:17" s="1" customFormat="1">
      <c r="I1648" s="185"/>
      <c r="J1648" s="185"/>
      <c r="K1648" s="185"/>
      <c r="L1648"/>
      <c r="M1648"/>
      <c r="N1648"/>
      <c r="O1648"/>
      <c r="P1648"/>
      <c r="Q1648"/>
    </row>
    <row r="1649" spans="9:17" s="1" customFormat="1">
      <c r="I1649" s="185"/>
      <c r="J1649" s="185"/>
      <c r="K1649" s="185"/>
      <c r="L1649"/>
      <c r="M1649"/>
      <c r="N1649"/>
      <c r="O1649"/>
      <c r="P1649"/>
      <c r="Q1649"/>
    </row>
    <row r="1650" spans="9:17" s="1" customFormat="1">
      <c r="I1650" s="185"/>
      <c r="J1650" s="185"/>
      <c r="K1650" s="185"/>
      <c r="L1650"/>
      <c r="M1650"/>
      <c r="N1650"/>
      <c r="O1650"/>
      <c r="P1650"/>
      <c r="Q1650"/>
    </row>
    <row r="1651" spans="9:17" s="1" customFormat="1">
      <c r="I1651" s="185"/>
      <c r="J1651" s="185"/>
      <c r="K1651" s="185"/>
      <c r="L1651"/>
      <c r="M1651"/>
      <c r="N1651"/>
      <c r="O1651"/>
      <c r="P1651"/>
      <c r="Q1651"/>
    </row>
    <row r="1652" spans="9:17" s="1" customFormat="1">
      <c r="I1652" s="185"/>
      <c r="J1652" s="185"/>
      <c r="K1652" s="185"/>
      <c r="L1652"/>
      <c r="M1652"/>
      <c r="N1652"/>
      <c r="O1652"/>
      <c r="P1652"/>
      <c r="Q1652"/>
    </row>
    <row r="1653" spans="9:17" s="1" customFormat="1">
      <c r="I1653" s="185"/>
      <c r="J1653" s="185"/>
      <c r="K1653" s="185"/>
      <c r="L1653"/>
      <c r="M1653"/>
      <c r="N1653"/>
      <c r="O1653"/>
      <c r="P1653"/>
      <c r="Q1653"/>
    </row>
    <row r="1654" spans="9:17" s="1" customFormat="1">
      <c r="I1654" s="185"/>
      <c r="J1654" s="185"/>
      <c r="K1654" s="185"/>
      <c r="L1654"/>
      <c r="M1654"/>
      <c r="N1654"/>
      <c r="O1654"/>
      <c r="P1654"/>
      <c r="Q1654"/>
    </row>
    <row r="1655" spans="9:17" s="1" customFormat="1">
      <c r="I1655" s="185"/>
      <c r="J1655" s="185"/>
      <c r="K1655" s="185"/>
      <c r="L1655"/>
      <c r="M1655"/>
      <c r="N1655"/>
      <c r="O1655"/>
      <c r="P1655"/>
      <c r="Q1655"/>
    </row>
    <row r="1656" spans="9:17" s="1" customFormat="1">
      <c r="I1656" s="185"/>
      <c r="J1656" s="185"/>
      <c r="K1656" s="185"/>
      <c r="L1656"/>
      <c r="M1656"/>
      <c r="N1656"/>
      <c r="O1656"/>
      <c r="P1656"/>
      <c r="Q1656"/>
    </row>
    <row r="1657" spans="9:17" s="1" customFormat="1">
      <c r="I1657" s="185"/>
      <c r="J1657" s="185"/>
      <c r="K1657" s="185"/>
      <c r="L1657"/>
      <c r="M1657"/>
      <c r="N1657"/>
      <c r="O1657"/>
      <c r="P1657"/>
      <c r="Q1657"/>
    </row>
    <row r="1658" spans="9:17" s="1" customFormat="1">
      <c r="I1658" s="185"/>
      <c r="J1658" s="185"/>
      <c r="K1658" s="185"/>
      <c r="L1658"/>
      <c r="M1658"/>
      <c r="N1658"/>
      <c r="O1658"/>
      <c r="P1658"/>
      <c r="Q1658"/>
    </row>
    <row r="1659" spans="9:17" s="1" customFormat="1">
      <c r="I1659" s="185"/>
      <c r="J1659" s="185"/>
      <c r="K1659" s="185"/>
      <c r="L1659"/>
      <c r="M1659"/>
      <c r="N1659"/>
      <c r="O1659"/>
      <c r="P1659"/>
      <c r="Q1659"/>
    </row>
    <row r="1660" spans="9:17" s="1" customFormat="1">
      <c r="I1660" s="185"/>
      <c r="J1660" s="185"/>
      <c r="K1660" s="185"/>
      <c r="L1660"/>
      <c r="M1660"/>
      <c r="N1660"/>
      <c r="O1660"/>
      <c r="P1660"/>
      <c r="Q1660"/>
    </row>
    <row r="1661" spans="9:17" s="1" customFormat="1">
      <c r="I1661" s="185"/>
      <c r="J1661" s="185"/>
      <c r="K1661" s="185"/>
      <c r="L1661"/>
      <c r="M1661"/>
      <c r="N1661"/>
      <c r="O1661"/>
      <c r="P1661"/>
      <c r="Q1661"/>
    </row>
    <row r="1662" spans="9:17" s="1" customFormat="1">
      <c r="I1662" s="185"/>
      <c r="J1662" s="185"/>
      <c r="K1662" s="185"/>
      <c r="L1662"/>
      <c r="M1662"/>
      <c r="N1662"/>
      <c r="O1662"/>
      <c r="P1662"/>
      <c r="Q1662"/>
    </row>
    <row r="1663" spans="9:17" s="1" customFormat="1">
      <c r="I1663" s="185"/>
      <c r="J1663" s="185"/>
      <c r="K1663" s="185"/>
      <c r="L1663"/>
      <c r="M1663"/>
      <c r="N1663"/>
      <c r="O1663"/>
      <c r="P1663"/>
      <c r="Q1663"/>
    </row>
    <row r="1664" spans="9:17" s="1" customFormat="1">
      <c r="I1664" s="185"/>
      <c r="J1664" s="185"/>
      <c r="K1664" s="185"/>
      <c r="L1664"/>
      <c r="M1664"/>
      <c r="N1664"/>
      <c r="O1664"/>
      <c r="P1664"/>
      <c r="Q1664"/>
    </row>
    <row r="1665" spans="9:17" s="1" customFormat="1">
      <c r="I1665" s="185"/>
      <c r="J1665" s="185"/>
      <c r="K1665" s="185"/>
      <c r="L1665"/>
      <c r="M1665"/>
      <c r="N1665"/>
      <c r="O1665"/>
      <c r="P1665"/>
      <c r="Q1665"/>
    </row>
    <row r="1666" spans="9:17" s="1" customFormat="1">
      <c r="I1666" s="185"/>
      <c r="J1666" s="185"/>
      <c r="K1666" s="185"/>
      <c r="L1666"/>
      <c r="M1666"/>
      <c r="N1666"/>
      <c r="O1666"/>
      <c r="P1666"/>
      <c r="Q1666"/>
    </row>
    <row r="1667" spans="9:17" s="1" customFormat="1">
      <c r="I1667" s="185"/>
      <c r="J1667" s="185"/>
      <c r="K1667" s="185"/>
      <c r="L1667"/>
      <c r="M1667"/>
      <c r="N1667"/>
      <c r="O1667"/>
      <c r="P1667"/>
      <c r="Q1667"/>
    </row>
    <row r="1668" spans="9:17" s="1" customFormat="1">
      <c r="I1668" s="185"/>
      <c r="J1668" s="185"/>
      <c r="K1668" s="185"/>
      <c r="L1668"/>
      <c r="M1668"/>
      <c r="N1668"/>
      <c r="O1668"/>
      <c r="P1668"/>
      <c r="Q1668"/>
    </row>
    <row r="1669" spans="9:17" s="1" customFormat="1">
      <c r="I1669" s="185"/>
      <c r="J1669" s="185"/>
      <c r="K1669" s="185"/>
      <c r="L1669"/>
      <c r="M1669"/>
      <c r="N1669"/>
      <c r="O1669"/>
      <c r="P1669"/>
      <c r="Q1669"/>
    </row>
    <row r="1670" spans="9:17" s="1" customFormat="1">
      <c r="I1670" s="185"/>
      <c r="J1670" s="185"/>
      <c r="K1670" s="185"/>
      <c r="L1670"/>
      <c r="M1670"/>
      <c r="N1670"/>
      <c r="O1670"/>
      <c r="P1670"/>
      <c r="Q1670"/>
    </row>
    <row r="1671" spans="9:17" s="1" customFormat="1">
      <c r="I1671" s="185"/>
      <c r="J1671" s="185"/>
      <c r="K1671" s="185"/>
      <c r="L1671"/>
      <c r="M1671"/>
      <c r="N1671"/>
      <c r="O1671"/>
      <c r="P1671"/>
      <c r="Q1671"/>
    </row>
    <row r="1672" spans="9:17" s="1" customFormat="1">
      <c r="I1672" s="185"/>
      <c r="J1672" s="185"/>
      <c r="K1672" s="185"/>
      <c r="L1672"/>
      <c r="M1672"/>
      <c r="N1672"/>
      <c r="O1672"/>
      <c r="P1672"/>
      <c r="Q1672"/>
    </row>
    <row r="1673" spans="9:17" s="1" customFormat="1">
      <c r="I1673" s="185"/>
      <c r="J1673" s="185"/>
      <c r="K1673" s="185"/>
      <c r="L1673"/>
      <c r="M1673"/>
      <c r="N1673"/>
      <c r="O1673"/>
      <c r="P1673"/>
      <c r="Q1673"/>
    </row>
    <row r="1674" spans="9:17" s="1" customFormat="1">
      <c r="I1674" s="185"/>
      <c r="J1674" s="185"/>
      <c r="K1674" s="185"/>
      <c r="L1674"/>
      <c r="M1674"/>
      <c r="N1674"/>
      <c r="O1674"/>
      <c r="P1674"/>
      <c r="Q1674"/>
    </row>
    <row r="1675" spans="9:17" s="1" customFormat="1">
      <c r="I1675" s="185"/>
      <c r="J1675" s="185"/>
      <c r="K1675" s="185"/>
      <c r="L1675"/>
      <c r="M1675"/>
      <c r="N1675"/>
      <c r="O1675"/>
      <c r="P1675"/>
      <c r="Q1675"/>
    </row>
    <row r="1676" spans="9:17" s="1" customFormat="1">
      <c r="I1676" s="185"/>
      <c r="J1676" s="185"/>
      <c r="K1676" s="185"/>
      <c r="L1676"/>
      <c r="M1676"/>
      <c r="N1676"/>
      <c r="O1676"/>
      <c r="P1676"/>
      <c r="Q1676"/>
    </row>
    <row r="1677" spans="9:17" s="1" customFormat="1">
      <c r="I1677" s="185"/>
      <c r="J1677" s="185"/>
      <c r="K1677" s="185"/>
      <c r="L1677"/>
      <c r="M1677"/>
      <c r="N1677"/>
      <c r="O1677"/>
      <c r="P1677"/>
      <c r="Q1677"/>
    </row>
    <row r="1678" spans="9:17" s="1" customFormat="1">
      <c r="I1678" s="185"/>
      <c r="J1678" s="185"/>
      <c r="K1678" s="185"/>
      <c r="L1678"/>
      <c r="M1678"/>
      <c r="N1678"/>
      <c r="O1678"/>
      <c r="P1678"/>
      <c r="Q1678"/>
    </row>
    <row r="1679" spans="9:17" s="1" customFormat="1">
      <c r="I1679" s="185"/>
      <c r="J1679" s="185"/>
      <c r="K1679" s="185"/>
      <c r="L1679"/>
      <c r="M1679"/>
      <c r="N1679"/>
      <c r="O1679"/>
      <c r="P1679"/>
      <c r="Q1679"/>
    </row>
    <row r="1680" spans="9:17" s="1" customFormat="1">
      <c r="I1680" s="185"/>
      <c r="J1680" s="185"/>
      <c r="K1680" s="185"/>
      <c r="L1680"/>
      <c r="M1680"/>
      <c r="N1680"/>
      <c r="O1680"/>
      <c r="P1680"/>
      <c r="Q1680"/>
    </row>
    <row r="1681" spans="9:17" s="1" customFormat="1">
      <c r="I1681" s="185"/>
      <c r="J1681" s="185"/>
      <c r="K1681" s="185"/>
      <c r="L1681"/>
      <c r="M1681"/>
      <c r="N1681"/>
      <c r="O1681"/>
      <c r="P1681"/>
      <c r="Q1681"/>
    </row>
    <row r="1682" spans="9:17" s="1" customFormat="1">
      <c r="I1682" s="185"/>
      <c r="J1682" s="185"/>
      <c r="K1682" s="185"/>
      <c r="L1682"/>
      <c r="M1682"/>
      <c r="N1682"/>
      <c r="O1682"/>
      <c r="P1682"/>
      <c r="Q1682"/>
    </row>
    <row r="1683" spans="9:17" s="1" customFormat="1">
      <c r="I1683" s="185"/>
      <c r="J1683" s="185"/>
      <c r="K1683" s="185"/>
      <c r="L1683"/>
      <c r="M1683"/>
      <c r="N1683"/>
      <c r="O1683"/>
      <c r="P1683"/>
      <c r="Q1683"/>
    </row>
    <row r="1684" spans="9:17" s="1" customFormat="1">
      <c r="I1684" s="185"/>
      <c r="J1684" s="185"/>
      <c r="K1684" s="185"/>
      <c r="L1684"/>
      <c r="M1684"/>
      <c r="N1684"/>
      <c r="O1684"/>
      <c r="P1684"/>
      <c r="Q1684"/>
    </row>
    <row r="1685" spans="9:17" s="1" customFormat="1">
      <c r="I1685" s="185"/>
      <c r="J1685" s="185"/>
      <c r="K1685" s="185"/>
      <c r="L1685"/>
      <c r="M1685"/>
      <c r="N1685"/>
      <c r="O1685"/>
      <c r="P1685"/>
      <c r="Q1685"/>
    </row>
    <row r="1686" spans="9:17" s="1" customFormat="1">
      <c r="I1686" s="185"/>
      <c r="J1686" s="185"/>
      <c r="K1686" s="185"/>
      <c r="L1686"/>
      <c r="M1686"/>
      <c r="N1686"/>
      <c r="O1686"/>
      <c r="P1686"/>
      <c r="Q1686"/>
    </row>
    <row r="1687" spans="9:17" s="1" customFormat="1">
      <c r="I1687" s="185"/>
      <c r="J1687" s="185"/>
      <c r="K1687" s="185"/>
      <c r="L1687"/>
      <c r="M1687"/>
      <c r="N1687"/>
      <c r="O1687"/>
      <c r="P1687"/>
      <c r="Q1687"/>
    </row>
    <row r="1688" spans="9:17" s="1" customFormat="1">
      <c r="I1688" s="185"/>
      <c r="J1688" s="185"/>
      <c r="K1688" s="185"/>
      <c r="L1688"/>
      <c r="M1688"/>
      <c r="N1688"/>
      <c r="O1688"/>
      <c r="P1688"/>
      <c r="Q1688"/>
    </row>
    <row r="1689" spans="9:17" s="1" customFormat="1">
      <c r="I1689" s="185"/>
      <c r="J1689" s="185"/>
      <c r="K1689" s="185"/>
      <c r="L1689"/>
      <c r="M1689"/>
      <c r="N1689"/>
      <c r="O1689"/>
      <c r="P1689"/>
      <c r="Q1689"/>
    </row>
    <row r="1690" spans="9:17" s="1" customFormat="1">
      <c r="I1690" s="185"/>
      <c r="J1690" s="185"/>
      <c r="K1690" s="185"/>
      <c r="L1690"/>
      <c r="M1690"/>
      <c r="N1690"/>
      <c r="O1690"/>
      <c r="P1690"/>
      <c r="Q1690"/>
    </row>
    <row r="1691" spans="9:17" s="1" customFormat="1">
      <c r="I1691" s="185"/>
      <c r="J1691" s="185"/>
      <c r="K1691" s="185"/>
      <c r="L1691"/>
      <c r="M1691"/>
      <c r="N1691"/>
      <c r="O1691"/>
      <c r="P1691"/>
      <c r="Q1691"/>
    </row>
    <row r="1692" spans="9:17" s="1" customFormat="1">
      <c r="I1692" s="185"/>
      <c r="J1692" s="185"/>
      <c r="K1692" s="185"/>
      <c r="L1692"/>
      <c r="M1692"/>
      <c r="N1692"/>
      <c r="O1692"/>
      <c r="P1692"/>
      <c r="Q1692"/>
    </row>
    <row r="1693" spans="9:17" s="1" customFormat="1">
      <c r="I1693" s="185"/>
      <c r="J1693" s="185"/>
      <c r="K1693" s="185"/>
      <c r="L1693"/>
      <c r="M1693"/>
      <c r="N1693"/>
      <c r="O1693"/>
      <c r="P1693"/>
      <c r="Q1693"/>
    </row>
    <row r="1694" spans="9:17" s="1" customFormat="1">
      <c r="I1694" s="185"/>
      <c r="J1694" s="185"/>
      <c r="K1694" s="185"/>
      <c r="L1694"/>
      <c r="M1694"/>
      <c r="N1694"/>
      <c r="O1694"/>
      <c r="P1694"/>
      <c r="Q1694"/>
    </row>
    <row r="1695" spans="9:17" s="1" customFormat="1">
      <c r="I1695" s="185"/>
      <c r="J1695" s="185"/>
      <c r="K1695" s="185"/>
      <c r="L1695"/>
      <c r="M1695"/>
      <c r="N1695"/>
      <c r="O1695"/>
      <c r="P1695"/>
      <c r="Q1695"/>
    </row>
    <row r="1696" spans="9:17" s="1" customFormat="1">
      <c r="I1696" s="185"/>
      <c r="J1696" s="185"/>
      <c r="K1696" s="185"/>
      <c r="L1696"/>
      <c r="M1696"/>
      <c r="N1696"/>
      <c r="O1696"/>
      <c r="P1696"/>
      <c r="Q1696"/>
    </row>
    <row r="1697" spans="9:17" s="1" customFormat="1">
      <c r="I1697" s="185"/>
      <c r="J1697" s="185"/>
      <c r="K1697" s="185"/>
      <c r="L1697"/>
      <c r="M1697"/>
      <c r="N1697"/>
      <c r="O1697"/>
      <c r="P1697"/>
      <c r="Q1697"/>
    </row>
    <row r="1698" spans="9:17" s="1" customFormat="1">
      <c r="I1698" s="185"/>
      <c r="J1698" s="185"/>
      <c r="K1698" s="185"/>
      <c r="L1698"/>
      <c r="M1698"/>
      <c r="N1698"/>
      <c r="O1698"/>
      <c r="P1698"/>
      <c r="Q1698"/>
    </row>
    <row r="1699" spans="9:17" s="1" customFormat="1">
      <c r="I1699" s="185"/>
      <c r="J1699" s="185"/>
      <c r="K1699" s="185"/>
      <c r="L1699"/>
      <c r="M1699"/>
      <c r="N1699"/>
      <c r="O1699"/>
      <c r="P1699"/>
      <c r="Q1699"/>
    </row>
    <row r="1700" spans="9:17" s="1" customFormat="1">
      <c r="I1700" s="185"/>
      <c r="J1700" s="185"/>
      <c r="K1700" s="185"/>
      <c r="L1700"/>
      <c r="M1700"/>
      <c r="N1700"/>
      <c r="O1700"/>
      <c r="P1700"/>
      <c r="Q1700"/>
    </row>
    <row r="1701" spans="9:17" s="1" customFormat="1">
      <c r="I1701" s="185"/>
      <c r="J1701" s="185"/>
      <c r="K1701" s="185"/>
      <c r="L1701"/>
      <c r="M1701"/>
      <c r="N1701"/>
      <c r="O1701"/>
      <c r="P1701"/>
      <c r="Q1701"/>
    </row>
    <row r="1702" spans="9:17" s="1" customFormat="1">
      <c r="I1702" s="185"/>
      <c r="J1702" s="185"/>
      <c r="K1702" s="185"/>
      <c r="L1702"/>
      <c r="M1702"/>
      <c r="N1702"/>
      <c r="O1702"/>
      <c r="P1702"/>
      <c r="Q1702"/>
    </row>
    <row r="1703" spans="9:17" s="1" customFormat="1">
      <c r="I1703" s="185"/>
      <c r="J1703" s="185"/>
      <c r="K1703" s="185"/>
      <c r="L1703"/>
      <c r="M1703"/>
      <c r="N1703"/>
      <c r="O1703"/>
      <c r="P1703"/>
      <c r="Q1703"/>
    </row>
    <row r="1704" spans="9:17" s="1" customFormat="1">
      <c r="I1704" s="185"/>
      <c r="J1704" s="185"/>
      <c r="K1704" s="185"/>
      <c r="L1704"/>
      <c r="M1704"/>
      <c r="N1704"/>
      <c r="O1704"/>
      <c r="P1704"/>
      <c r="Q1704"/>
    </row>
    <row r="1705" spans="9:17" s="1" customFormat="1">
      <c r="I1705" s="185"/>
      <c r="J1705" s="185"/>
      <c r="K1705" s="185"/>
      <c r="L1705"/>
      <c r="M1705"/>
      <c r="N1705"/>
      <c r="O1705"/>
      <c r="P1705"/>
      <c r="Q1705"/>
    </row>
    <row r="1706" spans="9:17" s="1" customFormat="1">
      <c r="I1706" s="185"/>
      <c r="J1706" s="185"/>
      <c r="K1706" s="185"/>
      <c r="L1706"/>
      <c r="M1706"/>
      <c r="N1706"/>
      <c r="O1706"/>
      <c r="P1706"/>
      <c r="Q1706"/>
    </row>
    <row r="1707" spans="9:17" s="1" customFormat="1">
      <c r="I1707" s="185"/>
      <c r="J1707" s="185"/>
      <c r="K1707" s="185"/>
      <c r="L1707"/>
      <c r="M1707"/>
      <c r="N1707"/>
      <c r="O1707"/>
      <c r="P1707"/>
      <c r="Q1707"/>
    </row>
    <row r="1708" spans="9:17" s="1" customFormat="1">
      <c r="I1708" s="185"/>
      <c r="J1708" s="185"/>
      <c r="K1708" s="185"/>
      <c r="L1708"/>
      <c r="M1708"/>
      <c r="N1708"/>
      <c r="O1708"/>
      <c r="P1708"/>
      <c r="Q1708"/>
    </row>
    <row r="1709" spans="9:17" s="1" customFormat="1">
      <c r="I1709" s="185"/>
      <c r="J1709" s="185"/>
      <c r="K1709" s="185"/>
      <c r="L1709"/>
      <c r="M1709"/>
      <c r="N1709"/>
      <c r="O1709"/>
      <c r="P1709"/>
      <c r="Q1709"/>
    </row>
    <row r="1710" spans="9:17" s="1" customFormat="1">
      <c r="I1710" s="185"/>
      <c r="J1710" s="185"/>
      <c r="K1710" s="185"/>
      <c r="L1710"/>
      <c r="M1710"/>
      <c r="N1710"/>
      <c r="O1710"/>
      <c r="P1710"/>
      <c r="Q1710"/>
    </row>
    <row r="1711" spans="9:17" s="1" customFormat="1">
      <c r="I1711" s="185"/>
      <c r="J1711" s="185"/>
      <c r="K1711" s="185"/>
      <c r="L1711"/>
      <c r="M1711"/>
      <c r="N1711"/>
      <c r="O1711"/>
      <c r="P1711"/>
      <c r="Q1711"/>
    </row>
    <row r="1712" spans="9:17" s="1" customFormat="1">
      <c r="I1712" s="185"/>
      <c r="J1712" s="185"/>
      <c r="K1712" s="185"/>
      <c r="L1712"/>
      <c r="M1712"/>
      <c r="N1712"/>
      <c r="O1712"/>
      <c r="P1712"/>
      <c r="Q1712"/>
    </row>
    <row r="1713" spans="9:17" s="1" customFormat="1">
      <c r="I1713" s="185"/>
      <c r="J1713" s="185"/>
      <c r="K1713" s="185"/>
      <c r="L1713"/>
      <c r="M1713"/>
      <c r="N1713"/>
      <c r="O1713"/>
      <c r="P1713"/>
      <c r="Q1713"/>
    </row>
    <row r="1714" spans="9:17" s="1" customFormat="1">
      <c r="I1714" s="185"/>
      <c r="J1714" s="185"/>
      <c r="K1714" s="185"/>
      <c r="L1714"/>
      <c r="M1714"/>
      <c r="N1714"/>
      <c r="O1714"/>
      <c r="P1714"/>
      <c r="Q1714"/>
    </row>
    <row r="1715" spans="9:17" s="1" customFormat="1">
      <c r="I1715" s="185"/>
      <c r="J1715" s="185"/>
      <c r="K1715" s="185"/>
      <c r="L1715"/>
      <c r="M1715"/>
      <c r="N1715"/>
      <c r="O1715"/>
      <c r="P1715"/>
      <c r="Q1715"/>
    </row>
    <row r="1716" spans="9:17" s="1" customFormat="1">
      <c r="I1716" s="185"/>
      <c r="J1716" s="185"/>
      <c r="K1716" s="185"/>
      <c r="L1716"/>
      <c r="M1716"/>
      <c r="N1716"/>
      <c r="O1716"/>
      <c r="P1716"/>
      <c r="Q1716"/>
    </row>
    <row r="1717" spans="9:17" s="1" customFormat="1">
      <c r="I1717" s="185"/>
      <c r="J1717" s="185"/>
      <c r="K1717" s="185"/>
      <c r="L1717"/>
      <c r="M1717"/>
      <c r="N1717"/>
      <c r="O1717"/>
      <c r="P1717"/>
      <c r="Q1717"/>
    </row>
    <row r="1718" spans="9:17" s="1" customFormat="1">
      <c r="I1718" s="185"/>
      <c r="J1718" s="185"/>
      <c r="K1718" s="185"/>
      <c r="L1718"/>
      <c r="M1718"/>
      <c r="N1718"/>
      <c r="O1718"/>
      <c r="P1718"/>
      <c r="Q1718"/>
    </row>
    <row r="1719" spans="9:17" s="1" customFormat="1">
      <c r="I1719" s="185"/>
      <c r="J1719" s="185"/>
      <c r="K1719" s="185"/>
      <c r="L1719"/>
      <c r="M1719"/>
      <c r="N1719"/>
      <c r="O1719"/>
      <c r="P1719"/>
      <c r="Q1719"/>
    </row>
    <row r="1720" spans="9:17" s="1" customFormat="1">
      <c r="I1720" s="185"/>
      <c r="J1720" s="185"/>
      <c r="K1720" s="185"/>
      <c r="L1720"/>
      <c r="M1720"/>
      <c r="N1720"/>
      <c r="O1720"/>
      <c r="P1720"/>
      <c r="Q1720"/>
    </row>
    <row r="1721" spans="9:17" s="1" customFormat="1">
      <c r="I1721" s="185"/>
      <c r="J1721" s="185"/>
      <c r="K1721" s="185"/>
      <c r="L1721"/>
      <c r="M1721"/>
      <c r="N1721"/>
      <c r="O1721"/>
      <c r="P1721"/>
      <c r="Q1721"/>
    </row>
    <row r="1722" spans="9:17" s="1" customFormat="1">
      <c r="I1722" s="185"/>
      <c r="J1722" s="185"/>
      <c r="K1722" s="185"/>
      <c r="L1722"/>
      <c r="M1722"/>
      <c r="N1722"/>
      <c r="O1722"/>
      <c r="P1722"/>
      <c r="Q1722"/>
    </row>
    <row r="1723" spans="9:17" s="1" customFormat="1">
      <c r="I1723" s="185"/>
      <c r="J1723" s="185"/>
      <c r="K1723" s="185"/>
      <c r="L1723"/>
      <c r="M1723"/>
      <c r="N1723"/>
      <c r="O1723"/>
      <c r="P1723"/>
      <c r="Q1723"/>
    </row>
    <row r="1724" spans="9:17" s="1" customFormat="1">
      <c r="I1724" s="185"/>
      <c r="J1724" s="185"/>
      <c r="K1724" s="185"/>
      <c r="L1724"/>
      <c r="M1724"/>
      <c r="N1724"/>
      <c r="O1724"/>
      <c r="P1724"/>
      <c r="Q1724"/>
    </row>
    <row r="1725" spans="9:17" s="1" customFormat="1">
      <c r="I1725" s="185"/>
      <c r="J1725" s="185"/>
      <c r="K1725" s="185"/>
      <c r="L1725"/>
      <c r="M1725"/>
      <c r="N1725"/>
      <c r="O1725"/>
      <c r="P1725"/>
      <c r="Q1725"/>
    </row>
    <row r="1726" spans="9:17" s="1" customFormat="1">
      <c r="I1726" s="185"/>
      <c r="J1726" s="185"/>
      <c r="K1726" s="185"/>
      <c r="L1726"/>
      <c r="M1726"/>
      <c r="N1726"/>
      <c r="O1726"/>
      <c r="P1726"/>
      <c r="Q1726"/>
    </row>
    <row r="1727" spans="9:17" s="1" customFormat="1">
      <c r="I1727" s="185"/>
      <c r="J1727" s="185"/>
      <c r="K1727" s="185"/>
      <c r="L1727"/>
      <c r="M1727"/>
      <c r="N1727"/>
      <c r="O1727"/>
      <c r="P1727"/>
      <c r="Q1727"/>
    </row>
    <row r="1728" spans="9:17" s="1" customFormat="1">
      <c r="I1728" s="185"/>
      <c r="J1728" s="185"/>
      <c r="K1728" s="185"/>
      <c r="L1728"/>
      <c r="M1728"/>
      <c r="N1728"/>
      <c r="O1728"/>
      <c r="P1728"/>
      <c r="Q1728"/>
    </row>
    <row r="1729" spans="9:17" s="1" customFormat="1">
      <c r="I1729" s="185"/>
      <c r="J1729" s="185"/>
      <c r="K1729" s="185"/>
      <c r="L1729"/>
      <c r="M1729"/>
      <c r="N1729"/>
      <c r="O1729"/>
      <c r="P1729"/>
      <c r="Q1729"/>
    </row>
    <row r="1730" spans="9:17" s="1" customFormat="1">
      <c r="I1730" s="185"/>
      <c r="J1730" s="185"/>
      <c r="K1730" s="185"/>
      <c r="L1730"/>
      <c r="M1730"/>
      <c r="N1730"/>
      <c r="O1730"/>
      <c r="P1730"/>
      <c r="Q1730"/>
    </row>
    <row r="1731" spans="9:17" s="1" customFormat="1">
      <c r="I1731" s="185"/>
      <c r="J1731" s="185"/>
      <c r="K1731" s="185"/>
      <c r="L1731"/>
      <c r="M1731"/>
      <c r="N1731"/>
      <c r="O1731"/>
      <c r="P1731"/>
      <c r="Q1731"/>
    </row>
    <row r="1732" spans="9:17" s="1" customFormat="1">
      <c r="I1732" s="185"/>
      <c r="J1732" s="185"/>
      <c r="K1732" s="185"/>
      <c r="L1732"/>
      <c r="M1732"/>
      <c r="N1732"/>
      <c r="O1732"/>
      <c r="P1732"/>
      <c r="Q1732"/>
    </row>
    <row r="1733" spans="9:17" s="1" customFormat="1">
      <c r="I1733" s="185"/>
      <c r="J1733" s="185"/>
      <c r="K1733" s="185"/>
      <c r="L1733"/>
      <c r="M1733"/>
      <c r="N1733"/>
      <c r="O1733"/>
      <c r="P1733"/>
      <c r="Q1733"/>
    </row>
    <row r="1734" spans="9:17" s="1" customFormat="1">
      <c r="I1734" s="185"/>
      <c r="J1734" s="185"/>
      <c r="K1734" s="185"/>
      <c r="L1734"/>
      <c r="M1734"/>
      <c r="N1734"/>
      <c r="O1734"/>
      <c r="P1734"/>
      <c r="Q1734"/>
    </row>
    <row r="1735" spans="9:17" s="1" customFormat="1">
      <c r="I1735" s="185"/>
      <c r="J1735" s="185"/>
      <c r="K1735" s="185"/>
      <c r="L1735"/>
      <c r="M1735"/>
      <c r="N1735"/>
      <c r="O1735"/>
      <c r="P1735"/>
      <c r="Q1735"/>
    </row>
    <row r="1736" spans="9:17" s="1" customFormat="1">
      <c r="I1736" s="185"/>
      <c r="J1736" s="185"/>
      <c r="K1736" s="185"/>
      <c r="L1736"/>
      <c r="M1736"/>
      <c r="N1736"/>
      <c r="O1736"/>
      <c r="P1736"/>
      <c r="Q1736"/>
    </row>
    <row r="1737" spans="9:17" s="1" customFormat="1">
      <c r="I1737" s="185"/>
      <c r="J1737" s="185"/>
      <c r="K1737" s="185"/>
      <c r="L1737"/>
      <c r="M1737"/>
      <c r="N1737"/>
      <c r="O1737"/>
      <c r="P1737"/>
      <c r="Q1737"/>
    </row>
    <row r="1738" spans="9:17" s="1" customFormat="1">
      <c r="I1738" s="185"/>
      <c r="J1738" s="185"/>
      <c r="K1738" s="185"/>
      <c r="L1738"/>
      <c r="M1738"/>
      <c r="N1738"/>
      <c r="O1738"/>
      <c r="P1738"/>
      <c r="Q1738"/>
    </row>
    <row r="1739" spans="9:17" s="1" customFormat="1">
      <c r="I1739" s="185"/>
      <c r="J1739" s="185"/>
      <c r="K1739" s="185"/>
      <c r="L1739"/>
      <c r="M1739"/>
      <c r="N1739"/>
      <c r="O1739"/>
      <c r="P1739"/>
      <c r="Q1739"/>
    </row>
    <row r="1740" spans="9:17" s="1" customFormat="1">
      <c r="I1740" s="185"/>
      <c r="J1740" s="185"/>
      <c r="K1740" s="185"/>
      <c r="L1740"/>
      <c r="M1740"/>
      <c r="N1740"/>
      <c r="O1740"/>
      <c r="P1740"/>
      <c r="Q1740"/>
    </row>
    <row r="1741" spans="9:17" s="1" customFormat="1">
      <c r="I1741" s="185"/>
      <c r="J1741" s="185"/>
      <c r="K1741" s="185"/>
      <c r="L1741"/>
      <c r="M1741"/>
      <c r="N1741"/>
      <c r="O1741"/>
      <c r="P1741"/>
      <c r="Q1741"/>
    </row>
    <row r="1742" spans="9:17" s="1" customFormat="1">
      <c r="I1742" s="185"/>
      <c r="J1742" s="185"/>
      <c r="K1742" s="185"/>
      <c r="L1742"/>
      <c r="M1742"/>
      <c r="N1742"/>
      <c r="O1742"/>
      <c r="P1742"/>
      <c r="Q1742"/>
    </row>
    <row r="1743" spans="9:17" s="1" customFormat="1">
      <c r="I1743" s="185"/>
      <c r="J1743" s="185"/>
      <c r="K1743" s="185"/>
      <c r="L1743"/>
      <c r="M1743"/>
      <c r="N1743"/>
      <c r="O1743"/>
      <c r="P1743"/>
      <c r="Q1743"/>
    </row>
    <row r="1744" spans="9:17" s="1" customFormat="1">
      <c r="I1744" s="185"/>
      <c r="J1744" s="185"/>
      <c r="K1744" s="185"/>
      <c r="L1744"/>
      <c r="M1744"/>
      <c r="N1744"/>
      <c r="O1744"/>
      <c r="P1744"/>
      <c r="Q1744"/>
    </row>
    <row r="1745" spans="9:17" s="1" customFormat="1">
      <c r="I1745" s="185"/>
      <c r="J1745" s="185"/>
      <c r="K1745" s="185"/>
      <c r="L1745"/>
      <c r="M1745"/>
      <c r="N1745"/>
      <c r="O1745"/>
      <c r="P1745"/>
      <c r="Q1745"/>
    </row>
    <row r="1746" spans="9:17" s="1" customFormat="1">
      <c r="I1746" s="185"/>
      <c r="J1746" s="185"/>
      <c r="K1746" s="185"/>
      <c r="L1746"/>
      <c r="M1746"/>
      <c r="N1746"/>
      <c r="O1746"/>
      <c r="P1746"/>
      <c r="Q1746"/>
    </row>
    <row r="1747" spans="9:17" s="1" customFormat="1">
      <c r="I1747" s="185"/>
      <c r="J1747" s="185"/>
      <c r="K1747" s="185"/>
      <c r="L1747"/>
      <c r="M1747"/>
      <c r="N1747"/>
      <c r="O1747"/>
      <c r="P1747"/>
      <c r="Q1747"/>
    </row>
    <row r="1748" spans="9:17" s="1" customFormat="1">
      <c r="I1748" s="185"/>
      <c r="J1748" s="185"/>
      <c r="K1748" s="185"/>
      <c r="L1748"/>
      <c r="M1748"/>
      <c r="N1748"/>
      <c r="O1748"/>
      <c r="P1748"/>
      <c r="Q1748"/>
    </row>
    <row r="1749" spans="9:17" s="1" customFormat="1">
      <c r="I1749" s="185"/>
      <c r="J1749" s="185"/>
      <c r="K1749" s="185"/>
      <c r="L1749"/>
      <c r="M1749"/>
      <c r="N1749"/>
      <c r="O1749"/>
      <c r="P1749"/>
      <c r="Q1749"/>
    </row>
    <row r="1750" spans="9:17" s="1" customFormat="1">
      <c r="I1750" s="185"/>
      <c r="J1750" s="185"/>
      <c r="K1750" s="185"/>
      <c r="L1750"/>
      <c r="M1750"/>
      <c r="N1750"/>
      <c r="O1750"/>
      <c r="P1750"/>
      <c r="Q1750"/>
    </row>
    <row r="1751" spans="9:17" s="1" customFormat="1">
      <c r="I1751" s="185"/>
      <c r="J1751" s="185"/>
      <c r="K1751" s="185"/>
      <c r="L1751"/>
      <c r="M1751"/>
      <c r="N1751"/>
      <c r="O1751"/>
      <c r="P1751"/>
      <c r="Q1751"/>
    </row>
    <row r="1752" spans="9:17" s="1" customFormat="1">
      <c r="I1752" s="185"/>
      <c r="J1752" s="185"/>
      <c r="K1752" s="185"/>
      <c r="L1752"/>
      <c r="M1752"/>
      <c r="N1752"/>
      <c r="O1752"/>
      <c r="P1752"/>
      <c r="Q1752"/>
    </row>
    <row r="1753" spans="9:17" s="1" customFormat="1">
      <c r="I1753" s="185"/>
      <c r="J1753" s="185"/>
      <c r="K1753" s="185"/>
      <c r="L1753"/>
      <c r="M1753"/>
      <c r="N1753"/>
      <c r="O1753"/>
      <c r="P1753"/>
      <c r="Q1753"/>
    </row>
    <row r="1754" spans="9:17" s="1" customFormat="1">
      <c r="I1754" s="185"/>
      <c r="J1754" s="185"/>
      <c r="K1754" s="185"/>
      <c r="L1754"/>
      <c r="M1754"/>
      <c r="N1754"/>
      <c r="O1754"/>
      <c r="P1754"/>
      <c r="Q1754"/>
    </row>
    <row r="1755" spans="9:17" s="1" customFormat="1">
      <c r="I1755" s="185"/>
      <c r="J1755" s="185"/>
      <c r="K1755" s="185"/>
      <c r="L1755"/>
      <c r="M1755"/>
      <c r="N1755"/>
      <c r="O1755"/>
      <c r="P1755"/>
      <c r="Q1755"/>
    </row>
    <row r="1756" spans="9:17" s="1" customFormat="1">
      <c r="I1756" s="185"/>
      <c r="J1756" s="185"/>
      <c r="K1756" s="185"/>
      <c r="L1756"/>
      <c r="M1756"/>
      <c r="N1756"/>
      <c r="O1756"/>
      <c r="P1756"/>
      <c r="Q1756"/>
    </row>
    <row r="1757" spans="9:17" s="1" customFormat="1">
      <c r="I1757" s="185"/>
      <c r="J1757" s="185"/>
      <c r="K1757" s="185"/>
      <c r="L1757"/>
      <c r="M1757"/>
      <c r="N1757"/>
      <c r="O1757"/>
      <c r="P1757"/>
      <c r="Q1757"/>
    </row>
    <row r="1758" spans="9:17" s="1" customFormat="1">
      <c r="I1758" s="185"/>
      <c r="J1758" s="185"/>
      <c r="K1758" s="185"/>
      <c r="L1758"/>
      <c r="M1758"/>
      <c r="N1758"/>
      <c r="O1758"/>
      <c r="P1758"/>
      <c r="Q1758"/>
    </row>
    <row r="1759" spans="9:17" s="1" customFormat="1">
      <c r="I1759" s="185"/>
      <c r="J1759" s="185"/>
      <c r="K1759" s="185"/>
      <c r="L1759"/>
      <c r="M1759"/>
      <c r="N1759"/>
      <c r="O1759"/>
      <c r="P1759"/>
      <c r="Q1759"/>
    </row>
    <row r="1760" spans="9:17" s="1" customFormat="1">
      <c r="I1760" s="185"/>
      <c r="J1760" s="185"/>
      <c r="K1760" s="185"/>
      <c r="L1760"/>
      <c r="M1760"/>
      <c r="N1760"/>
      <c r="O1760"/>
      <c r="P1760"/>
      <c r="Q1760"/>
    </row>
    <row r="1761" spans="9:17" s="1" customFormat="1">
      <c r="I1761" s="185"/>
      <c r="J1761" s="185"/>
      <c r="K1761" s="185"/>
      <c r="L1761"/>
      <c r="M1761"/>
      <c r="N1761"/>
      <c r="O1761"/>
      <c r="P1761"/>
      <c r="Q1761"/>
    </row>
    <row r="1762" spans="9:17" s="1" customFormat="1">
      <c r="I1762" s="185"/>
      <c r="J1762" s="185"/>
      <c r="K1762" s="185"/>
      <c r="L1762"/>
      <c r="M1762"/>
      <c r="N1762"/>
      <c r="O1762"/>
      <c r="P1762"/>
      <c r="Q1762"/>
    </row>
    <row r="1763" spans="9:17" s="1" customFormat="1">
      <c r="I1763" s="185"/>
      <c r="J1763" s="185"/>
      <c r="K1763" s="185"/>
      <c r="L1763"/>
      <c r="M1763"/>
      <c r="N1763"/>
      <c r="O1763"/>
      <c r="P1763"/>
      <c r="Q1763"/>
    </row>
    <row r="1764" spans="9:17" s="1" customFormat="1">
      <c r="I1764" s="185"/>
      <c r="J1764" s="185"/>
      <c r="K1764" s="185"/>
      <c r="L1764"/>
      <c r="M1764"/>
      <c r="N1764"/>
      <c r="O1764"/>
      <c r="P1764"/>
      <c r="Q1764"/>
    </row>
    <row r="1765" spans="9:17" s="1" customFormat="1">
      <c r="I1765" s="185"/>
      <c r="J1765" s="185"/>
      <c r="K1765" s="185"/>
      <c r="L1765"/>
      <c r="M1765"/>
      <c r="N1765"/>
      <c r="O1765"/>
      <c r="P1765"/>
      <c r="Q1765"/>
    </row>
    <row r="1766" spans="9:17" s="1" customFormat="1">
      <c r="I1766" s="185"/>
      <c r="J1766" s="185"/>
      <c r="K1766" s="185"/>
      <c r="L1766"/>
      <c r="M1766"/>
      <c r="N1766"/>
      <c r="O1766"/>
      <c r="P1766"/>
      <c r="Q1766"/>
    </row>
    <row r="1767" spans="9:17" s="1" customFormat="1">
      <c r="I1767" s="185"/>
      <c r="J1767" s="185"/>
      <c r="K1767" s="185"/>
      <c r="L1767"/>
      <c r="M1767"/>
      <c r="N1767"/>
      <c r="O1767"/>
      <c r="P1767"/>
      <c r="Q1767"/>
    </row>
    <row r="1768" spans="9:17" s="1" customFormat="1">
      <c r="I1768" s="185"/>
      <c r="J1768" s="185"/>
      <c r="K1768" s="185"/>
      <c r="L1768"/>
      <c r="M1768"/>
      <c r="N1768"/>
      <c r="O1768"/>
      <c r="P1768"/>
      <c r="Q1768"/>
    </row>
    <row r="1769" spans="9:17" s="1" customFormat="1">
      <c r="I1769" s="185"/>
      <c r="J1769" s="185"/>
      <c r="K1769" s="185"/>
      <c r="L1769"/>
      <c r="M1769"/>
      <c r="N1769"/>
      <c r="O1769"/>
      <c r="P1769"/>
      <c r="Q1769"/>
    </row>
    <row r="1770" spans="9:17" s="1" customFormat="1">
      <c r="I1770" s="185"/>
      <c r="J1770" s="185"/>
      <c r="K1770" s="185"/>
      <c r="L1770"/>
      <c r="M1770"/>
      <c r="N1770"/>
      <c r="O1770"/>
      <c r="P1770"/>
      <c r="Q1770"/>
    </row>
    <row r="1771" spans="9:17" s="1" customFormat="1">
      <c r="I1771" s="185"/>
      <c r="J1771" s="185"/>
      <c r="K1771" s="185"/>
      <c r="L1771"/>
      <c r="M1771"/>
      <c r="N1771"/>
      <c r="O1771"/>
      <c r="P1771"/>
      <c r="Q1771"/>
    </row>
    <row r="1772" spans="9:17" s="1" customFormat="1">
      <c r="I1772" s="185"/>
      <c r="J1772" s="185"/>
      <c r="K1772" s="185"/>
      <c r="L1772"/>
      <c r="M1772"/>
      <c r="N1772"/>
      <c r="O1772"/>
      <c r="P1772"/>
      <c r="Q1772"/>
    </row>
    <row r="1773" spans="9:17" s="1" customFormat="1">
      <c r="I1773" s="185"/>
      <c r="J1773" s="185"/>
      <c r="K1773" s="185"/>
      <c r="L1773"/>
      <c r="M1773"/>
      <c r="N1773"/>
      <c r="O1773"/>
      <c r="P1773"/>
      <c r="Q1773"/>
    </row>
    <row r="1774" spans="9:17" s="1" customFormat="1">
      <c r="I1774" s="185"/>
      <c r="J1774" s="185"/>
      <c r="K1774" s="185"/>
      <c r="L1774"/>
      <c r="M1774"/>
      <c r="N1774"/>
      <c r="O1774"/>
      <c r="P1774"/>
      <c r="Q1774"/>
    </row>
    <row r="1775" spans="9:17" s="1" customFormat="1">
      <c r="I1775" s="185"/>
      <c r="J1775" s="185"/>
      <c r="K1775" s="185"/>
      <c r="L1775"/>
      <c r="M1775"/>
      <c r="N1775"/>
      <c r="O1775"/>
      <c r="P1775"/>
      <c r="Q1775"/>
    </row>
    <row r="1776" spans="9:17" s="1" customFormat="1">
      <c r="I1776" s="185"/>
      <c r="J1776" s="185"/>
      <c r="K1776" s="185"/>
      <c r="L1776"/>
      <c r="M1776"/>
      <c r="N1776"/>
      <c r="O1776"/>
      <c r="P1776"/>
      <c r="Q1776"/>
    </row>
    <row r="1777" spans="9:17" s="1" customFormat="1">
      <c r="I1777" s="185"/>
      <c r="J1777" s="185"/>
      <c r="K1777" s="185"/>
      <c r="L1777"/>
      <c r="M1777"/>
      <c r="N1777"/>
      <c r="O1777"/>
      <c r="P1777"/>
      <c r="Q1777"/>
    </row>
    <row r="1778" spans="9:17" s="1" customFormat="1">
      <c r="I1778" s="185"/>
      <c r="J1778" s="185"/>
      <c r="K1778" s="185"/>
      <c r="L1778"/>
      <c r="M1778"/>
      <c r="N1778"/>
      <c r="O1778"/>
      <c r="P1778"/>
      <c r="Q1778"/>
    </row>
    <row r="1779" spans="9:17" s="1" customFormat="1">
      <c r="I1779" s="185"/>
      <c r="J1779" s="185"/>
      <c r="K1779" s="185"/>
      <c r="L1779"/>
      <c r="M1779"/>
      <c r="N1779"/>
      <c r="O1779"/>
      <c r="P1779"/>
      <c r="Q1779"/>
    </row>
    <row r="1780" spans="9:17" s="1" customFormat="1">
      <c r="I1780" s="185"/>
      <c r="J1780" s="185"/>
      <c r="K1780" s="185"/>
      <c r="L1780"/>
      <c r="M1780"/>
      <c r="N1780"/>
      <c r="O1780"/>
      <c r="P1780"/>
      <c r="Q1780"/>
    </row>
    <row r="1781" spans="9:17" s="1" customFormat="1">
      <c r="I1781" s="185"/>
      <c r="J1781" s="185"/>
      <c r="K1781" s="185"/>
      <c r="L1781"/>
      <c r="M1781"/>
      <c r="N1781"/>
      <c r="O1781"/>
      <c r="P1781"/>
      <c r="Q1781"/>
    </row>
    <row r="1782" spans="9:17" s="1" customFormat="1">
      <c r="I1782" s="185"/>
      <c r="J1782" s="185"/>
      <c r="K1782" s="185"/>
      <c r="L1782"/>
      <c r="M1782"/>
      <c r="N1782"/>
      <c r="O1782"/>
      <c r="P1782"/>
      <c r="Q1782"/>
    </row>
    <row r="1783" spans="9:17" s="1" customFormat="1">
      <c r="I1783" s="185"/>
      <c r="J1783" s="185"/>
      <c r="K1783" s="185"/>
      <c r="L1783"/>
      <c r="M1783"/>
      <c r="N1783"/>
      <c r="O1783"/>
      <c r="P1783"/>
      <c r="Q1783"/>
    </row>
    <row r="1784" spans="9:17" s="1" customFormat="1">
      <c r="I1784" s="185"/>
      <c r="J1784" s="185"/>
      <c r="K1784" s="185"/>
      <c r="L1784"/>
      <c r="M1784"/>
      <c r="N1784"/>
      <c r="O1784"/>
      <c r="P1784"/>
      <c r="Q1784"/>
    </row>
    <row r="1785" spans="9:17" s="1" customFormat="1">
      <c r="I1785" s="185"/>
      <c r="J1785" s="185"/>
      <c r="K1785" s="185"/>
      <c r="L1785"/>
      <c r="M1785"/>
      <c r="N1785"/>
      <c r="O1785"/>
      <c r="P1785"/>
      <c r="Q1785"/>
    </row>
    <row r="1786" spans="9:17" s="1" customFormat="1">
      <c r="I1786" s="185"/>
      <c r="J1786" s="185"/>
      <c r="K1786" s="185"/>
      <c r="L1786"/>
      <c r="M1786"/>
      <c r="N1786"/>
      <c r="O1786"/>
      <c r="P1786"/>
      <c r="Q1786"/>
    </row>
    <row r="1787" spans="9:17" s="1" customFormat="1">
      <c r="I1787" s="185"/>
      <c r="J1787" s="185"/>
      <c r="K1787" s="185"/>
      <c r="L1787"/>
      <c r="M1787"/>
      <c r="N1787"/>
      <c r="O1787"/>
      <c r="P1787"/>
      <c r="Q1787"/>
    </row>
    <row r="1788" spans="9:17" s="1" customFormat="1">
      <c r="I1788" s="185"/>
      <c r="J1788" s="185"/>
      <c r="K1788" s="185"/>
      <c r="L1788"/>
      <c r="M1788"/>
      <c r="N1788"/>
      <c r="O1788"/>
      <c r="P1788"/>
      <c r="Q1788"/>
    </row>
    <row r="1789" spans="9:17" s="1" customFormat="1">
      <c r="I1789" s="185"/>
      <c r="J1789" s="185"/>
      <c r="K1789" s="185"/>
      <c r="L1789"/>
      <c r="M1789"/>
      <c r="N1789"/>
      <c r="O1789"/>
      <c r="P1789"/>
      <c r="Q1789"/>
    </row>
    <row r="1790" spans="9:17" s="1" customFormat="1">
      <c r="I1790" s="185"/>
      <c r="J1790" s="185"/>
      <c r="K1790" s="185"/>
      <c r="L1790"/>
      <c r="M1790"/>
      <c r="N1790"/>
      <c r="O1790"/>
      <c r="P1790"/>
      <c r="Q1790"/>
    </row>
    <row r="1791" spans="9:17" s="1" customFormat="1">
      <c r="I1791" s="185"/>
      <c r="J1791" s="185"/>
      <c r="K1791" s="185"/>
      <c r="L1791"/>
      <c r="M1791"/>
      <c r="N1791"/>
      <c r="O1791"/>
      <c r="P1791"/>
      <c r="Q1791"/>
    </row>
    <row r="1792" spans="9:17" s="1" customFormat="1">
      <c r="I1792" s="185"/>
      <c r="J1792" s="185"/>
      <c r="K1792" s="185"/>
      <c r="L1792"/>
      <c r="M1792"/>
      <c r="N1792"/>
      <c r="O1792"/>
      <c r="P1792"/>
      <c r="Q1792"/>
    </row>
    <row r="1793" spans="9:17" s="1" customFormat="1">
      <c r="I1793" s="185"/>
      <c r="J1793" s="185"/>
      <c r="K1793" s="185"/>
      <c r="L1793"/>
      <c r="M1793"/>
      <c r="N1793"/>
      <c r="O1793"/>
      <c r="P1793"/>
      <c r="Q1793"/>
    </row>
    <row r="1794" spans="9:17" s="1" customFormat="1">
      <c r="I1794" s="185"/>
      <c r="J1794" s="185"/>
      <c r="K1794" s="185"/>
      <c r="L1794"/>
      <c r="M1794"/>
      <c r="N1794"/>
      <c r="O1794"/>
      <c r="P1794"/>
      <c r="Q1794"/>
    </row>
    <row r="1795" spans="9:17" s="1" customFormat="1">
      <c r="I1795" s="185"/>
      <c r="J1795" s="185"/>
      <c r="K1795" s="185"/>
      <c r="L1795"/>
      <c r="M1795"/>
      <c r="N1795"/>
      <c r="O1795"/>
      <c r="P1795"/>
      <c r="Q1795"/>
    </row>
    <row r="1796" spans="9:17" s="1" customFormat="1">
      <c r="I1796" s="185"/>
      <c r="J1796" s="185"/>
      <c r="K1796" s="185"/>
      <c r="L1796"/>
      <c r="M1796"/>
      <c r="N1796"/>
      <c r="O1796"/>
      <c r="P1796"/>
      <c r="Q1796"/>
    </row>
    <row r="1797" spans="9:17" s="1" customFormat="1">
      <c r="I1797" s="185"/>
      <c r="J1797" s="185"/>
      <c r="K1797" s="185"/>
      <c r="L1797"/>
      <c r="M1797"/>
      <c r="N1797"/>
      <c r="O1797"/>
      <c r="P1797"/>
      <c r="Q1797"/>
    </row>
    <row r="1798" spans="9:17" s="1" customFormat="1">
      <c r="I1798" s="185"/>
      <c r="J1798" s="185"/>
      <c r="K1798" s="185"/>
      <c r="L1798"/>
      <c r="M1798"/>
      <c r="N1798"/>
      <c r="O1798"/>
      <c r="P1798"/>
      <c r="Q1798"/>
    </row>
    <row r="1799" spans="9:17" s="1" customFormat="1">
      <c r="I1799" s="185"/>
      <c r="J1799" s="185"/>
      <c r="K1799" s="185"/>
      <c r="L1799"/>
      <c r="M1799"/>
      <c r="N1799"/>
      <c r="O1799"/>
      <c r="P1799"/>
      <c r="Q1799"/>
    </row>
    <row r="1800" spans="9:17" s="1" customFormat="1">
      <c r="I1800" s="185"/>
      <c r="J1800" s="185"/>
      <c r="K1800" s="185"/>
      <c r="L1800"/>
      <c r="M1800"/>
      <c r="N1800"/>
      <c r="O1800"/>
      <c r="P1800"/>
      <c r="Q1800"/>
    </row>
    <row r="1801" spans="9:17" s="1" customFormat="1">
      <c r="I1801" s="185"/>
      <c r="J1801" s="185"/>
      <c r="K1801" s="185"/>
      <c r="L1801"/>
      <c r="M1801"/>
      <c r="N1801"/>
      <c r="O1801"/>
      <c r="P1801"/>
      <c r="Q1801"/>
    </row>
    <row r="1802" spans="9:17" s="1" customFormat="1">
      <c r="I1802" s="185"/>
      <c r="J1802" s="185"/>
      <c r="K1802" s="185"/>
      <c r="L1802"/>
      <c r="M1802"/>
      <c r="N1802"/>
      <c r="O1802"/>
      <c r="P1802"/>
      <c r="Q1802"/>
    </row>
    <row r="1803" spans="9:17" s="1" customFormat="1">
      <c r="I1803" s="185"/>
      <c r="J1803" s="185"/>
      <c r="K1803" s="185"/>
      <c r="L1803"/>
      <c r="M1803"/>
      <c r="N1803"/>
      <c r="O1803"/>
      <c r="P1803"/>
      <c r="Q1803"/>
    </row>
    <row r="1804" spans="9:17" s="1" customFormat="1">
      <c r="I1804" s="185"/>
      <c r="J1804" s="185"/>
      <c r="K1804" s="185"/>
      <c r="L1804"/>
      <c r="M1804"/>
      <c r="N1804"/>
      <c r="O1804"/>
      <c r="P1804"/>
      <c r="Q1804"/>
    </row>
    <row r="1805" spans="9:17" s="1" customFormat="1">
      <c r="I1805" s="185"/>
      <c r="J1805" s="185"/>
      <c r="K1805" s="185"/>
      <c r="L1805"/>
      <c r="M1805"/>
      <c r="N1805"/>
      <c r="O1805"/>
      <c r="P1805"/>
      <c r="Q1805"/>
    </row>
    <row r="1806" spans="9:17" s="1" customFormat="1">
      <c r="I1806" s="185"/>
      <c r="J1806" s="185"/>
      <c r="K1806" s="185"/>
      <c r="L1806"/>
      <c r="M1806"/>
      <c r="N1806"/>
      <c r="O1806"/>
      <c r="P1806"/>
      <c r="Q1806"/>
    </row>
    <row r="1807" spans="9:17" s="1" customFormat="1">
      <c r="I1807" s="185"/>
      <c r="J1807" s="185"/>
      <c r="K1807" s="185"/>
      <c r="L1807"/>
      <c r="M1807"/>
      <c r="N1807"/>
      <c r="O1807"/>
      <c r="P1807"/>
      <c r="Q1807"/>
    </row>
    <row r="1808" spans="9:17" s="1" customFormat="1">
      <c r="I1808" s="185"/>
      <c r="J1808" s="185"/>
      <c r="K1808" s="185"/>
      <c r="L1808"/>
      <c r="M1808"/>
      <c r="N1808"/>
      <c r="O1808"/>
      <c r="P1808"/>
      <c r="Q1808"/>
    </row>
    <row r="1809" spans="9:17" s="1" customFormat="1">
      <c r="I1809" s="185"/>
      <c r="J1809" s="185"/>
      <c r="K1809" s="185"/>
      <c r="L1809"/>
      <c r="M1809"/>
      <c r="N1809"/>
      <c r="O1809"/>
      <c r="P1809"/>
      <c r="Q1809"/>
    </row>
    <row r="1810" spans="9:17" s="1" customFormat="1">
      <c r="I1810" s="185"/>
      <c r="J1810" s="185"/>
      <c r="K1810" s="185"/>
      <c r="L1810"/>
      <c r="M1810"/>
      <c r="N1810"/>
      <c r="O1810"/>
      <c r="P1810"/>
      <c r="Q1810"/>
    </row>
    <row r="1811" spans="9:17" s="1" customFormat="1">
      <c r="I1811" s="185"/>
      <c r="J1811" s="185"/>
      <c r="K1811" s="185"/>
      <c r="L1811"/>
      <c r="M1811"/>
      <c r="N1811"/>
      <c r="O1811"/>
      <c r="P1811"/>
      <c r="Q1811"/>
    </row>
    <row r="1812" spans="9:17" s="1" customFormat="1">
      <c r="I1812" s="185"/>
      <c r="J1812" s="185"/>
      <c r="K1812" s="185"/>
      <c r="L1812"/>
      <c r="M1812"/>
      <c r="N1812"/>
      <c r="O1812"/>
      <c r="P1812"/>
      <c r="Q1812"/>
    </row>
    <row r="1813" spans="9:17" s="1" customFormat="1">
      <c r="I1813" s="185"/>
      <c r="J1813" s="185"/>
      <c r="K1813" s="185"/>
      <c r="L1813"/>
      <c r="M1813"/>
      <c r="N1813"/>
      <c r="O1813"/>
      <c r="P1813"/>
      <c r="Q1813"/>
    </row>
    <row r="1814" spans="9:17" s="1" customFormat="1">
      <c r="I1814" s="185"/>
      <c r="J1814" s="185"/>
      <c r="K1814" s="185"/>
      <c r="L1814"/>
      <c r="M1814"/>
      <c r="N1814"/>
      <c r="O1814"/>
      <c r="P1814"/>
      <c r="Q1814"/>
    </row>
    <row r="1815" spans="9:17" s="1" customFormat="1">
      <c r="I1815" s="185"/>
      <c r="J1815" s="185"/>
      <c r="K1815" s="185"/>
      <c r="L1815"/>
      <c r="M1815"/>
      <c r="N1815"/>
      <c r="O1815"/>
      <c r="P1815"/>
      <c r="Q1815"/>
    </row>
    <row r="1816" spans="9:17" s="1" customFormat="1">
      <c r="I1816" s="185"/>
      <c r="J1816" s="185"/>
      <c r="K1816" s="185"/>
      <c r="L1816"/>
      <c r="M1816"/>
      <c r="N1816"/>
      <c r="O1816"/>
      <c r="P1816"/>
      <c r="Q1816"/>
    </row>
    <row r="1817" spans="9:17" s="1" customFormat="1">
      <c r="I1817" s="185"/>
      <c r="J1817" s="185"/>
      <c r="K1817" s="185"/>
      <c r="L1817"/>
      <c r="M1817"/>
      <c r="N1817"/>
      <c r="O1817"/>
      <c r="P1817"/>
      <c r="Q1817"/>
    </row>
    <row r="1818" spans="9:17" s="1" customFormat="1">
      <c r="I1818" s="185"/>
      <c r="J1818" s="185"/>
      <c r="K1818" s="185"/>
      <c r="L1818"/>
      <c r="M1818"/>
      <c r="N1818"/>
      <c r="O1818"/>
      <c r="P1818"/>
      <c r="Q1818"/>
    </row>
    <row r="1819" spans="9:17" s="1" customFormat="1">
      <c r="I1819" s="185"/>
      <c r="J1819" s="185"/>
      <c r="K1819" s="185"/>
      <c r="L1819"/>
      <c r="M1819"/>
      <c r="N1819"/>
      <c r="O1819"/>
      <c r="P1819"/>
      <c r="Q1819"/>
    </row>
    <row r="1820" spans="9:17" s="1" customFormat="1">
      <c r="I1820" s="185"/>
      <c r="J1820" s="185"/>
      <c r="K1820" s="185"/>
      <c r="L1820"/>
      <c r="M1820"/>
      <c r="N1820"/>
      <c r="O1820"/>
      <c r="P1820"/>
      <c r="Q1820"/>
    </row>
    <row r="1821" spans="9:17" s="1" customFormat="1">
      <c r="I1821" s="185"/>
      <c r="J1821" s="185"/>
      <c r="K1821" s="185"/>
      <c r="L1821"/>
      <c r="M1821"/>
      <c r="N1821"/>
      <c r="O1821"/>
      <c r="P1821"/>
      <c r="Q1821"/>
    </row>
    <row r="1822" spans="9:17" s="1" customFormat="1">
      <c r="I1822" s="185"/>
      <c r="J1822" s="185"/>
      <c r="K1822" s="185"/>
      <c r="L1822"/>
      <c r="M1822"/>
      <c r="N1822"/>
      <c r="O1822"/>
      <c r="P1822"/>
      <c r="Q1822"/>
    </row>
    <row r="1823" spans="9:17" s="1" customFormat="1">
      <c r="I1823" s="185"/>
      <c r="J1823" s="185"/>
      <c r="K1823" s="185"/>
      <c r="L1823"/>
      <c r="M1823"/>
      <c r="N1823"/>
      <c r="O1823"/>
      <c r="P1823"/>
      <c r="Q1823"/>
    </row>
    <row r="1824" spans="9:17" s="1" customFormat="1">
      <c r="I1824" s="185"/>
      <c r="J1824" s="185"/>
      <c r="K1824" s="185"/>
      <c r="L1824"/>
      <c r="M1824"/>
      <c r="N1824"/>
      <c r="O1824"/>
      <c r="P1824"/>
      <c r="Q1824"/>
    </row>
    <row r="1825" spans="9:17" s="1" customFormat="1">
      <c r="I1825" s="185"/>
      <c r="J1825" s="185"/>
      <c r="K1825" s="185"/>
      <c r="L1825"/>
      <c r="M1825"/>
      <c r="N1825"/>
      <c r="O1825"/>
      <c r="P1825"/>
      <c r="Q1825"/>
    </row>
    <row r="1826" spans="9:17" s="1" customFormat="1">
      <c r="I1826" s="185"/>
      <c r="J1826" s="185"/>
      <c r="K1826" s="185"/>
      <c r="L1826"/>
      <c r="M1826"/>
      <c r="N1826"/>
      <c r="O1826"/>
      <c r="P1826"/>
      <c r="Q1826"/>
    </row>
    <row r="1827" spans="9:17" s="1" customFormat="1">
      <c r="I1827" s="185"/>
      <c r="J1827" s="185"/>
      <c r="K1827" s="185"/>
      <c r="L1827"/>
      <c r="M1827"/>
      <c r="N1827"/>
      <c r="O1827"/>
      <c r="P1827"/>
      <c r="Q1827"/>
    </row>
    <row r="1828" spans="9:17" s="1" customFormat="1">
      <c r="I1828" s="185"/>
      <c r="J1828" s="185"/>
      <c r="K1828" s="185"/>
      <c r="L1828"/>
      <c r="M1828"/>
      <c r="N1828"/>
      <c r="O1828"/>
      <c r="P1828"/>
      <c r="Q1828"/>
    </row>
    <row r="1829" spans="9:17" s="1" customFormat="1">
      <c r="I1829" s="185"/>
      <c r="J1829" s="185"/>
      <c r="K1829" s="185"/>
      <c r="L1829"/>
      <c r="M1829"/>
      <c r="N1829"/>
      <c r="O1829"/>
      <c r="P1829"/>
      <c r="Q1829"/>
    </row>
    <row r="1830" spans="9:17" s="1" customFormat="1">
      <c r="I1830" s="185"/>
      <c r="J1830" s="185"/>
      <c r="K1830" s="185"/>
      <c r="L1830"/>
      <c r="M1830"/>
      <c r="N1830"/>
      <c r="O1830"/>
      <c r="P1830"/>
      <c r="Q1830"/>
    </row>
    <row r="1831" spans="9:17" s="1" customFormat="1">
      <c r="I1831" s="185"/>
      <c r="J1831" s="185"/>
      <c r="K1831" s="185"/>
      <c r="L1831"/>
      <c r="M1831"/>
      <c r="N1831"/>
      <c r="O1831"/>
      <c r="P1831"/>
      <c r="Q1831"/>
    </row>
    <row r="1832" spans="9:17" s="1" customFormat="1">
      <c r="I1832" s="185"/>
      <c r="J1832" s="185"/>
      <c r="K1832" s="185"/>
      <c r="L1832"/>
      <c r="M1832"/>
      <c r="N1832"/>
      <c r="O1832"/>
      <c r="P1832"/>
      <c r="Q1832"/>
    </row>
    <row r="1833" spans="9:17" s="1" customFormat="1">
      <c r="I1833" s="185"/>
      <c r="J1833" s="185"/>
      <c r="K1833" s="185"/>
      <c r="L1833"/>
      <c r="M1833"/>
      <c r="N1833"/>
      <c r="O1833"/>
      <c r="P1833"/>
      <c r="Q1833"/>
    </row>
    <row r="1834" spans="9:17" s="1" customFormat="1">
      <c r="I1834" s="185"/>
      <c r="J1834" s="185"/>
      <c r="K1834" s="185"/>
      <c r="L1834"/>
      <c r="M1834"/>
      <c r="N1834"/>
      <c r="O1834"/>
      <c r="P1834"/>
      <c r="Q1834"/>
    </row>
    <row r="1835" spans="9:17" s="1" customFormat="1">
      <c r="I1835" s="185"/>
      <c r="J1835" s="185"/>
      <c r="K1835" s="185"/>
      <c r="L1835"/>
      <c r="M1835"/>
      <c r="N1835"/>
      <c r="O1835"/>
      <c r="P1835"/>
      <c r="Q1835"/>
    </row>
    <row r="1836" spans="9:17" s="1" customFormat="1">
      <c r="I1836" s="185"/>
      <c r="J1836" s="185"/>
      <c r="K1836" s="185"/>
      <c r="L1836"/>
      <c r="M1836"/>
      <c r="N1836"/>
      <c r="O1836"/>
      <c r="P1836"/>
      <c r="Q1836"/>
    </row>
    <row r="1837" spans="9:17" s="1" customFormat="1">
      <c r="I1837" s="185"/>
      <c r="J1837" s="185"/>
      <c r="K1837" s="185"/>
      <c r="L1837"/>
      <c r="M1837"/>
      <c r="N1837"/>
      <c r="O1837"/>
      <c r="P1837"/>
      <c r="Q1837"/>
    </row>
    <row r="1838" spans="9:17" s="1" customFormat="1">
      <c r="I1838" s="185"/>
      <c r="J1838" s="185"/>
      <c r="K1838" s="185"/>
      <c r="L1838"/>
      <c r="M1838"/>
      <c r="N1838"/>
      <c r="O1838"/>
      <c r="P1838"/>
      <c r="Q1838"/>
    </row>
    <row r="1839" spans="9:17" s="1" customFormat="1">
      <c r="I1839" s="185"/>
      <c r="J1839" s="185"/>
      <c r="K1839" s="185"/>
      <c r="L1839"/>
      <c r="M1839"/>
      <c r="N1839"/>
      <c r="O1839"/>
      <c r="P1839"/>
      <c r="Q1839"/>
    </row>
    <row r="1840" spans="9:17" s="1" customFormat="1">
      <c r="I1840" s="185"/>
      <c r="J1840" s="185"/>
      <c r="K1840" s="185"/>
      <c r="L1840"/>
      <c r="M1840"/>
      <c r="N1840"/>
      <c r="O1840"/>
      <c r="P1840"/>
      <c r="Q1840"/>
    </row>
    <row r="1841" spans="9:17" s="1" customFormat="1">
      <c r="I1841" s="185"/>
      <c r="J1841" s="185"/>
      <c r="K1841" s="185"/>
      <c r="L1841"/>
      <c r="M1841"/>
      <c r="N1841"/>
      <c r="O1841"/>
      <c r="P1841"/>
      <c r="Q1841"/>
    </row>
    <row r="1842" spans="9:17" s="1" customFormat="1">
      <c r="I1842" s="185"/>
      <c r="J1842" s="185"/>
      <c r="K1842" s="185"/>
      <c r="L1842"/>
      <c r="M1842"/>
      <c r="N1842"/>
      <c r="O1842"/>
      <c r="P1842"/>
      <c r="Q1842"/>
    </row>
    <row r="1843" spans="9:17" s="1" customFormat="1">
      <c r="I1843" s="185"/>
      <c r="J1843" s="185"/>
      <c r="K1843" s="185"/>
      <c r="L1843"/>
      <c r="M1843"/>
      <c r="N1843"/>
      <c r="O1843"/>
      <c r="P1843"/>
      <c r="Q1843"/>
    </row>
    <row r="1844" spans="9:17" s="1" customFormat="1">
      <c r="I1844" s="185"/>
      <c r="J1844" s="185"/>
      <c r="K1844" s="185"/>
      <c r="L1844"/>
      <c r="M1844"/>
      <c r="N1844"/>
      <c r="O1844"/>
      <c r="P1844"/>
      <c r="Q1844"/>
    </row>
    <row r="1845" spans="9:17" s="1" customFormat="1">
      <c r="I1845" s="185"/>
      <c r="J1845" s="185"/>
      <c r="K1845" s="185"/>
      <c r="L1845"/>
      <c r="M1845"/>
      <c r="N1845"/>
      <c r="O1845"/>
      <c r="P1845"/>
      <c r="Q1845"/>
    </row>
    <row r="1846" spans="9:17" s="1" customFormat="1">
      <c r="I1846" s="185"/>
      <c r="J1846" s="185"/>
      <c r="K1846" s="185"/>
      <c r="L1846"/>
      <c r="M1846"/>
      <c r="N1846"/>
      <c r="O1846"/>
      <c r="P1846"/>
      <c r="Q1846"/>
    </row>
    <row r="1847" spans="9:17" s="1" customFormat="1">
      <c r="I1847" s="185"/>
      <c r="J1847" s="185"/>
      <c r="K1847" s="185"/>
      <c r="L1847"/>
      <c r="M1847"/>
      <c r="N1847"/>
      <c r="O1847"/>
      <c r="P1847"/>
      <c r="Q1847"/>
    </row>
    <row r="1848" spans="9:17" s="1" customFormat="1">
      <c r="I1848" s="185"/>
      <c r="J1848" s="185"/>
      <c r="K1848" s="185"/>
      <c r="L1848"/>
      <c r="M1848"/>
      <c r="N1848"/>
      <c r="O1848"/>
      <c r="P1848"/>
      <c r="Q1848"/>
    </row>
    <row r="1849" spans="9:17" s="1" customFormat="1">
      <c r="I1849" s="185"/>
      <c r="J1849" s="185"/>
      <c r="K1849" s="185"/>
      <c r="L1849"/>
      <c r="M1849"/>
      <c r="N1849"/>
      <c r="O1849"/>
      <c r="P1849"/>
      <c r="Q1849"/>
    </row>
    <row r="1850" spans="9:17" s="1" customFormat="1">
      <c r="I1850" s="185"/>
      <c r="J1850" s="185"/>
      <c r="K1850" s="185"/>
      <c r="L1850"/>
      <c r="M1850"/>
      <c r="N1850"/>
      <c r="O1850"/>
      <c r="P1850"/>
      <c r="Q1850"/>
    </row>
    <row r="1851" spans="9:17" s="1" customFormat="1">
      <c r="I1851" s="185"/>
      <c r="J1851" s="185"/>
      <c r="K1851" s="185"/>
      <c r="L1851"/>
      <c r="M1851"/>
      <c r="N1851"/>
      <c r="O1851"/>
      <c r="P1851"/>
      <c r="Q1851"/>
    </row>
    <row r="1852" spans="9:17" s="1" customFormat="1">
      <c r="I1852" s="185"/>
      <c r="J1852" s="185"/>
      <c r="K1852" s="185"/>
      <c r="L1852"/>
      <c r="M1852"/>
      <c r="N1852"/>
      <c r="O1852"/>
      <c r="P1852"/>
      <c r="Q1852"/>
    </row>
    <row r="1853" spans="9:17" s="1" customFormat="1">
      <c r="I1853" s="185"/>
      <c r="J1853" s="185"/>
      <c r="K1853" s="185"/>
      <c r="L1853"/>
      <c r="M1853"/>
      <c r="N1853"/>
      <c r="O1853"/>
      <c r="P1853"/>
      <c r="Q1853"/>
    </row>
    <row r="1854" spans="9:17" s="1" customFormat="1">
      <c r="I1854" s="185"/>
      <c r="J1854" s="185"/>
      <c r="K1854" s="185"/>
      <c r="L1854"/>
      <c r="M1854"/>
      <c r="N1854"/>
      <c r="O1854"/>
      <c r="P1854"/>
      <c r="Q1854"/>
    </row>
    <row r="1855" spans="9:17" s="1" customFormat="1">
      <c r="I1855" s="185"/>
      <c r="J1855" s="185"/>
      <c r="K1855" s="185"/>
      <c r="L1855"/>
      <c r="M1855"/>
      <c r="N1855"/>
      <c r="O1855"/>
      <c r="P1855"/>
      <c r="Q1855"/>
    </row>
    <row r="1856" spans="9:17" s="1" customFormat="1">
      <c r="I1856" s="185"/>
      <c r="J1856" s="185"/>
      <c r="K1856" s="185"/>
      <c r="L1856"/>
      <c r="M1856"/>
      <c r="N1856"/>
      <c r="O1856"/>
      <c r="P1856"/>
      <c r="Q1856"/>
    </row>
    <row r="1857" spans="9:17" s="1" customFormat="1">
      <c r="I1857" s="185"/>
      <c r="J1857" s="185"/>
      <c r="K1857" s="185"/>
      <c r="L1857"/>
      <c r="M1857"/>
      <c r="N1857"/>
      <c r="O1857"/>
      <c r="P1857"/>
      <c r="Q1857"/>
    </row>
    <row r="1858" spans="9:17" s="1" customFormat="1">
      <c r="I1858" s="185"/>
      <c r="J1858" s="185"/>
      <c r="K1858" s="185"/>
      <c r="L1858"/>
      <c r="M1858"/>
      <c r="N1858"/>
      <c r="O1858"/>
      <c r="P1858"/>
      <c r="Q1858"/>
    </row>
    <row r="1859" spans="9:17" s="1" customFormat="1">
      <c r="I1859" s="185"/>
      <c r="J1859" s="185"/>
      <c r="K1859" s="185"/>
      <c r="L1859"/>
      <c r="M1859"/>
      <c r="N1859"/>
      <c r="O1859"/>
      <c r="P1859"/>
      <c r="Q1859"/>
    </row>
    <row r="1860" spans="9:17" s="1" customFormat="1">
      <c r="I1860" s="185"/>
      <c r="J1860" s="185"/>
      <c r="K1860" s="185"/>
      <c r="L1860"/>
      <c r="M1860"/>
      <c r="N1860"/>
      <c r="O1860"/>
      <c r="P1860"/>
      <c r="Q1860"/>
    </row>
    <row r="1861" spans="9:17" s="1" customFormat="1">
      <c r="I1861" s="185"/>
      <c r="J1861" s="185"/>
      <c r="K1861" s="185"/>
      <c r="L1861"/>
      <c r="M1861"/>
      <c r="N1861"/>
      <c r="O1861"/>
      <c r="P1861"/>
      <c r="Q1861"/>
    </row>
    <row r="1862" spans="9:17" s="1" customFormat="1">
      <c r="I1862" s="185"/>
      <c r="J1862" s="185"/>
      <c r="K1862" s="185"/>
      <c r="L1862"/>
      <c r="M1862"/>
      <c r="N1862"/>
      <c r="O1862"/>
      <c r="P1862"/>
      <c r="Q1862"/>
    </row>
    <row r="1863" spans="9:17" s="1" customFormat="1">
      <c r="I1863" s="185"/>
      <c r="J1863" s="185"/>
      <c r="K1863" s="185"/>
      <c r="L1863"/>
      <c r="M1863"/>
      <c r="N1863"/>
      <c r="O1863"/>
      <c r="P1863"/>
      <c r="Q1863"/>
    </row>
    <row r="1864" spans="9:17" s="1" customFormat="1">
      <c r="I1864" s="185"/>
      <c r="J1864" s="185"/>
      <c r="K1864" s="185"/>
      <c r="L1864"/>
      <c r="M1864"/>
      <c r="N1864"/>
      <c r="O1864"/>
      <c r="P1864"/>
      <c r="Q1864"/>
    </row>
    <row r="1865" spans="9:17" s="1" customFormat="1">
      <c r="I1865" s="185"/>
      <c r="J1865" s="185"/>
      <c r="K1865" s="185"/>
      <c r="L1865"/>
      <c r="M1865"/>
      <c r="N1865"/>
      <c r="O1865"/>
      <c r="P1865"/>
      <c r="Q1865"/>
    </row>
    <row r="1866" spans="9:17" s="1" customFormat="1">
      <c r="I1866" s="185"/>
      <c r="J1866" s="185"/>
      <c r="K1866" s="185"/>
      <c r="L1866"/>
      <c r="M1866"/>
      <c r="N1866"/>
      <c r="O1866"/>
      <c r="P1866"/>
      <c r="Q1866"/>
    </row>
    <row r="1867" spans="9:17" s="1" customFormat="1">
      <c r="I1867" s="185"/>
      <c r="J1867" s="185"/>
      <c r="K1867" s="185"/>
      <c r="L1867"/>
      <c r="M1867"/>
      <c r="N1867"/>
      <c r="O1867"/>
      <c r="P1867"/>
      <c r="Q1867"/>
    </row>
    <row r="1868" spans="9:17" s="1" customFormat="1">
      <c r="I1868" s="185"/>
      <c r="J1868" s="185"/>
      <c r="K1868" s="185"/>
      <c r="L1868"/>
      <c r="M1868"/>
      <c r="N1868"/>
      <c r="O1868"/>
      <c r="P1868"/>
      <c r="Q1868"/>
    </row>
    <row r="1869" spans="9:17" s="1" customFormat="1">
      <c r="I1869" s="185"/>
      <c r="J1869" s="185"/>
      <c r="K1869" s="185"/>
      <c r="L1869"/>
      <c r="M1869"/>
      <c r="N1869"/>
      <c r="O1869"/>
      <c r="P1869"/>
      <c r="Q1869"/>
    </row>
    <row r="1870" spans="9:17" s="1" customFormat="1">
      <c r="I1870" s="185"/>
      <c r="J1870" s="185"/>
      <c r="K1870" s="185"/>
      <c r="L1870"/>
      <c r="M1870"/>
      <c r="N1870"/>
      <c r="O1870"/>
      <c r="P1870"/>
      <c r="Q1870"/>
    </row>
    <row r="1871" spans="9:17" s="1" customFormat="1">
      <c r="I1871" s="185"/>
      <c r="J1871" s="185"/>
      <c r="K1871" s="185"/>
      <c r="L1871"/>
      <c r="M1871"/>
      <c r="N1871"/>
      <c r="O1871"/>
      <c r="P1871"/>
      <c r="Q1871"/>
    </row>
    <row r="1872" spans="9:17" s="1" customFormat="1">
      <c r="I1872" s="185"/>
      <c r="J1872" s="185"/>
      <c r="K1872" s="185"/>
      <c r="L1872"/>
      <c r="M1872"/>
      <c r="N1872"/>
      <c r="O1872"/>
      <c r="P1872"/>
      <c r="Q1872"/>
    </row>
    <row r="1873" spans="9:17" s="1" customFormat="1">
      <c r="I1873" s="185"/>
      <c r="J1873" s="185"/>
      <c r="K1873" s="185"/>
      <c r="L1873"/>
      <c r="M1873"/>
      <c r="N1873"/>
      <c r="O1873"/>
      <c r="P1873"/>
      <c r="Q1873"/>
    </row>
    <row r="1874" spans="9:17" s="1" customFormat="1">
      <c r="I1874" s="185"/>
      <c r="J1874" s="185"/>
      <c r="K1874" s="185"/>
      <c r="L1874"/>
      <c r="M1874"/>
      <c r="N1874"/>
      <c r="O1874"/>
      <c r="P1874"/>
      <c r="Q1874"/>
    </row>
    <row r="1875" spans="9:17" s="1" customFormat="1">
      <c r="I1875" s="185"/>
      <c r="J1875" s="185"/>
      <c r="K1875" s="185"/>
      <c r="L1875"/>
      <c r="M1875"/>
      <c r="N1875"/>
      <c r="O1875"/>
      <c r="P1875"/>
      <c r="Q1875"/>
    </row>
    <row r="1876" spans="9:17" s="1" customFormat="1">
      <c r="I1876" s="185"/>
      <c r="J1876" s="185"/>
      <c r="K1876" s="185"/>
      <c r="L1876"/>
      <c r="M1876"/>
      <c r="N1876"/>
      <c r="O1876"/>
      <c r="P1876"/>
      <c r="Q1876"/>
    </row>
    <row r="1877" spans="9:17" s="1" customFormat="1">
      <c r="I1877" s="185"/>
      <c r="J1877" s="185"/>
      <c r="K1877" s="185"/>
      <c r="L1877"/>
      <c r="M1877"/>
      <c r="N1877"/>
      <c r="O1877"/>
      <c r="P1877"/>
      <c r="Q1877"/>
    </row>
    <row r="1878" spans="9:17" s="1" customFormat="1">
      <c r="I1878" s="185"/>
      <c r="J1878" s="185"/>
      <c r="K1878" s="185"/>
      <c r="L1878"/>
      <c r="M1878"/>
      <c r="N1878"/>
      <c r="O1878"/>
      <c r="P1878"/>
      <c r="Q1878"/>
    </row>
    <row r="1879" spans="9:17" s="1" customFormat="1">
      <c r="I1879" s="185"/>
      <c r="J1879" s="185"/>
      <c r="K1879" s="185"/>
      <c r="L1879"/>
      <c r="M1879"/>
      <c r="N1879"/>
      <c r="O1879"/>
      <c r="P1879"/>
      <c r="Q1879"/>
    </row>
    <row r="1880" spans="9:17" s="1" customFormat="1">
      <c r="I1880" s="185"/>
      <c r="J1880" s="185"/>
      <c r="K1880" s="185"/>
      <c r="L1880"/>
      <c r="M1880"/>
      <c r="N1880"/>
      <c r="O1880"/>
      <c r="P1880"/>
      <c r="Q1880"/>
    </row>
    <row r="1881" spans="9:17" s="1" customFormat="1">
      <c r="I1881" s="185"/>
      <c r="J1881" s="185"/>
      <c r="K1881" s="185"/>
      <c r="L1881"/>
      <c r="M1881"/>
      <c r="N1881"/>
      <c r="O1881"/>
      <c r="P1881"/>
      <c r="Q1881"/>
    </row>
    <row r="1882" spans="9:17" s="1" customFormat="1">
      <c r="I1882" s="185"/>
      <c r="J1882" s="185"/>
      <c r="K1882" s="185"/>
      <c r="L1882"/>
      <c r="M1882"/>
      <c r="N1882"/>
      <c r="O1882"/>
      <c r="P1882"/>
      <c r="Q1882"/>
    </row>
    <row r="1883" spans="9:17" s="1" customFormat="1">
      <c r="I1883" s="185"/>
      <c r="J1883" s="185"/>
      <c r="K1883" s="185"/>
      <c r="L1883"/>
      <c r="M1883"/>
      <c r="N1883"/>
      <c r="O1883"/>
      <c r="P1883"/>
      <c r="Q1883"/>
    </row>
    <row r="1884" spans="9:17" s="1" customFormat="1">
      <c r="I1884" s="185"/>
      <c r="J1884" s="185"/>
      <c r="K1884" s="185"/>
      <c r="L1884"/>
      <c r="M1884"/>
      <c r="N1884"/>
      <c r="O1884"/>
      <c r="P1884"/>
      <c r="Q1884"/>
    </row>
    <row r="1885" spans="9:17" s="1" customFormat="1">
      <c r="I1885" s="185"/>
      <c r="J1885" s="185"/>
      <c r="K1885" s="185"/>
      <c r="L1885"/>
      <c r="M1885"/>
      <c r="N1885"/>
      <c r="O1885"/>
      <c r="P1885"/>
      <c r="Q1885"/>
    </row>
    <row r="1886" spans="9:17" s="1" customFormat="1">
      <c r="I1886" s="185"/>
      <c r="J1886" s="185"/>
      <c r="K1886" s="185"/>
      <c r="L1886"/>
      <c r="M1886"/>
      <c r="N1886"/>
      <c r="O1886"/>
      <c r="P1886"/>
      <c r="Q1886"/>
    </row>
    <row r="1887" spans="9:17" s="1" customFormat="1">
      <c r="I1887" s="185"/>
      <c r="J1887" s="185"/>
      <c r="K1887" s="185"/>
      <c r="L1887"/>
      <c r="M1887"/>
      <c r="N1887"/>
      <c r="O1887"/>
      <c r="P1887"/>
      <c r="Q1887"/>
    </row>
    <row r="1888" spans="9:17" s="1" customFormat="1">
      <c r="I1888" s="185"/>
      <c r="J1888" s="185"/>
      <c r="K1888" s="185"/>
      <c r="L1888"/>
      <c r="M1888"/>
      <c r="N1888"/>
      <c r="O1888"/>
      <c r="P1888"/>
      <c r="Q1888"/>
    </row>
    <row r="1889" spans="9:17" s="1" customFormat="1">
      <c r="I1889" s="185"/>
      <c r="J1889" s="185"/>
      <c r="K1889" s="185"/>
      <c r="L1889"/>
      <c r="M1889"/>
      <c r="N1889"/>
      <c r="O1889"/>
      <c r="P1889"/>
      <c r="Q1889"/>
    </row>
    <row r="1890" spans="9:17" s="1" customFormat="1">
      <c r="I1890" s="185"/>
      <c r="J1890" s="185"/>
      <c r="K1890" s="185"/>
      <c r="L1890"/>
      <c r="M1890"/>
      <c r="N1890"/>
      <c r="O1890"/>
      <c r="P1890"/>
      <c r="Q1890"/>
    </row>
    <row r="1891" spans="9:17" s="1" customFormat="1">
      <c r="I1891" s="185"/>
      <c r="J1891" s="185"/>
      <c r="K1891" s="185"/>
      <c r="L1891"/>
      <c r="M1891"/>
      <c r="N1891"/>
      <c r="O1891"/>
      <c r="P1891"/>
      <c r="Q1891"/>
    </row>
    <row r="1892" spans="9:17" s="1" customFormat="1">
      <c r="I1892" s="185"/>
      <c r="J1892" s="185"/>
      <c r="K1892" s="185"/>
      <c r="L1892"/>
      <c r="M1892"/>
      <c r="N1892"/>
      <c r="O1892"/>
      <c r="P1892"/>
      <c r="Q1892"/>
    </row>
    <row r="1893" spans="9:17" s="1" customFormat="1">
      <c r="I1893" s="185"/>
      <c r="J1893" s="185"/>
      <c r="K1893" s="185"/>
      <c r="L1893"/>
      <c r="M1893"/>
      <c r="N1893"/>
      <c r="O1893"/>
      <c r="P1893"/>
      <c r="Q1893"/>
    </row>
    <row r="1894" spans="9:17" s="1" customFormat="1">
      <c r="I1894" s="185"/>
      <c r="J1894" s="185"/>
      <c r="K1894" s="185"/>
      <c r="L1894"/>
      <c r="M1894"/>
      <c r="N1894"/>
      <c r="O1894"/>
      <c r="P1894"/>
      <c r="Q1894"/>
    </row>
    <row r="1895" spans="9:17" s="1" customFormat="1">
      <c r="I1895" s="185"/>
      <c r="J1895" s="185"/>
      <c r="K1895" s="185"/>
      <c r="L1895"/>
      <c r="M1895"/>
      <c r="N1895"/>
      <c r="O1895"/>
      <c r="P1895"/>
      <c r="Q1895"/>
    </row>
    <row r="1896" spans="9:17" s="1" customFormat="1">
      <c r="I1896" s="185"/>
      <c r="J1896" s="185"/>
      <c r="K1896" s="185"/>
      <c r="L1896"/>
      <c r="M1896"/>
      <c r="N1896"/>
      <c r="O1896"/>
      <c r="P1896"/>
      <c r="Q1896"/>
    </row>
    <row r="1897" spans="9:17" s="1" customFormat="1">
      <c r="I1897" s="185"/>
      <c r="J1897" s="185"/>
      <c r="K1897" s="185"/>
      <c r="L1897"/>
      <c r="M1897"/>
      <c r="N1897"/>
      <c r="O1897"/>
      <c r="P1897"/>
      <c r="Q1897"/>
    </row>
    <row r="1898" spans="9:17" s="1" customFormat="1">
      <c r="I1898" s="185"/>
      <c r="J1898" s="185"/>
      <c r="K1898" s="185"/>
      <c r="L1898"/>
      <c r="M1898"/>
      <c r="N1898"/>
      <c r="O1898"/>
      <c r="P1898"/>
      <c r="Q1898"/>
    </row>
    <row r="1899" spans="9:17" s="1" customFormat="1">
      <c r="I1899" s="185"/>
      <c r="J1899" s="185"/>
      <c r="K1899" s="185"/>
      <c r="L1899"/>
      <c r="M1899"/>
      <c r="N1899"/>
      <c r="O1899"/>
      <c r="P1899"/>
      <c r="Q1899"/>
    </row>
    <row r="1900" spans="9:17" s="1" customFormat="1">
      <c r="I1900" s="185"/>
      <c r="J1900" s="185"/>
      <c r="K1900" s="185"/>
      <c r="L1900"/>
      <c r="M1900"/>
      <c r="N1900"/>
      <c r="O1900"/>
      <c r="P1900"/>
      <c r="Q1900"/>
    </row>
    <row r="1901" spans="9:17" s="1" customFormat="1">
      <c r="I1901" s="185"/>
      <c r="J1901" s="185"/>
      <c r="K1901" s="185"/>
      <c r="L1901"/>
      <c r="M1901"/>
      <c r="N1901"/>
      <c r="O1901"/>
      <c r="P1901"/>
      <c r="Q1901"/>
    </row>
    <row r="1902" spans="9:17" s="1" customFormat="1">
      <c r="I1902" s="185"/>
      <c r="J1902" s="185"/>
      <c r="K1902" s="185"/>
      <c r="L1902"/>
      <c r="M1902"/>
      <c r="N1902"/>
      <c r="O1902"/>
      <c r="P1902"/>
      <c r="Q1902"/>
    </row>
    <row r="1903" spans="9:17" s="1" customFormat="1">
      <c r="I1903" s="185"/>
      <c r="J1903" s="185"/>
      <c r="K1903" s="185"/>
      <c r="L1903"/>
      <c r="M1903"/>
      <c r="N1903"/>
      <c r="O1903"/>
      <c r="P1903"/>
      <c r="Q1903"/>
    </row>
    <row r="1904" spans="9:17" s="1" customFormat="1">
      <c r="I1904" s="185"/>
      <c r="J1904" s="185"/>
      <c r="K1904" s="185"/>
      <c r="L1904"/>
      <c r="M1904"/>
      <c r="N1904"/>
      <c r="O1904"/>
      <c r="P1904"/>
      <c r="Q1904"/>
    </row>
    <row r="1905" spans="9:17" s="1" customFormat="1">
      <c r="I1905" s="185"/>
      <c r="J1905" s="185"/>
      <c r="K1905" s="185"/>
      <c r="L1905"/>
      <c r="M1905"/>
      <c r="N1905"/>
      <c r="O1905"/>
      <c r="P1905"/>
      <c r="Q1905"/>
    </row>
    <row r="1906" spans="9:17" s="1" customFormat="1">
      <c r="I1906" s="185"/>
      <c r="J1906" s="185"/>
      <c r="K1906" s="185"/>
      <c r="L1906"/>
      <c r="M1906"/>
      <c r="N1906"/>
      <c r="O1906"/>
      <c r="P1906"/>
      <c r="Q1906"/>
    </row>
    <row r="1907" spans="9:17" s="1" customFormat="1">
      <c r="I1907" s="185"/>
      <c r="J1907" s="185"/>
      <c r="K1907" s="185"/>
      <c r="L1907"/>
      <c r="M1907"/>
      <c r="N1907"/>
      <c r="O1907"/>
      <c r="P1907"/>
      <c r="Q1907"/>
    </row>
    <row r="1908" spans="9:17" s="1" customFormat="1">
      <c r="I1908" s="185"/>
      <c r="J1908" s="185"/>
      <c r="K1908" s="185"/>
      <c r="L1908"/>
      <c r="M1908"/>
      <c r="N1908"/>
      <c r="O1908"/>
      <c r="P1908"/>
      <c r="Q1908"/>
    </row>
    <row r="1909" spans="9:17" s="1" customFormat="1">
      <c r="I1909" s="185"/>
      <c r="J1909" s="185"/>
      <c r="K1909" s="185"/>
      <c r="L1909"/>
      <c r="M1909"/>
      <c r="N1909"/>
      <c r="O1909"/>
      <c r="P1909"/>
      <c r="Q1909"/>
    </row>
    <row r="1910" spans="9:17" s="1" customFormat="1">
      <c r="I1910" s="185"/>
      <c r="J1910" s="185"/>
      <c r="K1910" s="185"/>
      <c r="L1910"/>
      <c r="M1910"/>
      <c r="N1910"/>
      <c r="O1910"/>
      <c r="P1910"/>
      <c r="Q1910"/>
    </row>
    <row r="1911" spans="9:17" s="1" customFormat="1">
      <c r="I1911" s="185"/>
      <c r="J1911" s="185"/>
      <c r="K1911" s="185"/>
      <c r="L1911"/>
      <c r="M1911"/>
      <c r="N1911"/>
      <c r="O1911"/>
      <c r="P1911"/>
      <c r="Q1911"/>
    </row>
    <row r="1912" spans="9:17" s="1" customFormat="1">
      <c r="I1912" s="185"/>
      <c r="J1912" s="185"/>
      <c r="K1912" s="185"/>
      <c r="L1912"/>
      <c r="M1912"/>
      <c r="N1912"/>
      <c r="O1912"/>
      <c r="P1912"/>
      <c r="Q1912"/>
    </row>
    <row r="1913" spans="9:17" s="1" customFormat="1">
      <c r="I1913" s="185"/>
      <c r="J1913" s="185"/>
      <c r="K1913" s="185"/>
      <c r="L1913"/>
      <c r="M1913"/>
      <c r="N1913"/>
      <c r="O1913"/>
      <c r="P1913"/>
      <c r="Q1913"/>
    </row>
    <row r="1914" spans="9:17" s="1" customFormat="1">
      <c r="I1914" s="185"/>
      <c r="J1914" s="185"/>
      <c r="K1914" s="185"/>
      <c r="L1914"/>
      <c r="M1914"/>
      <c r="N1914"/>
      <c r="O1914"/>
      <c r="P1914"/>
      <c r="Q1914"/>
    </row>
    <row r="1915" spans="9:17" s="1" customFormat="1">
      <c r="I1915" s="185"/>
      <c r="J1915" s="185"/>
      <c r="K1915" s="185"/>
      <c r="L1915"/>
      <c r="M1915"/>
      <c r="N1915"/>
      <c r="O1915"/>
      <c r="P1915"/>
      <c r="Q1915"/>
    </row>
    <row r="1916" spans="9:17" s="1" customFormat="1">
      <c r="I1916" s="185"/>
      <c r="J1916" s="185"/>
      <c r="K1916" s="185"/>
      <c r="L1916"/>
      <c r="M1916"/>
      <c r="N1916"/>
      <c r="O1916"/>
      <c r="P1916"/>
      <c r="Q1916"/>
    </row>
    <row r="1917" spans="9:17" s="1" customFormat="1">
      <c r="I1917" s="185"/>
      <c r="J1917" s="185"/>
      <c r="K1917" s="185"/>
      <c r="L1917"/>
      <c r="M1917"/>
      <c r="N1917"/>
      <c r="O1917"/>
      <c r="P1917"/>
      <c r="Q1917"/>
    </row>
    <row r="1918" spans="9:17" s="1" customFormat="1">
      <c r="I1918" s="185"/>
      <c r="J1918" s="185"/>
      <c r="K1918" s="185"/>
      <c r="L1918"/>
      <c r="M1918"/>
      <c r="N1918"/>
      <c r="O1918"/>
      <c r="P1918"/>
      <c r="Q1918"/>
    </row>
    <row r="1919" spans="9:17" s="1" customFormat="1">
      <c r="I1919" s="185"/>
      <c r="J1919" s="185"/>
      <c r="K1919" s="185"/>
      <c r="L1919"/>
      <c r="M1919"/>
      <c r="N1919"/>
      <c r="O1919"/>
      <c r="P1919"/>
      <c r="Q1919"/>
    </row>
    <row r="1920" spans="9:17" s="1" customFormat="1">
      <c r="I1920" s="185"/>
      <c r="J1920" s="185"/>
      <c r="K1920" s="185"/>
      <c r="L1920"/>
      <c r="M1920"/>
      <c r="N1920"/>
      <c r="O1920"/>
      <c r="P1920"/>
      <c r="Q1920"/>
    </row>
    <row r="1921" spans="9:17" s="1" customFormat="1">
      <c r="I1921" s="185"/>
      <c r="J1921" s="185"/>
      <c r="K1921" s="185"/>
      <c r="L1921"/>
      <c r="M1921"/>
      <c r="N1921"/>
      <c r="O1921"/>
      <c r="P1921"/>
      <c r="Q1921"/>
    </row>
    <row r="1922" spans="9:17" s="1" customFormat="1">
      <c r="I1922" s="185"/>
      <c r="J1922" s="185"/>
      <c r="K1922" s="185"/>
      <c r="L1922"/>
      <c r="M1922"/>
      <c r="N1922"/>
      <c r="O1922"/>
      <c r="P1922"/>
      <c r="Q1922"/>
    </row>
    <row r="1923" spans="9:17" s="1" customFormat="1">
      <c r="I1923" s="185"/>
      <c r="J1923" s="185"/>
      <c r="K1923" s="185"/>
      <c r="L1923"/>
      <c r="M1923"/>
      <c r="N1923"/>
      <c r="O1923"/>
      <c r="P1923"/>
      <c r="Q1923"/>
    </row>
    <row r="1924" spans="9:17" s="1" customFormat="1">
      <c r="I1924" s="185"/>
      <c r="J1924" s="185"/>
      <c r="K1924" s="185"/>
      <c r="L1924"/>
      <c r="M1924"/>
      <c r="N1924"/>
      <c r="O1924"/>
      <c r="P1924"/>
      <c r="Q1924"/>
    </row>
    <row r="1925" spans="9:17" s="1" customFormat="1">
      <c r="I1925" s="185"/>
      <c r="J1925" s="185"/>
      <c r="K1925" s="185"/>
      <c r="L1925"/>
      <c r="M1925"/>
      <c r="N1925"/>
      <c r="O1925"/>
      <c r="P1925"/>
      <c r="Q1925"/>
    </row>
    <row r="1926" spans="9:17" s="1" customFormat="1">
      <c r="I1926" s="185"/>
      <c r="J1926" s="185"/>
      <c r="K1926" s="185"/>
      <c r="L1926"/>
      <c r="M1926"/>
      <c r="N1926"/>
      <c r="O1926"/>
      <c r="P1926"/>
      <c r="Q1926"/>
    </row>
    <row r="1927" spans="9:17" s="1" customFormat="1">
      <c r="I1927" s="185"/>
      <c r="J1927" s="185"/>
      <c r="K1927" s="185"/>
      <c r="L1927"/>
      <c r="M1927"/>
      <c r="N1927"/>
      <c r="O1927"/>
      <c r="P1927"/>
      <c r="Q1927"/>
    </row>
    <row r="1928" spans="9:17" s="1" customFormat="1">
      <c r="I1928" s="185"/>
      <c r="J1928" s="185"/>
      <c r="K1928" s="185"/>
      <c r="L1928"/>
      <c r="M1928"/>
      <c r="N1928"/>
      <c r="O1928"/>
      <c r="P1928"/>
      <c r="Q1928"/>
    </row>
    <row r="1929" spans="9:17" s="1" customFormat="1">
      <c r="I1929" s="185"/>
      <c r="J1929" s="185"/>
      <c r="K1929" s="185"/>
      <c r="L1929"/>
      <c r="M1929"/>
      <c r="N1929"/>
      <c r="O1929"/>
      <c r="P1929"/>
      <c r="Q1929"/>
    </row>
    <row r="1930" spans="9:17" s="1" customFormat="1">
      <c r="I1930" s="185"/>
      <c r="J1930" s="185"/>
      <c r="K1930" s="185"/>
      <c r="L1930"/>
      <c r="M1930"/>
      <c r="N1930"/>
      <c r="O1930"/>
      <c r="P1930"/>
      <c r="Q1930"/>
    </row>
    <row r="1931" spans="9:17" s="1" customFormat="1">
      <c r="I1931" s="185"/>
      <c r="J1931" s="185"/>
      <c r="K1931" s="185"/>
      <c r="L1931"/>
      <c r="M1931"/>
      <c r="N1931"/>
      <c r="O1931"/>
      <c r="P1931"/>
      <c r="Q1931"/>
    </row>
    <row r="1932" spans="9:17" s="1" customFormat="1">
      <c r="I1932" s="185"/>
      <c r="J1932" s="185"/>
      <c r="K1932" s="185"/>
      <c r="L1932"/>
      <c r="M1932"/>
      <c r="N1932"/>
      <c r="O1932"/>
      <c r="P1932"/>
      <c r="Q1932"/>
    </row>
    <row r="1933" spans="9:17" s="1" customFormat="1">
      <c r="I1933" s="185"/>
      <c r="J1933" s="185"/>
      <c r="K1933" s="185"/>
      <c r="L1933"/>
      <c r="M1933"/>
      <c r="N1933"/>
      <c r="O1933"/>
      <c r="P1933"/>
      <c r="Q1933"/>
    </row>
    <row r="1934" spans="9:17" s="1" customFormat="1">
      <c r="I1934" s="185"/>
      <c r="J1934" s="185"/>
      <c r="K1934" s="185"/>
      <c r="L1934"/>
      <c r="M1934"/>
      <c r="N1934"/>
      <c r="O1934"/>
      <c r="P1934"/>
      <c r="Q1934"/>
    </row>
    <row r="1935" spans="9:17" s="1" customFormat="1">
      <c r="I1935" s="185"/>
      <c r="J1935" s="185"/>
      <c r="K1935" s="185"/>
      <c r="L1935"/>
      <c r="M1935"/>
      <c r="N1935"/>
      <c r="O1935"/>
      <c r="P1935"/>
      <c r="Q1935"/>
    </row>
    <row r="1936" spans="9:17" s="1" customFormat="1">
      <c r="I1936" s="185"/>
      <c r="J1936" s="185"/>
      <c r="K1936" s="185"/>
      <c r="L1936"/>
      <c r="M1936"/>
      <c r="N1936"/>
      <c r="O1936"/>
      <c r="P1936"/>
      <c r="Q1936"/>
    </row>
    <row r="1937" spans="9:17" s="1" customFormat="1">
      <c r="I1937" s="185"/>
      <c r="J1937" s="185"/>
      <c r="K1937" s="185"/>
      <c r="L1937"/>
      <c r="M1937"/>
      <c r="N1937"/>
      <c r="O1937"/>
      <c r="P1937"/>
      <c r="Q1937"/>
    </row>
    <row r="1938" spans="9:17" s="1" customFormat="1">
      <c r="I1938" s="185"/>
      <c r="J1938" s="185"/>
      <c r="K1938" s="185"/>
      <c r="L1938"/>
      <c r="M1938"/>
      <c r="N1938"/>
      <c r="O1938"/>
      <c r="P1938"/>
      <c r="Q1938"/>
    </row>
    <row r="1939" spans="9:17" s="1" customFormat="1">
      <c r="I1939" s="185"/>
      <c r="J1939" s="185"/>
      <c r="K1939" s="185"/>
      <c r="L1939"/>
      <c r="M1939"/>
      <c r="N1939"/>
      <c r="O1939"/>
      <c r="P1939"/>
      <c r="Q1939"/>
    </row>
    <row r="1940" spans="9:17" s="1" customFormat="1">
      <c r="I1940" s="185"/>
      <c r="J1940" s="185"/>
      <c r="K1940" s="185"/>
      <c r="L1940"/>
      <c r="M1940"/>
      <c r="N1940"/>
      <c r="O1940"/>
      <c r="P1940"/>
      <c r="Q1940"/>
    </row>
    <row r="1941" spans="9:17" s="1" customFormat="1">
      <c r="I1941" s="185"/>
      <c r="J1941" s="185"/>
      <c r="K1941" s="185"/>
      <c r="L1941"/>
      <c r="M1941"/>
      <c r="N1941"/>
      <c r="O1941"/>
      <c r="P1941"/>
      <c r="Q1941"/>
    </row>
    <row r="1942" spans="9:17" s="1" customFormat="1">
      <c r="I1942" s="185"/>
      <c r="J1942" s="185"/>
      <c r="K1942" s="185"/>
      <c r="L1942"/>
      <c r="M1942"/>
      <c r="N1942"/>
      <c r="O1942"/>
      <c r="P1942"/>
      <c r="Q1942"/>
    </row>
    <row r="1943" spans="9:17" s="1" customFormat="1">
      <c r="I1943" s="185"/>
      <c r="J1943" s="185"/>
      <c r="K1943" s="185"/>
      <c r="L1943"/>
      <c r="M1943"/>
      <c r="N1943"/>
      <c r="O1943"/>
      <c r="P1943"/>
      <c r="Q1943"/>
    </row>
    <row r="1944" spans="9:17" s="1" customFormat="1">
      <c r="I1944" s="185"/>
      <c r="J1944" s="185"/>
      <c r="K1944" s="185"/>
      <c r="L1944"/>
      <c r="M1944"/>
      <c r="N1944"/>
      <c r="O1944"/>
      <c r="P1944"/>
      <c r="Q1944"/>
    </row>
    <row r="1945" spans="9:17" s="1" customFormat="1">
      <c r="I1945" s="185"/>
      <c r="J1945" s="185"/>
      <c r="K1945" s="185"/>
      <c r="L1945"/>
      <c r="M1945"/>
      <c r="N1945"/>
      <c r="O1945"/>
      <c r="P1945"/>
      <c r="Q1945"/>
    </row>
    <row r="1946" spans="9:17" s="1" customFormat="1">
      <c r="I1946" s="185"/>
      <c r="J1946" s="185"/>
      <c r="K1946" s="185"/>
      <c r="L1946"/>
      <c r="M1946"/>
      <c r="N1946"/>
      <c r="O1946"/>
      <c r="P1946"/>
      <c r="Q1946"/>
    </row>
    <row r="1947" spans="9:17" s="1" customFormat="1">
      <c r="I1947" s="185"/>
      <c r="J1947" s="185"/>
      <c r="K1947" s="185"/>
      <c r="L1947"/>
      <c r="M1947"/>
      <c r="N1947"/>
      <c r="O1947"/>
      <c r="P1947"/>
      <c r="Q1947"/>
    </row>
    <row r="1948" spans="9:17" s="1" customFormat="1">
      <c r="I1948" s="185"/>
      <c r="J1948" s="185"/>
      <c r="K1948" s="185"/>
      <c r="L1948"/>
      <c r="M1948"/>
      <c r="N1948"/>
      <c r="O1948"/>
      <c r="P1948"/>
      <c r="Q1948"/>
    </row>
    <row r="1949" spans="9:17" s="1" customFormat="1">
      <c r="I1949" s="185"/>
      <c r="J1949" s="185"/>
      <c r="K1949" s="185"/>
      <c r="L1949"/>
      <c r="M1949"/>
      <c r="N1949"/>
      <c r="O1949"/>
      <c r="P1949"/>
      <c r="Q1949"/>
    </row>
    <row r="1950" spans="9:17" s="1" customFormat="1">
      <c r="I1950" s="185"/>
      <c r="J1950" s="185"/>
      <c r="K1950" s="185"/>
      <c r="L1950"/>
      <c r="M1950"/>
      <c r="N1950"/>
      <c r="O1950"/>
      <c r="P1950"/>
      <c r="Q1950"/>
    </row>
    <row r="1951" spans="9:17" s="1" customFormat="1">
      <c r="I1951" s="185"/>
      <c r="J1951" s="185"/>
      <c r="K1951" s="185"/>
      <c r="L1951"/>
      <c r="M1951"/>
      <c r="N1951"/>
      <c r="O1951"/>
      <c r="P1951"/>
      <c r="Q1951"/>
    </row>
    <row r="1952" spans="9:17" s="1" customFormat="1">
      <c r="I1952" s="185"/>
      <c r="J1952" s="185"/>
      <c r="K1952" s="185"/>
      <c r="L1952"/>
      <c r="M1952"/>
      <c r="N1952"/>
      <c r="O1952"/>
      <c r="P1952"/>
      <c r="Q1952"/>
    </row>
    <row r="1953" spans="9:17" s="1" customFormat="1">
      <c r="I1953" s="185"/>
      <c r="J1953" s="185"/>
      <c r="K1953" s="185"/>
      <c r="L1953"/>
      <c r="M1953"/>
      <c r="N1953"/>
      <c r="O1953"/>
      <c r="P1953"/>
      <c r="Q1953"/>
    </row>
    <row r="1954" spans="9:17" s="1" customFormat="1">
      <c r="I1954" s="185"/>
      <c r="J1954" s="185"/>
      <c r="K1954" s="185"/>
      <c r="L1954"/>
      <c r="M1954"/>
      <c r="N1954"/>
      <c r="O1954"/>
      <c r="P1954"/>
      <c r="Q1954"/>
    </row>
    <row r="1955" spans="9:17" s="1" customFormat="1">
      <c r="I1955" s="185"/>
      <c r="J1955" s="185"/>
      <c r="K1955" s="185"/>
      <c r="L1955"/>
      <c r="M1955"/>
      <c r="N1955"/>
      <c r="O1955"/>
      <c r="P1955"/>
      <c r="Q1955"/>
    </row>
    <row r="1956" spans="9:17" s="1" customFormat="1">
      <c r="I1956" s="185"/>
      <c r="J1956" s="185"/>
      <c r="K1956" s="185"/>
      <c r="L1956"/>
      <c r="M1956"/>
      <c r="N1956"/>
      <c r="O1956"/>
      <c r="P1956"/>
      <c r="Q1956"/>
    </row>
    <row r="1957" spans="9:17" s="1" customFormat="1">
      <c r="I1957" s="185"/>
      <c r="J1957" s="185"/>
      <c r="K1957" s="185"/>
      <c r="L1957"/>
      <c r="M1957"/>
      <c r="N1957"/>
      <c r="O1957"/>
      <c r="P1957"/>
      <c r="Q1957"/>
    </row>
    <row r="1958" spans="9:17" s="1" customFormat="1">
      <c r="I1958" s="185"/>
      <c r="J1958" s="185"/>
      <c r="K1958" s="185"/>
      <c r="L1958"/>
      <c r="M1958"/>
      <c r="N1958"/>
      <c r="O1958"/>
      <c r="P1958"/>
      <c r="Q1958"/>
    </row>
    <row r="1959" spans="9:17" s="1" customFormat="1">
      <c r="I1959" s="185"/>
      <c r="J1959" s="185"/>
      <c r="K1959" s="185"/>
      <c r="L1959"/>
      <c r="M1959"/>
      <c r="N1959"/>
      <c r="O1959"/>
      <c r="P1959"/>
      <c r="Q1959"/>
    </row>
    <row r="1960" spans="9:17" s="1" customFormat="1">
      <c r="I1960" s="185"/>
      <c r="J1960" s="185"/>
      <c r="K1960" s="185"/>
      <c r="L1960"/>
      <c r="M1960"/>
      <c r="N1960"/>
      <c r="O1960"/>
      <c r="P1960"/>
      <c r="Q1960"/>
    </row>
    <row r="1961" spans="9:17" s="1" customFormat="1">
      <c r="I1961" s="185"/>
      <c r="J1961" s="185"/>
      <c r="K1961" s="185"/>
      <c r="L1961"/>
      <c r="M1961"/>
      <c r="N1961"/>
      <c r="O1961"/>
      <c r="P1961"/>
      <c r="Q1961"/>
    </row>
    <row r="1962" spans="9:17" s="1" customFormat="1">
      <c r="I1962" s="185"/>
      <c r="J1962" s="185"/>
      <c r="K1962" s="185"/>
      <c r="L1962"/>
      <c r="M1962"/>
      <c r="N1962"/>
      <c r="O1962"/>
      <c r="P1962"/>
      <c r="Q1962"/>
    </row>
    <row r="1963" spans="9:17" s="1" customFormat="1">
      <c r="I1963" s="185"/>
      <c r="J1963" s="185"/>
      <c r="K1963" s="185"/>
      <c r="L1963"/>
      <c r="M1963"/>
      <c r="N1963"/>
      <c r="O1963"/>
      <c r="P1963"/>
      <c r="Q1963"/>
    </row>
    <row r="1964" spans="9:17" s="1" customFormat="1">
      <c r="I1964" s="185"/>
      <c r="J1964" s="185"/>
      <c r="K1964" s="185"/>
      <c r="L1964"/>
      <c r="M1964"/>
      <c r="N1964"/>
      <c r="O1964"/>
      <c r="P1964"/>
      <c r="Q1964"/>
    </row>
    <row r="1965" spans="9:17" s="1" customFormat="1">
      <c r="I1965" s="185"/>
      <c r="J1965" s="185"/>
      <c r="K1965" s="185"/>
      <c r="L1965"/>
      <c r="M1965"/>
      <c r="N1965"/>
      <c r="O1965"/>
      <c r="P1965"/>
      <c r="Q1965"/>
    </row>
    <row r="1966" spans="9:17" s="1" customFormat="1">
      <c r="I1966" s="185"/>
      <c r="J1966" s="185"/>
      <c r="K1966" s="185"/>
      <c r="L1966"/>
      <c r="M1966"/>
      <c r="N1966"/>
      <c r="O1966"/>
      <c r="P1966"/>
      <c r="Q1966"/>
    </row>
    <row r="1967" spans="9:17" s="1" customFormat="1">
      <c r="I1967" s="185"/>
      <c r="J1967" s="185"/>
      <c r="K1967" s="185"/>
      <c r="L1967"/>
      <c r="M1967"/>
      <c r="N1967"/>
      <c r="O1967"/>
      <c r="P1967"/>
      <c r="Q1967"/>
    </row>
    <row r="1968" spans="9:17" s="1" customFormat="1">
      <c r="I1968" s="185"/>
      <c r="J1968" s="185"/>
      <c r="K1968" s="185"/>
      <c r="L1968"/>
      <c r="M1968"/>
      <c r="N1968"/>
      <c r="O1968"/>
      <c r="P1968"/>
      <c r="Q1968"/>
    </row>
    <row r="1969" spans="9:17" s="1" customFormat="1">
      <c r="I1969" s="185"/>
      <c r="J1969" s="185"/>
      <c r="K1969" s="185"/>
      <c r="L1969"/>
      <c r="M1969"/>
      <c r="N1969"/>
      <c r="O1969"/>
      <c r="P1969"/>
      <c r="Q1969"/>
    </row>
    <row r="1970" spans="9:17" s="1" customFormat="1">
      <c r="I1970" s="185"/>
      <c r="J1970" s="185"/>
      <c r="K1970" s="185"/>
      <c r="L1970"/>
      <c r="M1970"/>
      <c r="N1970"/>
      <c r="O1970"/>
      <c r="P1970"/>
      <c r="Q1970"/>
    </row>
    <row r="1971" spans="9:17" s="1" customFormat="1">
      <c r="I1971" s="185"/>
      <c r="J1971" s="185"/>
      <c r="K1971" s="185"/>
      <c r="L1971"/>
      <c r="M1971"/>
      <c r="N1971"/>
      <c r="O1971"/>
      <c r="P1971"/>
      <c r="Q1971"/>
    </row>
    <row r="1972" spans="9:17" s="1" customFormat="1">
      <c r="I1972" s="185"/>
      <c r="J1972" s="185"/>
      <c r="K1972" s="185"/>
      <c r="L1972"/>
      <c r="M1972"/>
      <c r="N1972"/>
      <c r="O1972"/>
      <c r="P1972"/>
      <c r="Q1972"/>
    </row>
    <row r="1973" spans="9:17" s="1" customFormat="1">
      <c r="I1973" s="185"/>
      <c r="J1973" s="185"/>
      <c r="K1973" s="185"/>
      <c r="L1973"/>
      <c r="M1973"/>
      <c r="N1973"/>
      <c r="O1973"/>
      <c r="P1973"/>
      <c r="Q1973"/>
    </row>
    <row r="1974" spans="9:17" s="1" customFormat="1">
      <c r="I1974" s="185"/>
      <c r="J1974" s="185"/>
      <c r="K1974" s="185"/>
      <c r="L1974"/>
      <c r="M1974"/>
      <c r="N1974"/>
      <c r="O1974"/>
      <c r="P1974"/>
      <c r="Q1974"/>
    </row>
    <row r="1975" spans="9:17" s="1" customFormat="1">
      <c r="I1975" s="185"/>
      <c r="J1975" s="185"/>
      <c r="K1975" s="185"/>
      <c r="L1975"/>
      <c r="M1975"/>
      <c r="N1975"/>
      <c r="O1975"/>
      <c r="P1975"/>
      <c r="Q1975"/>
    </row>
    <row r="1976" spans="9:17" s="1" customFormat="1">
      <c r="I1976" s="185"/>
      <c r="J1976" s="185"/>
      <c r="K1976" s="185"/>
      <c r="L1976"/>
      <c r="M1976"/>
      <c r="N1976"/>
      <c r="O1976"/>
      <c r="P1976"/>
      <c r="Q1976"/>
    </row>
    <row r="1977" spans="9:17" s="1" customFormat="1">
      <c r="I1977" s="185"/>
      <c r="J1977" s="185"/>
      <c r="K1977" s="185"/>
      <c r="L1977"/>
      <c r="M1977"/>
      <c r="N1977"/>
      <c r="O1977"/>
      <c r="P1977"/>
      <c r="Q1977"/>
    </row>
    <row r="1978" spans="9:17" s="1" customFormat="1">
      <c r="I1978" s="185"/>
      <c r="J1978" s="185"/>
      <c r="K1978" s="185"/>
      <c r="L1978"/>
      <c r="M1978"/>
      <c r="N1978"/>
      <c r="O1978"/>
      <c r="P1978"/>
      <c r="Q1978"/>
    </row>
    <row r="1979" spans="9:17" s="1" customFormat="1">
      <c r="I1979" s="185"/>
      <c r="J1979" s="185"/>
      <c r="K1979" s="185"/>
      <c r="L1979"/>
      <c r="M1979"/>
      <c r="N1979"/>
      <c r="O1979"/>
      <c r="P1979"/>
      <c r="Q1979"/>
    </row>
    <row r="1980" spans="9:17" s="1" customFormat="1">
      <c r="I1980" s="185"/>
      <c r="J1980" s="185"/>
      <c r="K1980" s="185"/>
      <c r="L1980"/>
      <c r="M1980"/>
      <c r="N1980"/>
      <c r="O1980"/>
      <c r="P1980"/>
      <c r="Q1980"/>
    </row>
    <row r="1981" spans="9:17" s="1" customFormat="1">
      <c r="I1981" s="185"/>
      <c r="J1981" s="185"/>
      <c r="K1981" s="185"/>
      <c r="L1981"/>
      <c r="M1981"/>
      <c r="N1981"/>
      <c r="O1981"/>
      <c r="P1981"/>
      <c r="Q1981"/>
    </row>
    <row r="1982" spans="9:17" s="1" customFormat="1">
      <c r="I1982" s="185"/>
      <c r="J1982" s="185"/>
      <c r="K1982" s="185"/>
      <c r="L1982"/>
      <c r="M1982"/>
      <c r="N1982"/>
      <c r="O1982"/>
      <c r="P1982"/>
      <c r="Q1982"/>
    </row>
    <row r="1983" spans="9:17" s="1" customFormat="1">
      <c r="I1983" s="185"/>
      <c r="J1983" s="185"/>
      <c r="K1983" s="185"/>
      <c r="L1983"/>
      <c r="M1983"/>
      <c r="N1983"/>
      <c r="O1983"/>
      <c r="P1983"/>
      <c r="Q1983"/>
    </row>
    <row r="1984" spans="9:17" s="1" customFormat="1">
      <c r="I1984" s="185"/>
      <c r="J1984" s="185"/>
      <c r="K1984" s="185"/>
      <c r="L1984"/>
      <c r="M1984"/>
      <c r="N1984"/>
      <c r="O1984"/>
      <c r="P1984"/>
      <c r="Q1984"/>
    </row>
    <row r="1985" spans="9:17" s="1" customFormat="1">
      <c r="I1985" s="185"/>
      <c r="J1985" s="185"/>
      <c r="K1985" s="185"/>
      <c r="L1985"/>
      <c r="M1985"/>
      <c r="N1985"/>
      <c r="O1985"/>
      <c r="P1985"/>
      <c r="Q1985"/>
    </row>
    <row r="1986" spans="9:17" s="1" customFormat="1">
      <c r="I1986" s="185"/>
      <c r="J1986" s="185"/>
      <c r="K1986" s="185"/>
      <c r="L1986"/>
      <c r="M1986"/>
      <c r="N1986"/>
      <c r="O1986"/>
      <c r="P1986"/>
      <c r="Q1986"/>
    </row>
    <row r="1987" spans="9:17" s="1" customFormat="1">
      <c r="I1987" s="185"/>
      <c r="J1987" s="185"/>
      <c r="K1987" s="185"/>
      <c r="L1987"/>
      <c r="M1987"/>
      <c r="N1987"/>
      <c r="O1987"/>
      <c r="P1987"/>
      <c r="Q1987"/>
    </row>
    <row r="1988" spans="9:17" s="1" customFormat="1">
      <c r="I1988" s="185"/>
      <c r="J1988" s="185"/>
      <c r="K1988" s="185"/>
      <c r="L1988"/>
      <c r="M1988"/>
      <c r="N1988"/>
      <c r="O1988"/>
      <c r="P1988"/>
      <c r="Q1988"/>
    </row>
    <row r="1989" spans="9:17" s="1" customFormat="1">
      <c r="I1989" s="185"/>
      <c r="J1989" s="185"/>
      <c r="K1989" s="185"/>
      <c r="L1989"/>
      <c r="M1989"/>
      <c r="N1989"/>
      <c r="O1989"/>
      <c r="P1989"/>
      <c r="Q1989"/>
    </row>
    <row r="1990" spans="9:17" s="1" customFormat="1">
      <c r="I1990" s="185"/>
      <c r="J1990" s="185"/>
      <c r="K1990" s="185"/>
      <c r="L1990"/>
      <c r="M1990"/>
      <c r="N1990"/>
      <c r="O1990"/>
      <c r="P1990"/>
      <c r="Q1990"/>
    </row>
    <row r="1991" spans="9:17" s="1" customFormat="1">
      <c r="I1991" s="185"/>
      <c r="J1991" s="185"/>
      <c r="K1991" s="185"/>
      <c r="L1991"/>
      <c r="M1991"/>
      <c r="N1991"/>
      <c r="O1991"/>
      <c r="P1991"/>
      <c r="Q1991"/>
    </row>
    <row r="1992" spans="9:17" s="1" customFormat="1">
      <c r="I1992" s="185"/>
      <c r="J1992" s="185"/>
      <c r="K1992" s="185"/>
      <c r="L1992"/>
      <c r="M1992"/>
      <c r="N1992"/>
      <c r="O1992"/>
      <c r="P1992"/>
      <c r="Q1992"/>
    </row>
    <row r="1993" spans="9:17" s="1" customFormat="1">
      <c r="I1993" s="185"/>
      <c r="J1993" s="185"/>
      <c r="K1993" s="185"/>
      <c r="L1993"/>
      <c r="M1993"/>
      <c r="N1993"/>
      <c r="O1993"/>
      <c r="P1993"/>
      <c r="Q1993"/>
    </row>
    <row r="1994" spans="9:17" s="1" customFormat="1">
      <c r="I1994" s="185"/>
      <c r="J1994" s="185"/>
      <c r="K1994" s="185"/>
      <c r="L1994"/>
      <c r="M1994"/>
      <c r="N1994"/>
      <c r="O1994"/>
      <c r="P1994"/>
      <c r="Q1994"/>
    </row>
    <row r="1995" spans="9:17" s="1" customFormat="1">
      <c r="I1995" s="185"/>
      <c r="J1995" s="185"/>
      <c r="K1995" s="185"/>
      <c r="L1995"/>
      <c r="M1995"/>
      <c r="N1995"/>
      <c r="O1995"/>
      <c r="P1995"/>
      <c r="Q1995"/>
    </row>
    <row r="1996" spans="9:17" s="1" customFormat="1">
      <c r="I1996" s="185"/>
      <c r="J1996" s="185"/>
      <c r="K1996" s="185"/>
      <c r="L1996"/>
      <c r="M1996"/>
      <c r="N1996"/>
      <c r="O1996"/>
      <c r="P1996"/>
      <c r="Q1996"/>
    </row>
    <row r="1997" spans="9:17" s="1" customFormat="1">
      <c r="I1997" s="185"/>
      <c r="J1997" s="185"/>
      <c r="K1997" s="185"/>
      <c r="L1997"/>
      <c r="M1997"/>
      <c r="N1997"/>
      <c r="O1997"/>
      <c r="P1997"/>
      <c r="Q1997"/>
    </row>
    <row r="1998" spans="9:17" s="1" customFormat="1">
      <c r="I1998" s="185"/>
      <c r="J1998" s="185"/>
      <c r="K1998" s="185"/>
      <c r="L1998"/>
      <c r="M1998"/>
      <c r="N1998"/>
      <c r="O1998"/>
      <c r="P1998"/>
      <c r="Q1998"/>
    </row>
    <row r="1999" spans="9:17" s="1" customFormat="1">
      <c r="I1999" s="185"/>
      <c r="J1999" s="185"/>
      <c r="K1999" s="185"/>
      <c r="L1999"/>
      <c r="M1999"/>
      <c r="N1999"/>
      <c r="O1999"/>
      <c r="P1999"/>
      <c r="Q1999"/>
    </row>
    <row r="2000" spans="9:17" s="1" customFormat="1">
      <c r="I2000" s="185"/>
      <c r="J2000" s="185"/>
      <c r="K2000" s="185"/>
      <c r="L2000"/>
      <c r="M2000"/>
      <c r="N2000"/>
      <c r="O2000"/>
      <c r="P2000"/>
      <c r="Q2000"/>
    </row>
    <row r="2001" spans="9:17" s="1" customFormat="1">
      <c r="I2001" s="185"/>
      <c r="J2001" s="185"/>
      <c r="K2001" s="185"/>
      <c r="L2001"/>
      <c r="M2001"/>
      <c r="N2001"/>
      <c r="O2001"/>
      <c r="P2001"/>
      <c r="Q2001"/>
    </row>
    <row r="2002" spans="9:17" s="1" customFormat="1">
      <c r="I2002" s="185"/>
      <c r="J2002" s="185"/>
      <c r="K2002" s="185"/>
      <c r="L2002"/>
      <c r="M2002"/>
      <c r="N2002"/>
      <c r="O2002"/>
      <c r="P2002"/>
      <c r="Q2002"/>
    </row>
    <row r="2003" spans="9:17" s="1" customFormat="1">
      <c r="I2003" s="185"/>
      <c r="J2003" s="185"/>
      <c r="K2003" s="185"/>
      <c r="L2003"/>
      <c r="M2003"/>
      <c r="N2003"/>
      <c r="O2003"/>
      <c r="P2003"/>
      <c r="Q2003"/>
    </row>
    <row r="2004" spans="9:17" s="1" customFormat="1">
      <c r="I2004" s="185"/>
      <c r="J2004" s="185"/>
      <c r="K2004" s="185"/>
      <c r="L2004"/>
      <c r="M2004"/>
      <c r="N2004"/>
      <c r="O2004"/>
      <c r="P2004"/>
      <c r="Q2004"/>
    </row>
    <row r="2005" spans="9:17" s="1" customFormat="1">
      <c r="I2005" s="185"/>
      <c r="J2005" s="185"/>
      <c r="K2005" s="185"/>
      <c r="L2005"/>
      <c r="M2005"/>
      <c r="N2005"/>
      <c r="O2005"/>
      <c r="P2005"/>
      <c r="Q2005"/>
    </row>
    <row r="2006" spans="9:17" s="1" customFormat="1">
      <c r="I2006" s="185"/>
      <c r="J2006" s="185"/>
      <c r="K2006" s="185"/>
      <c r="L2006"/>
      <c r="M2006"/>
      <c r="N2006"/>
      <c r="O2006"/>
      <c r="P2006"/>
      <c r="Q2006"/>
    </row>
    <row r="2007" spans="9:17" s="1" customFormat="1">
      <c r="I2007" s="185"/>
      <c r="J2007" s="185"/>
      <c r="K2007" s="185"/>
      <c r="L2007"/>
      <c r="M2007"/>
      <c r="N2007"/>
      <c r="O2007"/>
      <c r="P2007"/>
      <c r="Q2007"/>
    </row>
    <row r="2008" spans="9:17" s="1" customFormat="1">
      <c r="I2008" s="185"/>
      <c r="J2008" s="185"/>
      <c r="K2008" s="185"/>
      <c r="L2008"/>
      <c r="M2008"/>
      <c r="N2008"/>
      <c r="O2008"/>
      <c r="P2008"/>
      <c r="Q2008"/>
    </row>
    <row r="2009" spans="9:17" s="1" customFormat="1">
      <c r="I2009" s="185"/>
      <c r="J2009" s="185"/>
      <c r="K2009" s="185"/>
      <c r="L2009"/>
      <c r="M2009"/>
      <c r="N2009"/>
      <c r="O2009"/>
      <c r="P2009"/>
      <c r="Q2009"/>
    </row>
    <row r="2010" spans="9:17" s="1" customFormat="1">
      <c r="I2010" s="185"/>
      <c r="J2010" s="185"/>
      <c r="K2010" s="185"/>
      <c r="L2010"/>
      <c r="M2010"/>
      <c r="N2010"/>
      <c r="O2010"/>
      <c r="P2010"/>
      <c r="Q2010"/>
    </row>
    <row r="2011" spans="9:17" s="1" customFormat="1">
      <c r="I2011" s="185"/>
      <c r="J2011" s="185"/>
      <c r="K2011" s="185"/>
      <c r="L2011"/>
      <c r="M2011"/>
      <c r="N2011"/>
      <c r="O2011"/>
      <c r="P2011"/>
      <c r="Q2011"/>
    </row>
    <row r="2012" spans="9:17" s="1" customFormat="1">
      <c r="I2012" s="185"/>
      <c r="J2012" s="185"/>
      <c r="K2012" s="185"/>
      <c r="L2012"/>
      <c r="M2012"/>
      <c r="N2012"/>
      <c r="O2012"/>
      <c r="P2012"/>
      <c r="Q2012"/>
    </row>
    <row r="2013" spans="9:17" s="1" customFormat="1">
      <c r="I2013" s="185"/>
      <c r="J2013" s="185"/>
      <c r="K2013" s="185"/>
      <c r="L2013"/>
      <c r="M2013"/>
      <c r="N2013"/>
      <c r="O2013"/>
      <c r="P2013"/>
      <c r="Q2013"/>
    </row>
    <row r="2014" spans="9:17" s="1" customFormat="1">
      <c r="I2014" s="185"/>
      <c r="J2014" s="185"/>
      <c r="K2014" s="185"/>
      <c r="L2014"/>
      <c r="M2014"/>
      <c r="N2014"/>
      <c r="O2014"/>
      <c r="P2014"/>
      <c r="Q2014"/>
    </row>
    <row r="2015" spans="9:17" s="1" customFormat="1">
      <c r="I2015" s="185"/>
      <c r="J2015" s="185"/>
      <c r="K2015" s="185"/>
      <c r="L2015"/>
      <c r="M2015"/>
      <c r="N2015"/>
      <c r="O2015"/>
      <c r="P2015"/>
      <c r="Q2015"/>
    </row>
    <row r="2016" spans="9:17" s="1" customFormat="1">
      <c r="I2016" s="185"/>
      <c r="J2016" s="185"/>
      <c r="K2016" s="185"/>
      <c r="L2016"/>
      <c r="M2016"/>
      <c r="N2016"/>
      <c r="O2016"/>
      <c r="P2016"/>
      <c r="Q2016"/>
    </row>
    <row r="2017" spans="9:17" s="1" customFormat="1">
      <c r="I2017" s="185"/>
      <c r="J2017" s="185"/>
      <c r="K2017" s="185"/>
      <c r="L2017"/>
      <c r="M2017"/>
      <c r="N2017"/>
      <c r="O2017"/>
      <c r="P2017"/>
      <c r="Q2017"/>
    </row>
    <row r="2018" spans="9:17" s="1" customFormat="1">
      <c r="I2018" s="185"/>
      <c r="J2018" s="185"/>
      <c r="K2018" s="185"/>
      <c r="L2018"/>
      <c r="M2018"/>
      <c r="N2018"/>
      <c r="O2018"/>
      <c r="P2018"/>
      <c r="Q2018"/>
    </row>
    <row r="2019" spans="9:17" s="1" customFormat="1">
      <c r="I2019" s="185"/>
      <c r="J2019" s="185"/>
      <c r="K2019" s="185"/>
      <c r="L2019"/>
      <c r="M2019"/>
      <c r="N2019"/>
      <c r="O2019"/>
      <c r="P2019"/>
      <c r="Q2019"/>
    </row>
    <row r="2020" spans="9:17" s="1" customFormat="1">
      <c r="I2020" s="185"/>
      <c r="J2020" s="185"/>
      <c r="K2020" s="185"/>
      <c r="L2020"/>
      <c r="M2020"/>
      <c r="N2020"/>
      <c r="O2020"/>
      <c r="P2020"/>
      <c r="Q2020"/>
    </row>
    <row r="2021" spans="9:17" s="1" customFormat="1">
      <c r="I2021" s="185"/>
      <c r="J2021" s="185"/>
      <c r="K2021" s="185"/>
      <c r="L2021"/>
      <c r="M2021"/>
      <c r="N2021"/>
      <c r="O2021"/>
      <c r="P2021"/>
      <c r="Q2021"/>
    </row>
    <row r="2022" spans="9:17" s="1" customFormat="1">
      <c r="I2022" s="185"/>
      <c r="J2022" s="185"/>
      <c r="K2022" s="185"/>
      <c r="L2022"/>
      <c r="M2022"/>
      <c r="N2022"/>
      <c r="O2022"/>
      <c r="P2022"/>
      <c r="Q2022"/>
    </row>
    <row r="2023" spans="9:17" s="1" customFormat="1">
      <c r="I2023" s="185"/>
      <c r="J2023" s="185"/>
      <c r="K2023" s="185"/>
      <c r="L2023"/>
      <c r="M2023"/>
      <c r="N2023"/>
      <c r="O2023"/>
      <c r="P2023"/>
      <c r="Q2023"/>
    </row>
    <row r="2024" spans="9:17" s="1" customFormat="1">
      <c r="I2024" s="185"/>
      <c r="J2024" s="185"/>
      <c r="K2024" s="185"/>
      <c r="L2024"/>
      <c r="M2024"/>
      <c r="N2024"/>
      <c r="O2024"/>
      <c r="P2024"/>
      <c r="Q2024"/>
    </row>
    <row r="2025" spans="9:17" s="1" customFormat="1">
      <c r="I2025" s="185"/>
      <c r="J2025" s="185"/>
      <c r="K2025" s="185"/>
      <c r="L2025"/>
      <c r="M2025"/>
      <c r="N2025"/>
      <c r="O2025"/>
      <c r="P2025"/>
      <c r="Q2025"/>
    </row>
    <row r="2026" spans="9:17" s="1" customFormat="1">
      <c r="I2026" s="185"/>
      <c r="J2026" s="185"/>
      <c r="K2026" s="185"/>
      <c r="L2026"/>
      <c r="M2026"/>
      <c r="N2026"/>
      <c r="O2026"/>
      <c r="P2026"/>
      <c r="Q2026"/>
    </row>
    <row r="2027" spans="9:17" s="1" customFormat="1">
      <c r="I2027" s="185"/>
      <c r="J2027" s="185"/>
      <c r="K2027" s="185"/>
      <c r="L2027"/>
      <c r="M2027"/>
      <c r="N2027"/>
      <c r="O2027"/>
      <c r="P2027"/>
      <c r="Q2027"/>
    </row>
    <row r="2028" spans="9:17" s="1" customFormat="1">
      <c r="I2028" s="185"/>
      <c r="J2028" s="185"/>
      <c r="K2028" s="185"/>
      <c r="L2028"/>
      <c r="M2028"/>
      <c r="N2028"/>
      <c r="O2028"/>
      <c r="P2028"/>
      <c r="Q2028"/>
    </row>
    <row r="2029" spans="9:17" s="1" customFormat="1">
      <c r="I2029" s="185"/>
      <c r="J2029" s="185"/>
      <c r="K2029" s="185"/>
      <c r="L2029"/>
      <c r="M2029"/>
      <c r="N2029"/>
      <c r="O2029"/>
      <c r="P2029"/>
      <c r="Q2029"/>
    </row>
    <row r="2030" spans="9:17" s="1" customFormat="1">
      <c r="I2030" s="185"/>
      <c r="J2030" s="185"/>
      <c r="K2030" s="185"/>
      <c r="L2030"/>
      <c r="M2030"/>
      <c r="N2030"/>
      <c r="O2030"/>
      <c r="P2030"/>
      <c r="Q2030"/>
    </row>
    <row r="2031" spans="9:17" s="1" customFormat="1">
      <c r="I2031" s="185"/>
      <c r="J2031" s="185"/>
      <c r="K2031" s="185"/>
      <c r="L2031"/>
      <c r="M2031"/>
      <c r="N2031"/>
      <c r="O2031"/>
      <c r="P2031"/>
      <c r="Q2031"/>
    </row>
    <row r="2032" spans="9:17" s="1" customFormat="1">
      <c r="I2032" s="185"/>
      <c r="J2032" s="185"/>
      <c r="K2032" s="185"/>
      <c r="L2032"/>
      <c r="M2032"/>
      <c r="N2032"/>
      <c r="O2032"/>
      <c r="P2032"/>
      <c r="Q2032"/>
    </row>
    <row r="2033" spans="9:17" s="1" customFormat="1">
      <c r="I2033" s="185"/>
      <c r="J2033" s="185"/>
      <c r="K2033" s="185"/>
      <c r="L2033"/>
      <c r="M2033"/>
      <c r="N2033"/>
      <c r="O2033"/>
      <c r="P2033"/>
      <c r="Q2033"/>
    </row>
    <row r="2034" spans="9:17" s="1" customFormat="1">
      <c r="I2034" s="185"/>
      <c r="J2034" s="185"/>
      <c r="K2034" s="185"/>
      <c r="L2034"/>
      <c r="M2034"/>
      <c r="N2034"/>
      <c r="O2034"/>
      <c r="P2034"/>
      <c r="Q2034"/>
    </row>
    <row r="2035" spans="9:17" s="1" customFormat="1">
      <c r="I2035" s="185"/>
      <c r="J2035" s="185"/>
      <c r="K2035" s="185"/>
      <c r="L2035"/>
      <c r="M2035"/>
      <c r="N2035"/>
      <c r="O2035"/>
      <c r="P2035"/>
      <c r="Q2035"/>
    </row>
    <row r="2036" spans="9:17" s="1" customFormat="1">
      <c r="I2036" s="185"/>
      <c r="J2036" s="185"/>
      <c r="K2036" s="185"/>
      <c r="L2036"/>
      <c r="M2036"/>
      <c r="N2036"/>
      <c r="O2036"/>
      <c r="P2036"/>
      <c r="Q2036"/>
    </row>
    <row r="2037" spans="9:17" s="1" customFormat="1">
      <c r="I2037" s="185"/>
      <c r="J2037" s="185"/>
      <c r="K2037" s="185"/>
      <c r="L2037"/>
      <c r="M2037"/>
      <c r="N2037"/>
      <c r="O2037"/>
      <c r="P2037"/>
      <c r="Q2037"/>
    </row>
    <row r="2038" spans="9:17" s="1" customFormat="1">
      <c r="I2038" s="185"/>
      <c r="J2038" s="185"/>
      <c r="K2038" s="185"/>
      <c r="L2038"/>
      <c r="M2038"/>
      <c r="N2038"/>
      <c r="O2038"/>
      <c r="P2038"/>
      <c r="Q2038"/>
    </row>
    <row r="2039" spans="9:17" s="1" customFormat="1">
      <c r="I2039" s="185"/>
      <c r="J2039" s="185"/>
      <c r="K2039" s="185"/>
      <c r="L2039"/>
      <c r="M2039"/>
      <c r="N2039"/>
      <c r="O2039"/>
      <c r="P2039"/>
      <c r="Q2039"/>
    </row>
    <row r="2040" spans="9:17" s="1" customFormat="1">
      <c r="I2040" s="185"/>
      <c r="J2040" s="185"/>
      <c r="K2040" s="185"/>
      <c r="L2040"/>
      <c r="M2040"/>
      <c r="N2040"/>
      <c r="O2040"/>
      <c r="P2040"/>
      <c r="Q2040"/>
    </row>
    <row r="2041" spans="9:17" s="1" customFormat="1">
      <c r="I2041" s="185"/>
      <c r="J2041" s="185"/>
      <c r="K2041" s="185"/>
      <c r="L2041"/>
      <c r="M2041"/>
      <c r="N2041"/>
      <c r="O2041"/>
      <c r="P2041"/>
      <c r="Q2041"/>
    </row>
    <row r="2042" spans="9:17" s="1" customFormat="1">
      <c r="I2042" s="185"/>
      <c r="J2042" s="185"/>
      <c r="K2042" s="185"/>
      <c r="L2042"/>
      <c r="M2042"/>
      <c r="N2042"/>
      <c r="O2042"/>
      <c r="P2042"/>
      <c r="Q2042"/>
    </row>
    <row r="2043" spans="9:17" s="1" customFormat="1">
      <c r="I2043" s="185"/>
      <c r="J2043" s="185"/>
      <c r="K2043" s="185"/>
      <c r="L2043"/>
      <c r="M2043"/>
      <c r="N2043"/>
      <c r="O2043"/>
      <c r="P2043"/>
      <c r="Q2043"/>
    </row>
    <row r="2044" spans="9:17" s="1" customFormat="1">
      <c r="I2044" s="185"/>
      <c r="J2044" s="185"/>
      <c r="K2044" s="185"/>
      <c r="L2044"/>
      <c r="M2044"/>
      <c r="N2044"/>
      <c r="O2044"/>
      <c r="P2044"/>
      <c r="Q2044"/>
    </row>
    <row r="2045" spans="9:17" s="1" customFormat="1">
      <c r="I2045" s="185"/>
      <c r="J2045" s="185"/>
      <c r="K2045" s="185"/>
      <c r="L2045"/>
      <c r="M2045"/>
      <c r="N2045"/>
      <c r="O2045"/>
      <c r="P2045"/>
      <c r="Q2045"/>
    </row>
    <row r="2046" spans="9:17" s="1" customFormat="1">
      <c r="I2046" s="185"/>
      <c r="J2046" s="185"/>
      <c r="K2046" s="185"/>
      <c r="L2046"/>
      <c r="M2046"/>
      <c r="N2046"/>
      <c r="O2046"/>
      <c r="P2046"/>
      <c r="Q2046"/>
    </row>
    <row r="2047" spans="9:17" s="1" customFormat="1">
      <c r="I2047" s="185"/>
      <c r="J2047" s="185"/>
      <c r="K2047" s="185"/>
      <c r="L2047"/>
      <c r="M2047"/>
      <c r="N2047"/>
      <c r="O2047"/>
      <c r="P2047"/>
      <c r="Q2047"/>
    </row>
    <row r="2048" spans="9:17" s="1" customFormat="1">
      <c r="I2048" s="185"/>
      <c r="J2048" s="185"/>
      <c r="K2048" s="185"/>
      <c r="L2048"/>
      <c r="M2048"/>
      <c r="N2048"/>
      <c r="O2048"/>
      <c r="P2048"/>
      <c r="Q2048"/>
    </row>
    <row r="2049" spans="9:17" s="1" customFormat="1">
      <c r="I2049" s="185"/>
      <c r="J2049" s="185"/>
      <c r="K2049" s="185"/>
      <c r="L2049"/>
      <c r="M2049"/>
      <c r="N2049"/>
      <c r="O2049"/>
      <c r="P2049"/>
      <c r="Q2049"/>
    </row>
    <row r="2050" spans="9:17" s="1" customFormat="1">
      <c r="I2050" s="185"/>
      <c r="J2050" s="185"/>
      <c r="K2050" s="185"/>
      <c r="L2050"/>
      <c r="M2050"/>
      <c r="N2050"/>
      <c r="O2050"/>
      <c r="P2050"/>
      <c r="Q2050"/>
    </row>
    <row r="2051" spans="9:17" s="1" customFormat="1">
      <c r="I2051" s="185"/>
      <c r="J2051" s="185"/>
      <c r="K2051" s="185"/>
      <c r="L2051"/>
      <c r="M2051"/>
      <c r="N2051"/>
      <c r="O2051"/>
      <c r="P2051"/>
      <c r="Q2051"/>
    </row>
    <row r="2052" spans="9:17" s="1" customFormat="1">
      <c r="I2052" s="185"/>
      <c r="J2052" s="185"/>
      <c r="K2052" s="185"/>
      <c r="L2052"/>
      <c r="M2052"/>
      <c r="N2052"/>
      <c r="O2052"/>
      <c r="P2052"/>
      <c r="Q2052"/>
    </row>
    <row r="2053" spans="9:17" s="1" customFormat="1">
      <c r="I2053" s="185"/>
      <c r="J2053" s="185"/>
      <c r="K2053" s="185"/>
      <c r="L2053"/>
      <c r="M2053"/>
      <c r="N2053"/>
      <c r="O2053"/>
      <c r="P2053"/>
      <c r="Q2053"/>
    </row>
    <row r="2054" spans="9:17" s="1" customFormat="1">
      <c r="I2054" s="185"/>
      <c r="J2054" s="185"/>
      <c r="K2054" s="185"/>
      <c r="L2054"/>
      <c r="M2054"/>
      <c r="N2054"/>
      <c r="O2054"/>
      <c r="P2054"/>
      <c r="Q2054"/>
    </row>
    <row r="2055" spans="9:17" s="1" customFormat="1">
      <c r="I2055" s="185"/>
      <c r="J2055" s="185"/>
      <c r="K2055" s="185"/>
      <c r="L2055"/>
      <c r="M2055"/>
      <c r="N2055"/>
      <c r="O2055"/>
      <c r="P2055"/>
      <c r="Q2055"/>
    </row>
    <row r="2056" spans="9:17" s="1" customFormat="1">
      <c r="I2056" s="185"/>
      <c r="J2056" s="185"/>
      <c r="K2056" s="185"/>
      <c r="L2056"/>
      <c r="M2056"/>
      <c r="N2056"/>
      <c r="O2056"/>
      <c r="P2056"/>
      <c r="Q2056"/>
    </row>
    <row r="2057" spans="9:17" s="1" customFormat="1">
      <c r="I2057" s="185"/>
      <c r="J2057" s="185"/>
      <c r="K2057" s="185"/>
      <c r="L2057"/>
      <c r="M2057"/>
      <c r="N2057"/>
      <c r="O2057"/>
      <c r="P2057"/>
      <c r="Q2057"/>
    </row>
    <row r="2058" spans="9:17" s="1" customFormat="1">
      <c r="I2058" s="185"/>
      <c r="J2058" s="185"/>
      <c r="K2058" s="185"/>
      <c r="L2058"/>
      <c r="M2058"/>
      <c r="N2058"/>
      <c r="O2058"/>
      <c r="P2058"/>
      <c r="Q2058"/>
    </row>
    <row r="2059" spans="9:17" s="1" customFormat="1">
      <c r="I2059" s="185"/>
      <c r="J2059" s="185"/>
      <c r="K2059" s="185"/>
      <c r="L2059"/>
      <c r="M2059"/>
      <c r="N2059"/>
      <c r="O2059"/>
      <c r="P2059"/>
      <c r="Q2059"/>
    </row>
    <row r="2060" spans="9:17" s="1" customFormat="1">
      <c r="I2060" s="185"/>
      <c r="J2060" s="185"/>
      <c r="K2060" s="185"/>
      <c r="L2060"/>
      <c r="M2060"/>
      <c r="N2060"/>
      <c r="O2060"/>
      <c r="P2060"/>
      <c r="Q2060"/>
    </row>
    <row r="2061" spans="9:17" s="1" customFormat="1">
      <c r="I2061" s="185"/>
      <c r="J2061" s="185"/>
      <c r="K2061" s="185"/>
      <c r="L2061"/>
      <c r="M2061"/>
      <c r="N2061"/>
      <c r="O2061"/>
      <c r="P2061"/>
      <c r="Q2061"/>
    </row>
    <row r="2062" spans="9:17" s="1" customFormat="1">
      <c r="I2062" s="185"/>
      <c r="J2062" s="185"/>
      <c r="K2062" s="185"/>
      <c r="L2062"/>
      <c r="M2062"/>
      <c r="N2062"/>
      <c r="O2062"/>
      <c r="P2062"/>
      <c r="Q2062"/>
    </row>
    <row r="2063" spans="9:17" s="1" customFormat="1">
      <c r="I2063" s="185"/>
      <c r="J2063" s="185"/>
      <c r="K2063" s="185"/>
      <c r="L2063"/>
      <c r="M2063"/>
      <c r="N2063"/>
      <c r="O2063"/>
      <c r="P2063"/>
      <c r="Q2063"/>
    </row>
    <row r="2064" spans="9:17" s="1" customFormat="1">
      <c r="I2064" s="185"/>
      <c r="J2064" s="185"/>
      <c r="K2064" s="185"/>
      <c r="L2064"/>
      <c r="M2064"/>
      <c r="N2064"/>
      <c r="O2064"/>
      <c r="P2064"/>
      <c r="Q2064"/>
    </row>
    <row r="2065" spans="9:17" s="1" customFormat="1">
      <c r="I2065" s="185"/>
      <c r="J2065" s="185"/>
      <c r="K2065" s="185"/>
      <c r="L2065"/>
      <c r="M2065"/>
      <c r="N2065"/>
      <c r="O2065"/>
      <c r="P2065"/>
      <c r="Q2065"/>
    </row>
    <row r="2066" spans="9:17" s="1" customFormat="1">
      <c r="I2066" s="185"/>
      <c r="J2066" s="185"/>
      <c r="K2066" s="185"/>
      <c r="L2066"/>
      <c r="M2066"/>
      <c r="N2066"/>
      <c r="O2066"/>
      <c r="P2066"/>
      <c r="Q2066"/>
    </row>
    <row r="2067" spans="9:17" s="1" customFormat="1">
      <c r="I2067" s="185"/>
      <c r="J2067" s="185"/>
      <c r="K2067" s="185"/>
      <c r="L2067"/>
      <c r="M2067"/>
      <c r="N2067"/>
      <c r="O2067"/>
      <c r="P2067"/>
      <c r="Q2067"/>
    </row>
    <row r="2068" spans="9:17" s="1" customFormat="1">
      <c r="I2068" s="185"/>
      <c r="J2068" s="185"/>
      <c r="K2068" s="185"/>
      <c r="L2068"/>
      <c r="M2068"/>
      <c r="N2068"/>
      <c r="O2068"/>
      <c r="P2068"/>
      <c r="Q2068"/>
    </row>
    <row r="2069" spans="9:17" s="1" customFormat="1">
      <c r="I2069" s="185"/>
      <c r="J2069" s="185"/>
      <c r="K2069" s="185"/>
      <c r="L2069"/>
      <c r="M2069"/>
      <c r="N2069"/>
      <c r="O2069"/>
      <c r="P2069"/>
      <c r="Q2069"/>
    </row>
    <row r="2070" spans="9:17" s="1" customFormat="1">
      <c r="I2070" s="185"/>
      <c r="J2070" s="185"/>
      <c r="K2070" s="185"/>
      <c r="L2070"/>
      <c r="M2070"/>
      <c r="N2070"/>
      <c r="O2070"/>
      <c r="P2070"/>
      <c r="Q2070"/>
    </row>
    <row r="2071" spans="9:17" s="1" customFormat="1">
      <c r="I2071" s="185"/>
      <c r="J2071" s="185"/>
      <c r="K2071" s="185"/>
      <c r="L2071"/>
      <c r="M2071"/>
      <c r="N2071"/>
      <c r="O2071"/>
      <c r="P2071"/>
      <c r="Q2071"/>
    </row>
    <row r="2072" spans="9:17" s="1" customFormat="1">
      <c r="I2072" s="185"/>
      <c r="J2072" s="185"/>
      <c r="K2072" s="185"/>
      <c r="L2072"/>
      <c r="M2072"/>
      <c r="N2072"/>
      <c r="O2072"/>
      <c r="P2072"/>
      <c r="Q2072"/>
    </row>
    <row r="2073" spans="9:17" s="1" customFormat="1">
      <c r="I2073" s="185"/>
      <c r="J2073" s="185"/>
      <c r="K2073" s="185"/>
      <c r="L2073"/>
      <c r="M2073"/>
      <c r="N2073"/>
      <c r="O2073"/>
      <c r="P2073"/>
      <c r="Q2073"/>
    </row>
    <row r="2074" spans="9:17" s="1" customFormat="1">
      <c r="I2074" s="185"/>
      <c r="J2074" s="185"/>
      <c r="K2074" s="185"/>
      <c r="L2074"/>
      <c r="M2074"/>
      <c r="N2074"/>
      <c r="O2074"/>
      <c r="P2074"/>
      <c r="Q2074"/>
    </row>
    <row r="2075" spans="9:17" s="1" customFormat="1">
      <c r="I2075" s="185"/>
      <c r="J2075" s="185"/>
      <c r="K2075" s="185"/>
      <c r="L2075"/>
      <c r="M2075"/>
      <c r="N2075"/>
      <c r="O2075"/>
      <c r="P2075"/>
      <c r="Q2075"/>
    </row>
    <row r="2076" spans="9:17" s="1" customFormat="1">
      <c r="I2076" s="185"/>
      <c r="J2076" s="185"/>
      <c r="K2076" s="185"/>
      <c r="L2076"/>
      <c r="M2076"/>
      <c r="N2076"/>
      <c r="O2076"/>
      <c r="P2076"/>
      <c r="Q2076"/>
    </row>
    <row r="2077" spans="9:17" s="1" customFormat="1">
      <c r="I2077" s="185"/>
      <c r="J2077" s="185"/>
      <c r="K2077" s="185"/>
      <c r="L2077"/>
      <c r="M2077"/>
      <c r="N2077"/>
      <c r="O2077"/>
      <c r="P2077"/>
      <c r="Q2077"/>
    </row>
    <row r="2078" spans="9:17" s="1" customFormat="1">
      <c r="I2078" s="185"/>
      <c r="J2078" s="185"/>
      <c r="K2078" s="185"/>
      <c r="L2078"/>
      <c r="M2078"/>
      <c r="N2078"/>
      <c r="O2078"/>
      <c r="P2078"/>
      <c r="Q2078"/>
    </row>
    <row r="2079" spans="9:17" s="1" customFormat="1">
      <c r="I2079" s="185"/>
      <c r="J2079" s="185"/>
      <c r="K2079" s="185"/>
      <c r="L2079"/>
      <c r="M2079"/>
      <c r="N2079"/>
      <c r="O2079"/>
      <c r="P2079"/>
      <c r="Q2079"/>
    </row>
    <row r="2080" spans="9:17" s="1" customFormat="1">
      <c r="I2080" s="185"/>
      <c r="J2080" s="185"/>
      <c r="K2080" s="185"/>
      <c r="L2080"/>
      <c r="M2080"/>
      <c r="N2080"/>
      <c r="O2080"/>
      <c r="P2080"/>
      <c r="Q2080"/>
    </row>
    <row r="2081" spans="9:17" s="1" customFormat="1">
      <c r="I2081" s="185"/>
      <c r="J2081" s="185"/>
      <c r="K2081" s="185"/>
      <c r="L2081"/>
      <c r="M2081"/>
      <c r="N2081"/>
      <c r="O2081"/>
      <c r="P2081"/>
      <c r="Q2081"/>
    </row>
    <row r="2082" spans="9:17" s="1" customFormat="1">
      <c r="I2082" s="185"/>
      <c r="J2082" s="185"/>
      <c r="K2082" s="185"/>
      <c r="L2082"/>
      <c r="M2082"/>
      <c r="N2082"/>
      <c r="O2082"/>
      <c r="P2082"/>
      <c r="Q2082"/>
    </row>
    <row r="2083" spans="9:17" s="1" customFormat="1">
      <c r="I2083" s="185"/>
      <c r="J2083" s="185"/>
      <c r="K2083" s="185"/>
      <c r="L2083"/>
      <c r="M2083"/>
      <c r="N2083"/>
      <c r="O2083"/>
      <c r="P2083"/>
      <c r="Q2083"/>
    </row>
    <row r="2084" spans="9:17" s="1" customFormat="1">
      <c r="I2084" s="185"/>
      <c r="J2084" s="185"/>
      <c r="K2084" s="185"/>
      <c r="L2084"/>
      <c r="M2084"/>
      <c r="N2084"/>
      <c r="O2084"/>
      <c r="P2084"/>
      <c r="Q2084"/>
    </row>
    <row r="2085" spans="9:17" s="1" customFormat="1">
      <c r="I2085" s="185"/>
      <c r="J2085" s="185"/>
      <c r="K2085" s="185"/>
      <c r="L2085"/>
      <c r="M2085"/>
      <c r="N2085"/>
      <c r="O2085"/>
      <c r="P2085"/>
      <c r="Q2085"/>
    </row>
    <row r="2086" spans="9:17" s="1" customFormat="1">
      <c r="I2086" s="185"/>
      <c r="J2086" s="185"/>
      <c r="K2086" s="185"/>
      <c r="L2086"/>
      <c r="M2086"/>
      <c r="N2086"/>
      <c r="O2086"/>
      <c r="P2086"/>
      <c r="Q2086"/>
    </row>
    <row r="2087" spans="9:17" s="1" customFormat="1">
      <c r="I2087" s="185"/>
      <c r="J2087" s="185"/>
      <c r="K2087" s="185"/>
      <c r="L2087"/>
      <c r="M2087"/>
      <c r="N2087"/>
      <c r="O2087"/>
      <c r="P2087"/>
      <c r="Q2087"/>
    </row>
    <row r="2088" spans="9:17" s="1" customFormat="1">
      <c r="I2088" s="185"/>
      <c r="J2088" s="185"/>
      <c r="K2088" s="185"/>
      <c r="L2088"/>
      <c r="M2088"/>
      <c r="N2088"/>
      <c r="O2088"/>
      <c r="P2088"/>
      <c r="Q2088"/>
    </row>
    <row r="2089" spans="9:17" s="1" customFormat="1">
      <c r="I2089" s="185"/>
      <c r="J2089" s="185"/>
      <c r="K2089" s="185"/>
      <c r="L2089"/>
      <c r="M2089"/>
      <c r="N2089"/>
      <c r="O2089"/>
      <c r="P2089"/>
      <c r="Q2089"/>
    </row>
    <row r="2090" spans="9:17" s="1" customFormat="1">
      <c r="I2090" s="185"/>
      <c r="J2090" s="185"/>
      <c r="K2090" s="185"/>
      <c r="L2090"/>
      <c r="M2090"/>
      <c r="N2090"/>
      <c r="O2090"/>
      <c r="P2090"/>
      <c r="Q2090"/>
    </row>
    <row r="2091" spans="9:17" s="1" customFormat="1">
      <c r="I2091" s="185"/>
      <c r="J2091" s="185"/>
      <c r="K2091" s="185"/>
      <c r="L2091"/>
      <c r="M2091"/>
      <c r="N2091"/>
      <c r="O2091"/>
      <c r="P2091"/>
      <c r="Q2091"/>
    </row>
    <row r="2092" spans="9:17" s="1" customFormat="1">
      <c r="I2092" s="185"/>
      <c r="J2092" s="185"/>
      <c r="K2092" s="185"/>
      <c r="L2092"/>
      <c r="M2092"/>
      <c r="N2092"/>
      <c r="O2092"/>
      <c r="P2092"/>
      <c r="Q2092"/>
    </row>
    <row r="2093" spans="9:17" s="1" customFormat="1">
      <c r="I2093" s="185"/>
      <c r="J2093" s="185"/>
      <c r="K2093" s="185"/>
      <c r="L2093"/>
      <c r="M2093"/>
      <c r="N2093"/>
      <c r="O2093"/>
      <c r="P2093"/>
      <c r="Q2093"/>
    </row>
    <row r="2094" spans="9:17" s="1" customFormat="1">
      <c r="I2094" s="185"/>
      <c r="J2094" s="185"/>
      <c r="K2094" s="185"/>
      <c r="L2094"/>
      <c r="M2094"/>
      <c r="N2094"/>
      <c r="O2094"/>
      <c r="P2094"/>
      <c r="Q2094"/>
    </row>
    <row r="2095" spans="9:17" s="1" customFormat="1">
      <c r="I2095" s="185"/>
      <c r="J2095" s="185"/>
      <c r="K2095" s="185"/>
      <c r="L2095"/>
      <c r="M2095"/>
      <c r="N2095"/>
      <c r="O2095"/>
      <c r="P2095"/>
      <c r="Q2095"/>
    </row>
    <row r="2096" spans="9:17" s="1" customFormat="1">
      <c r="I2096" s="185"/>
      <c r="J2096" s="185"/>
      <c r="K2096" s="185"/>
      <c r="L2096"/>
      <c r="M2096"/>
      <c r="N2096"/>
      <c r="O2096"/>
      <c r="P2096"/>
      <c r="Q2096"/>
    </row>
    <row r="2097" spans="9:17" s="1" customFormat="1">
      <c r="I2097" s="185"/>
      <c r="J2097" s="185"/>
      <c r="K2097" s="185"/>
      <c r="L2097"/>
      <c r="M2097"/>
      <c r="N2097"/>
      <c r="O2097"/>
      <c r="P2097"/>
      <c r="Q2097"/>
    </row>
    <row r="2098" spans="9:17" s="1" customFormat="1">
      <c r="I2098" s="185"/>
      <c r="J2098" s="185"/>
      <c r="K2098" s="185"/>
      <c r="L2098"/>
      <c r="M2098"/>
      <c r="N2098"/>
      <c r="O2098"/>
      <c r="P2098"/>
      <c r="Q2098"/>
    </row>
    <row r="2099" spans="9:17" s="1" customFormat="1">
      <c r="I2099" s="185"/>
      <c r="J2099" s="185"/>
      <c r="K2099" s="185"/>
      <c r="L2099"/>
      <c r="M2099"/>
      <c r="N2099"/>
      <c r="O2099"/>
      <c r="P2099"/>
      <c r="Q2099"/>
    </row>
    <row r="2100" spans="9:17" s="1" customFormat="1">
      <c r="I2100" s="185"/>
      <c r="J2100" s="185"/>
      <c r="K2100" s="185"/>
      <c r="L2100"/>
      <c r="M2100"/>
      <c r="N2100"/>
      <c r="O2100"/>
      <c r="P2100"/>
      <c r="Q2100"/>
    </row>
    <row r="2101" spans="9:17" s="1" customFormat="1">
      <c r="I2101" s="185"/>
      <c r="J2101" s="185"/>
      <c r="K2101" s="185"/>
      <c r="L2101"/>
      <c r="M2101"/>
      <c r="N2101"/>
      <c r="O2101"/>
      <c r="P2101"/>
      <c r="Q2101"/>
    </row>
    <row r="2102" spans="9:17" s="1" customFormat="1">
      <c r="I2102" s="185"/>
      <c r="J2102" s="185"/>
      <c r="K2102" s="185"/>
      <c r="L2102"/>
      <c r="M2102"/>
      <c r="N2102"/>
      <c r="O2102"/>
      <c r="P2102"/>
      <c r="Q2102"/>
    </row>
    <row r="2103" spans="9:17" s="1" customFormat="1">
      <c r="I2103" s="185"/>
      <c r="J2103" s="185"/>
      <c r="K2103" s="185"/>
      <c r="L2103"/>
      <c r="M2103"/>
      <c r="N2103"/>
      <c r="O2103"/>
      <c r="P2103"/>
      <c r="Q2103"/>
    </row>
    <row r="2104" spans="9:17" s="1" customFormat="1">
      <c r="I2104" s="185"/>
      <c r="J2104" s="185"/>
      <c r="K2104" s="185"/>
      <c r="L2104"/>
      <c r="M2104"/>
      <c r="N2104"/>
      <c r="O2104"/>
      <c r="P2104"/>
      <c r="Q2104"/>
    </row>
    <row r="2105" spans="9:17" s="1" customFormat="1">
      <c r="I2105" s="185"/>
      <c r="J2105" s="185"/>
      <c r="K2105" s="185"/>
      <c r="L2105"/>
      <c r="M2105"/>
      <c r="N2105"/>
      <c r="O2105"/>
      <c r="P2105"/>
      <c r="Q2105"/>
    </row>
    <row r="2106" spans="9:17" s="1" customFormat="1">
      <c r="I2106" s="185"/>
      <c r="J2106" s="185"/>
      <c r="K2106" s="185"/>
      <c r="L2106"/>
      <c r="M2106"/>
      <c r="N2106"/>
      <c r="O2106"/>
      <c r="P2106"/>
      <c r="Q2106"/>
    </row>
    <row r="2107" spans="9:17" s="1" customFormat="1">
      <c r="I2107" s="185"/>
      <c r="J2107" s="185"/>
      <c r="K2107" s="185"/>
      <c r="L2107"/>
      <c r="M2107"/>
      <c r="N2107"/>
      <c r="O2107"/>
      <c r="P2107"/>
      <c r="Q2107"/>
    </row>
    <row r="2108" spans="9:17" s="1" customFormat="1">
      <c r="I2108" s="185"/>
      <c r="J2108" s="185"/>
      <c r="K2108" s="185"/>
      <c r="L2108"/>
      <c r="M2108"/>
      <c r="N2108"/>
      <c r="O2108"/>
      <c r="P2108"/>
      <c r="Q2108"/>
    </row>
    <row r="2109" spans="9:17" s="1" customFormat="1">
      <c r="I2109" s="185"/>
      <c r="J2109" s="185"/>
      <c r="K2109" s="185"/>
      <c r="L2109"/>
      <c r="M2109"/>
      <c r="N2109"/>
      <c r="O2109"/>
      <c r="P2109"/>
      <c r="Q2109"/>
    </row>
    <row r="2110" spans="9:17" s="1" customFormat="1">
      <c r="I2110" s="185"/>
      <c r="J2110" s="185"/>
      <c r="K2110" s="185"/>
      <c r="L2110"/>
      <c r="M2110"/>
      <c r="N2110"/>
      <c r="O2110"/>
      <c r="P2110"/>
      <c r="Q2110"/>
    </row>
    <row r="2111" spans="9:17" s="1" customFormat="1">
      <c r="I2111" s="185"/>
      <c r="J2111" s="185"/>
      <c r="K2111" s="185"/>
      <c r="L2111"/>
      <c r="M2111"/>
      <c r="N2111"/>
      <c r="O2111"/>
      <c r="P2111"/>
      <c r="Q2111"/>
    </row>
    <row r="2112" spans="9:17" s="1" customFormat="1">
      <c r="I2112" s="185"/>
      <c r="J2112" s="185"/>
      <c r="K2112" s="185"/>
      <c r="L2112"/>
      <c r="M2112"/>
      <c r="N2112"/>
      <c r="O2112"/>
      <c r="P2112"/>
      <c r="Q2112"/>
    </row>
    <row r="2113" spans="9:17" s="1" customFormat="1">
      <c r="I2113" s="185"/>
      <c r="J2113" s="185"/>
      <c r="K2113" s="185"/>
      <c r="L2113"/>
      <c r="M2113"/>
      <c r="N2113"/>
      <c r="O2113"/>
      <c r="P2113"/>
      <c r="Q2113"/>
    </row>
    <row r="2114" spans="9:17" s="1" customFormat="1">
      <c r="I2114" s="185"/>
      <c r="J2114" s="185"/>
      <c r="K2114" s="185"/>
      <c r="L2114"/>
      <c r="M2114"/>
      <c r="N2114"/>
      <c r="O2114"/>
      <c r="P2114"/>
      <c r="Q2114"/>
    </row>
    <row r="2115" spans="9:17" s="1" customFormat="1">
      <c r="I2115" s="185"/>
      <c r="J2115" s="185"/>
      <c r="K2115" s="185"/>
      <c r="L2115"/>
      <c r="M2115"/>
      <c r="N2115"/>
      <c r="O2115"/>
      <c r="P2115"/>
      <c r="Q2115"/>
    </row>
    <row r="2116" spans="9:17" s="1" customFormat="1">
      <c r="I2116" s="185"/>
      <c r="J2116" s="185"/>
      <c r="K2116" s="185"/>
      <c r="L2116"/>
      <c r="M2116"/>
      <c r="N2116"/>
      <c r="O2116"/>
      <c r="P2116"/>
      <c r="Q2116"/>
    </row>
    <row r="2117" spans="9:17" s="1" customFormat="1">
      <c r="I2117" s="185"/>
      <c r="J2117" s="185"/>
      <c r="K2117" s="185"/>
      <c r="L2117"/>
      <c r="M2117"/>
      <c r="N2117"/>
      <c r="O2117"/>
      <c r="P2117"/>
      <c r="Q2117"/>
    </row>
    <row r="2118" spans="9:17" s="1" customFormat="1">
      <c r="I2118" s="185"/>
      <c r="J2118" s="185"/>
      <c r="K2118" s="185"/>
      <c r="L2118"/>
      <c r="M2118"/>
      <c r="N2118"/>
      <c r="O2118"/>
      <c r="P2118"/>
      <c r="Q2118"/>
    </row>
    <row r="2119" spans="9:17" s="1" customFormat="1">
      <c r="I2119" s="185"/>
      <c r="J2119" s="185"/>
      <c r="K2119" s="185"/>
      <c r="L2119"/>
      <c r="M2119"/>
      <c r="N2119"/>
      <c r="O2119"/>
      <c r="P2119"/>
      <c r="Q2119"/>
    </row>
    <row r="2120" spans="9:17" s="1" customFormat="1">
      <c r="I2120" s="185"/>
      <c r="J2120" s="185"/>
      <c r="K2120" s="185"/>
      <c r="L2120"/>
      <c r="M2120"/>
      <c r="N2120"/>
      <c r="O2120"/>
      <c r="P2120"/>
      <c r="Q2120"/>
    </row>
    <row r="2121" spans="9:17" s="1" customFormat="1">
      <c r="I2121" s="185"/>
      <c r="J2121" s="185"/>
      <c r="K2121" s="185"/>
      <c r="L2121"/>
      <c r="M2121"/>
      <c r="N2121"/>
      <c r="O2121"/>
      <c r="P2121"/>
      <c r="Q2121"/>
    </row>
    <row r="2122" spans="9:17" s="1" customFormat="1">
      <c r="I2122" s="185"/>
      <c r="J2122" s="185"/>
      <c r="K2122" s="185"/>
      <c r="L2122"/>
      <c r="M2122"/>
      <c r="N2122"/>
      <c r="O2122"/>
      <c r="P2122"/>
      <c r="Q2122"/>
    </row>
    <row r="2123" spans="9:17" s="1" customFormat="1">
      <c r="I2123" s="185"/>
      <c r="J2123" s="185"/>
      <c r="K2123" s="185"/>
      <c r="L2123"/>
      <c r="M2123"/>
      <c r="N2123"/>
      <c r="O2123"/>
      <c r="P2123"/>
      <c r="Q2123"/>
    </row>
    <row r="2124" spans="9:17" s="1" customFormat="1">
      <c r="I2124" s="185"/>
      <c r="J2124" s="185"/>
      <c r="K2124" s="185"/>
      <c r="L2124"/>
      <c r="M2124"/>
      <c r="N2124"/>
      <c r="O2124"/>
      <c r="P2124"/>
      <c r="Q2124"/>
    </row>
    <row r="2125" spans="9:17" s="1" customFormat="1">
      <c r="I2125" s="185"/>
      <c r="J2125" s="185"/>
      <c r="K2125" s="185"/>
      <c r="L2125"/>
      <c r="M2125"/>
      <c r="N2125"/>
      <c r="O2125"/>
      <c r="P2125"/>
      <c r="Q2125"/>
    </row>
    <row r="2126" spans="9:17" s="1" customFormat="1">
      <c r="I2126" s="185"/>
      <c r="J2126" s="185"/>
      <c r="K2126" s="185"/>
      <c r="L2126"/>
      <c r="M2126"/>
      <c r="N2126"/>
      <c r="O2126"/>
      <c r="P2126"/>
      <c r="Q2126"/>
    </row>
    <row r="2127" spans="9:17" s="1" customFormat="1">
      <c r="I2127" s="185"/>
      <c r="J2127" s="185"/>
      <c r="K2127" s="185"/>
      <c r="L2127"/>
      <c r="M2127"/>
      <c r="N2127"/>
      <c r="O2127"/>
      <c r="P2127"/>
      <c r="Q2127"/>
    </row>
    <row r="2128" spans="9:17" s="1" customFormat="1">
      <c r="I2128" s="185"/>
      <c r="J2128" s="185"/>
      <c r="K2128" s="185"/>
      <c r="L2128"/>
      <c r="M2128"/>
      <c r="N2128"/>
      <c r="O2128"/>
      <c r="P2128"/>
      <c r="Q2128"/>
    </row>
    <row r="2129" spans="9:17" s="1" customFormat="1">
      <c r="I2129" s="185"/>
      <c r="J2129" s="185"/>
      <c r="K2129" s="185"/>
      <c r="L2129"/>
      <c r="M2129"/>
      <c r="N2129"/>
      <c r="O2129"/>
      <c r="P2129"/>
      <c r="Q2129"/>
    </row>
    <row r="2130" spans="9:17" s="1" customFormat="1">
      <c r="I2130" s="185"/>
      <c r="J2130" s="185"/>
      <c r="K2130" s="185"/>
      <c r="L2130"/>
      <c r="M2130"/>
      <c r="N2130"/>
      <c r="O2130"/>
      <c r="P2130"/>
      <c r="Q2130"/>
    </row>
    <row r="2131" spans="9:17" s="1" customFormat="1">
      <c r="I2131" s="185"/>
      <c r="J2131" s="185"/>
      <c r="K2131" s="185"/>
      <c r="L2131"/>
      <c r="M2131"/>
      <c r="N2131"/>
      <c r="O2131"/>
      <c r="P2131"/>
      <c r="Q2131"/>
    </row>
    <row r="2132" spans="9:17" s="1" customFormat="1">
      <c r="I2132" s="185"/>
      <c r="J2132" s="185"/>
      <c r="K2132" s="185"/>
      <c r="L2132"/>
      <c r="M2132"/>
      <c r="N2132"/>
      <c r="O2132"/>
      <c r="P2132"/>
      <c r="Q2132"/>
    </row>
    <row r="2133" spans="9:17" s="1" customFormat="1">
      <c r="I2133" s="185"/>
      <c r="J2133" s="185"/>
      <c r="K2133" s="185"/>
      <c r="L2133"/>
      <c r="M2133"/>
      <c r="N2133"/>
      <c r="O2133"/>
      <c r="P2133"/>
      <c r="Q2133"/>
    </row>
    <row r="2134" spans="9:17" s="1" customFormat="1">
      <c r="I2134" s="185"/>
      <c r="J2134" s="185"/>
      <c r="K2134" s="185"/>
      <c r="L2134"/>
      <c r="M2134"/>
      <c r="N2134"/>
      <c r="O2134"/>
      <c r="P2134"/>
      <c r="Q2134"/>
    </row>
    <row r="2135" spans="9:17" s="1" customFormat="1">
      <c r="I2135" s="185"/>
      <c r="J2135" s="185"/>
      <c r="K2135" s="185"/>
      <c r="L2135"/>
      <c r="M2135"/>
      <c r="N2135"/>
      <c r="O2135"/>
      <c r="P2135"/>
      <c r="Q2135"/>
    </row>
    <row r="2136" spans="9:17" s="1" customFormat="1">
      <c r="I2136" s="185"/>
      <c r="J2136" s="185"/>
      <c r="K2136" s="185"/>
      <c r="L2136"/>
      <c r="M2136"/>
      <c r="N2136"/>
      <c r="O2136"/>
      <c r="P2136"/>
      <c r="Q2136"/>
    </row>
    <row r="2137" spans="9:17" s="1" customFormat="1">
      <c r="I2137" s="185"/>
      <c r="J2137" s="185"/>
      <c r="K2137" s="185"/>
      <c r="L2137"/>
      <c r="M2137"/>
      <c r="N2137"/>
      <c r="O2137"/>
      <c r="P2137"/>
      <c r="Q2137"/>
    </row>
    <row r="2138" spans="9:17" s="1" customFormat="1">
      <c r="I2138" s="185"/>
      <c r="J2138" s="185"/>
      <c r="K2138" s="185"/>
      <c r="L2138"/>
      <c r="M2138"/>
      <c r="N2138"/>
      <c r="O2138"/>
      <c r="P2138"/>
      <c r="Q2138"/>
    </row>
    <row r="2139" spans="9:17" s="1" customFormat="1">
      <c r="I2139" s="185"/>
      <c r="J2139" s="185"/>
      <c r="K2139" s="185"/>
      <c r="L2139"/>
      <c r="M2139"/>
      <c r="N2139"/>
      <c r="O2139"/>
      <c r="P2139"/>
      <c r="Q2139"/>
    </row>
    <row r="2140" spans="9:17" s="1" customFormat="1">
      <c r="I2140" s="185"/>
      <c r="J2140" s="185"/>
      <c r="K2140" s="185"/>
      <c r="L2140"/>
      <c r="M2140"/>
      <c r="N2140"/>
      <c r="O2140"/>
      <c r="P2140"/>
      <c r="Q2140"/>
    </row>
    <row r="2141" spans="9:17" s="1" customFormat="1">
      <c r="I2141" s="185"/>
      <c r="J2141" s="185"/>
      <c r="K2141" s="185"/>
      <c r="L2141"/>
      <c r="M2141"/>
      <c r="N2141"/>
      <c r="O2141"/>
      <c r="P2141"/>
      <c r="Q2141"/>
    </row>
    <row r="2142" spans="9:17" s="1" customFormat="1">
      <c r="I2142" s="185"/>
      <c r="J2142" s="185"/>
      <c r="K2142" s="185"/>
      <c r="L2142"/>
      <c r="M2142"/>
      <c r="N2142"/>
      <c r="O2142"/>
      <c r="P2142"/>
      <c r="Q2142"/>
    </row>
    <row r="2143" spans="9:17" s="1" customFormat="1">
      <c r="I2143" s="185"/>
      <c r="J2143" s="185"/>
      <c r="K2143" s="185"/>
      <c r="L2143"/>
      <c r="M2143"/>
      <c r="N2143"/>
      <c r="O2143"/>
      <c r="P2143"/>
      <c r="Q2143"/>
    </row>
    <row r="2144" spans="9:17" s="1" customFormat="1">
      <c r="I2144" s="185"/>
      <c r="J2144" s="185"/>
      <c r="K2144" s="185"/>
      <c r="L2144"/>
      <c r="M2144"/>
      <c r="N2144"/>
      <c r="O2144"/>
      <c r="P2144"/>
      <c r="Q2144"/>
    </row>
    <row r="2145" spans="9:17" s="1" customFormat="1">
      <c r="I2145" s="185"/>
      <c r="J2145" s="185"/>
      <c r="K2145" s="185"/>
      <c r="L2145"/>
      <c r="M2145"/>
      <c r="N2145"/>
      <c r="O2145"/>
      <c r="P2145"/>
      <c r="Q2145"/>
    </row>
    <row r="2146" spans="9:17" s="1" customFormat="1">
      <c r="I2146" s="185"/>
      <c r="J2146" s="185"/>
      <c r="K2146" s="185"/>
      <c r="L2146"/>
      <c r="M2146"/>
      <c r="N2146"/>
      <c r="O2146"/>
      <c r="P2146"/>
      <c r="Q2146"/>
    </row>
    <row r="2147" spans="9:17" s="1" customFormat="1">
      <c r="I2147" s="185"/>
      <c r="J2147" s="185"/>
      <c r="K2147" s="185"/>
      <c r="L2147"/>
      <c r="M2147"/>
      <c r="N2147"/>
      <c r="O2147"/>
      <c r="P2147"/>
      <c r="Q2147"/>
    </row>
    <row r="2148" spans="9:17" s="1" customFormat="1">
      <c r="I2148" s="185"/>
      <c r="J2148" s="185"/>
      <c r="K2148" s="185"/>
      <c r="L2148"/>
      <c r="M2148"/>
      <c r="N2148"/>
      <c r="O2148"/>
      <c r="P2148"/>
      <c r="Q2148"/>
    </row>
    <row r="2149" spans="9:17" s="1" customFormat="1">
      <c r="I2149" s="185"/>
      <c r="J2149" s="185"/>
      <c r="K2149" s="185"/>
      <c r="L2149"/>
      <c r="M2149"/>
      <c r="N2149"/>
      <c r="O2149"/>
      <c r="P2149"/>
      <c r="Q2149"/>
    </row>
    <row r="2150" spans="9:17" s="1" customFormat="1">
      <c r="I2150" s="185"/>
      <c r="J2150" s="185"/>
      <c r="K2150" s="185"/>
      <c r="L2150"/>
      <c r="M2150"/>
      <c r="N2150"/>
      <c r="O2150"/>
      <c r="P2150"/>
      <c r="Q2150"/>
    </row>
    <row r="2151" spans="9:17" s="1" customFormat="1">
      <c r="I2151" s="185"/>
      <c r="J2151" s="185"/>
      <c r="K2151" s="185"/>
      <c r="L2151"/>
      <c r="M2151"/>
      <c r="N2151"/>
      <c r="O2151"/>
      <c r="P2151"/>
      <c r="Q2151"/>
    </row>
    <row r="2152" spans="9:17" s="1" customFormat="1">
      <c r="I2152" s="185"/>
      <c r="J2152" s="185"/>
      <c r="K2152" s="185"/>
      <c r="L2152"/>
      <c r="M2152"/>
      <c r="N2152"/>
      <c r="O2152"/>
      <c r="P2152"/>
      <c r="Q2152"/>
    </row>
    <row r="2153" spans="9:17" s="1" customFormat="1">
      <c r="I2153" s="185"/>
      <c r="J2153" s="185"/>
      <c r="K2153" s="185"/>
      <c r="L2153"/>
      <c r="M2153"/>
      <c r="N2153"/>
      <c r="O2153"/>
      <c r="P2153"/>
      <c r="Q2153"/>
    </row>
    <row r="2154" spans="9:17" s="1" customFormat="1">
      <c r="I2154" s="185"/>
      <c r="J2154" s="185"/>
      <c r="K2154" s="185"/>
      <c r="L2154"/>
      <c r="M2154"/>
      <c r="N2154"/>
      <c r="O2154"/>
      <c r="P2154"/>
      <c r="Q2154"/>
    </row>
    <row r="2155" spans="9:17" s="1" customFormat="1">
      <c r="I2155" s="185"/>
      <c r="J2155" s="185"/>
      <c r="K2155" s="185"/>
      <c r="L2155"/>
      <c r="M2155"/>
      <c r="N2155"/>
      <c r="O2155"/>
      <c r="P2155"/>
      <c r="Q2155"/>
    </row>
    <row r="2156" spans="9:17" s="1" customFormat="1">
      <c r="I2156" s="185"/>
      <c r="J2156" s="185"/>
      <c r="K2156" s="185"/>
      <c r="L2156"/>
      <c r="M2156"/>
      <c r="N2156"/>
      <c r="O2156"/>
      <c r="P2156"/>
      <c r="Q2156"/>
    </row>
    <row r="2157" spans="9:17" s="1" customFormat="1">
      <c r="I2157" s="185"/>
      <c r="J2157" s="185"/>
      <c r="K2157" s="185"/>
      <c r="L2157"/>
      <c r="M2157"/>
      <c r="N2157"/>
      <c r="O2157"/>
      <c r="P2157"/>
      <c r="Q2157"/>
    </row>
    <row r="2158" spans="9:17" s="1" customFormat="1">
      <c r="I2158" s="185"/>
      <c r="J2158" s="185"/>
      <c r="K2158" s="185"/>
      <c r="L2158"/>
      <c r="M2158"/>
      <c r="N2158"/>
      <c r="O2158"/>
      <c r="P2158"/>
      <c r="Q2158"/>
    </row>
    <row r="2159" spans="9:17" s="1" customFormat="1">
      <c r="I2159" s="185"/>
      <c r="J2159" s="185"/>
      <c r="K2159" s="185"/>
      <c r="L2159"/>
      <c r="M2159"/>
      <c r="N2159"/>
      <c r="O2159"/>
      <c r="P2159"/>
      <c r="Q2159"/>
    </row>
    <row r="2160" spans="9:17" s="1" customFormat="1">
      <c r="I2160" s="185"/>
      <c r="J2160" s="185"/>
      <c r="K2160" s="185"/>
      <c r="L2160"/>
      <c r="M2160"/>
      <c r="N2160"/>
      <c r="O2160"/>
      <c r="P2160"/>
      <c r="Q2160"/>
    </row>
    <row r="2161" spans="9:17" s="1" customFormat="1">
      <c r="I2161" s="185"/>
      <c r="J2161" s="185"/>
      <c r="K2161" s="185"/>
      <c r="L2161"/>
      <c r="M2161"/>
      <c r="N2161"/>
      <c r="O2161"/>
      <c r="P2161"/>
      <c r="Q2161"/>
    </row>
    <row r="2162" spans="9:17" s="1" customFormat="1">
      <c r="I2162" s="185"/>
      <c r="J2162" s="185"/>
      <c r="K2162" s="185"/>
      <c r="L2162"/>
      <c r="M2162"/>
      <c r="N2162"/>
      <c r="O2162"/>
      <c r="P2162"/>
      <c r="Q2162"/>
    </row>
    <row r="2163" spans="9:17" s="1" customFormat="1">
      <c r="I2163" s="185"/>
      <c r="J2163" s="185"/>
      <c r="K2163" s="185"/>
      <c r="L2163"/>
      <c r="M2163"/>
      <c r="N2163"/>
      <c r="O2163"/>
      <c r="P2163"/>
      <c r="Q2163"/>
    </row>
    <row r="2164" spans="9:17" s="1" customFormat="1">
      <c r="I2164" s="185"/>
      <c r="J2164" s="185"/>
      <c r="K2164" s="185"/>
      <c r="L2164"/>
      <c r="M2164"/>
      <c r="N2164"/>
      <c r="O2164"/>
      <c r="P2164"/>
      <c r="Q2164"/>
    </row>
    <row r="2165" spans="9:17" s="1" customFormat="1">
      <c r="I2165" s="185"/>
      <c r="J2165" s="185"/>
      <c r="K2165" s="185"/>
      <c r="L2165"/>
      <c r="M2165"/>
      <c r="N2165"/>
      <c r="O2165"/>
      <c r="P2165"/>
      <c r="Q2165"/>
    </row>
    <row r="2166" spans="9:17" s="1" customFormat="1">
      <c r="I2166" s="185"/>
      <c r="J2166" s="185"/>
      <c r="K2166" s="185"/>
      <c r="L2166"/>
      <c r="M2166"/>
      <c r="N2166"/>
      <c r="O2166"/>
      <c r="P2166"/>
      <c r="Q2166"/>
    </row>
    <row r="2167" spans="9:17" s="1" customFormat="1">
      <c r="I2167" s="185"/>
      <c r="J2167" s="185"/>
      <c r="K2167" s="185"/>
      <c r="L2167"/>
      <c r="M2167"/>
      <c r="N2167"/>
      <c r="O2167"/>
      <c r="P2167"/>
      <c r="Q2167"/>
    </row>
    <row r="2168" spans="9:17" s="1" customFormat="1">
      <c r="I2168" s="185"/>
      <c r="J2168" s="185"/>
      <c r="K2168" s="185"/>
      <c r="L2168"/>
      <c r="M2168"/>
      <c r="N2168"/>
      <c r="O2168"/>
      <c r="P2168"/>
      <c r="Q2168"/>
    </row>
    <row r="2169" spans="9:17" s="1" customFormat="1">
      <c r="I2169" s="185"/>
      <c r="J2169" s="185"/>
      <c r="K2169" s="185"/>
      <c r="L2169"/>
      <c r="M2169"/>
      <c r="N2169"/>
      <c r="O2169"/>
      <c r="P2169"/>
      <c r="Q2169"/>
    </row>
    <row r="2170" spans="9:17" s="1" customFormat="1">
      <c r="I2170" s="185"/>
      <c r="J2170" s="185"/>
      <c r="K2170" s="185"/>
      <c r="L2170"/>
      <c r="M2170"/>
      <c r="N2170"/>
      <c r="O2170"/>
      <c r="P2170"/>
      <c r="Q2170"/>
    </row>
    <row r="2171" spans="9:17" s="1" customFormat="1">
      <c r="I2171" s="185"/>
      <c r="J2171" s="185"/>
      <c r="K2171" s="185"/>
      <c r="L2171"/>
      <c r="M2171"/>
      <c r="N2171"/>
      <c r="O2171"/>
      <c r="P2171"/>
      <c r="Q2171"/>
    </row>
    <row r="2172" spans="9:17" s="1" customFormat="1">
      <c r="I2172" s="185"/>
      <c r="J2172" s="185"/>
      <c r="K2172" s="185"/>
      <c r="L2172"/>
      <c r="M2172"/>
      <c r="N2172"/>
      <c r="O2172"/>
      <c r="P2172"/>
      <c r="Q2172"/>
    </row>
    <row r="2173" spans="9:17" s="1" customFormat="1">
      <c r="I2173" s="185"/>
      <c r="J2173" s="185"/>
      <c r="K2173" s="185"/>
      <c r="L2173"/>
      <c r="M2173"/>
      <c r="N2173"/>
      <c r="O2173"/>
      <c r="P2173"/>
      <c r="Q2173"/>
    </row>
    <row r="2174" spans="9:17" s="1" customFormat="1">
      <c r="I2174" s="185"/>
      <c r="J2174" s="185"/>
      <c r="K2174" s="185"/>
      <c r="L2174"/>
      <c r="M2174"/>
      <c r="N2174"/>
      <c r="O2174"/>
      <c r="P2174"/>
      <c r="Q2174"/>
    </row>
    <row r="2175" spans="9:17" s="1" customFormat="1">
      <c r="I2175" s="185"/>
      <c r="J2175" s="185"/>
      <c r="K2175" s="185"/>
      <c r="L2175"/>
      <c r="M2175"/>
      <c r="N2175"/>
      <c r="O2175"/>
      <c r="P2175"/>
      <c r="Q2175"/>
    </row>
    <row r="2176" spans="9:17" s="1" customFormat="1">
      <c r="I2176" s="185"/>
      <c r="J2176" s="185"/>
      <c r="K2176" s="185"/>
      <c r="L2176"/>
      <c r="M2176"/>
      <c r="N2176"/>
      <c r="O2176"/>
      <c r="P2176"/>
      <c r="Q2176"/>
    </row>
    <row r="2177" spans="9:17" s="1" customFormat="1">
      <c r="I2177" s="185"/>
      <c r="J2177" s="185"/>
      <c r="K2177" s="185"/>
      <c r="L2177"/>
      <c r="M2177"/>
      <c r="N2177"/>
      <c r="O2177"/>
      <c r="P2177"/>
      <c r="Q2177"/>
    </row>
    <row r="2178" spans="9:17" s="1" customFormat="1">
      <c r="I2178" s="185"/>
      <c r="J2178" s="185"/>
      <c r="K2178" s="185"/>
      <c r="L2178"/>
      <c r="M2178"/>
      <c r="N2178"/>
      <c r="O2178"/>
      <c r="P2178"/>
      <c r="Q2178"/>
    </row>
    <row r="2179" spans="9:17" s="1" customFormat="1">
      <c r="I2179" s="185"/>
      <c r="J2179" s="185"/>
      <c r="K2179" s="185"/>
      <c r="L2179"/>
      <c r="M2179"/>
      <c r="N2179"/>
      <c r="O2179"/>
      <c r="P2179"/>
      <c r="Q2179"/>
    </row>
    <row r="2180" spans="9:17" s="1" customFormat="1">
      <c r="I2180" s="185"/>
      <c r="J2180" s="185"/>
      <c r="K2180" s="185"/>
      <c r="L2180"/>
      <c r="M2180"/>
      <c r="N2180"/>
      <c r="O2180"/>
      <c r="P2180"/>
      <c r="Q2180"/>
    </row>
    <row r="2181" spans="9:17" s="1" customFormat="1">
      <c r="I2181" s="185"/>
      <c r="J2181" s="185"/>
      <c r="K2181" s="185"/>
      <c r="L2181"/>
      <c r="M2181"/>
      <c r="N2181"/>
      <c r="O2181"/>
      <c r="P2181"/>
      <c r="Q2181"/>
    </row>
    <row r="2182" spans="9:17" s="1" customFormat="1">
      <c r="I2182" s="185"/>
      <c r="J2182" s="185"/>
      <c r="K2182" s="185"/>
      <c r="L2182"/>
      <c r="M2182"/>
      <c r="N2182"/>
      <c r="O2182"/>
      <c r="P2182"/>
      <c r="Q2182"/>
    </row>
    <row r="2183" spans="9:17" s="1" customFormat="1">
      <c r="I2183" s="185"/>
      <c r="J2183" s="185"/>
      <c r="K2183" s="185"/>
      <c r="L2183"/>
      <c r="M2183"/>
      <c r="N2183"/>
      <c r="O2183"/>
      <c r="P2183"/>
      <c r="Q2183"/>
    </row>
    <row r="2184" spans="9:17" s="1" customFormat="1">
      <c r="I2184" s="185"/>
      <c r="J2184" s="185"/>
      <c r="K2184" s="185"/>
      <c r="L2184"/>
      <c r="M2184"/>
      <c r="N2184"/>
      <c r="O2184"/>
      <c r="P2184"/>
      <c r="Q2184"/>
    </row>
    <row r="2185" spans="9:17" s="1" customFormat="1">
      <c r="I2185" s="185"/>
      <c r="J2185" s="185"/>
      <c r="K2185" s="185"/>
      <c r="L2185"/>
      <c r="M2185"/>
      <c r="N2185"/>
      <c r="O2185"/>
      <c r="P2185"/>
      <c r="Q2185"/>
    </row>
    <row r="2186" spans="9:17" s="1" customFormat="1">
      <c r="I2186" s="185"/>
      <c r="J2186" s="185"/>
      <c r="K2186" s="185"/>
      <c r="L2186"/>
      <c r="M2186"/>
      <c r="N2186"/>
      <c r="O2186"/>
      <c r="P2186"/>
      <c r="Q2186"/>
    </row>
    <row r="2187" spans="9:17" s="1" customFormat="1">
      <c r="I2187" s="185"/>
      <c r="J2187" s="185"/>
      <c r="K2187" s="185"/>
      <c r="L2187"/>
      <c r="M2187"/>
      <c r="N2187"/>
      <c r="O2187"/>
      <c r="P2187"/>
      <c r="Q2187"/>
    </row>
    <row r="2188" spans="9:17" s="1" customFormat="1">
      <c r="I2188" s="185"/>
      <c r="J2188" s="185"/>
      <c r="K2188" s="185"/>
      <c r="L2188"/>
      <c r="M2188"/>
      <c r="N2188"/>
      <c r="O2188"/>
      <c r="P2188"/>
      <c r="Q2188"/>
    </row>
    <row r="2189" spans="9:17" s="1" customFormat="1">
      <c r="I2189" s="185"/>
      <c r="J2189" s="185"/>
      <c r="K2189" s="185"/>
      <c r="L2189"/>
      <c r="M2189"/>
      <c r="N2189"/>
      <c r="O2189"/>
      <c r="P2189"/>
      <c r="Q2189"/>
    </row>
    <row r="2190" spans="9:17" s="1" customFormat="1">
      <c r="I2190" s="185"/>
      <c r="J2190" s="185"/>
      <c r="K2190" s="185"/>
      <c r="L2190"/>
      <c r="M2190"/>
      <c r="N2190"/>
      <c r="O2190"/>
      <c r="P2190"/>
      <c r="Q2190"/>
    </row>
    <row r="2191" spans="9:17" s="1" customFormat="1">
      <c r="I2191" s="185"/>
      <c r="J2191" s="185"/>
      <c r="K2191" s="185"/>
      <c r="L2191"/>
      <c r="M2191"/>
      <c r="N2191"/>
      <c r="O2191"/>
      <c r="P2191"/>
      <c r="Q2191"/>
    </row>
    <row r="2192" spans="9:17" s="1" customFormat="1">
      <c r="I2192" s="185"/>
      <c r="J2192" s="185"/>
      <c r="K2192" s="185"/>
      <c r="L2192"/>
      <c r="M2192"/>
      <c r="N2192"/>
      <c r="O2192"/>
      <c r="P2192"/>
      <c r="Q2192"/>
    </row>
    <row r="2193" spans="9:17" s="1" customFormat="1">
      <c r="I2193" s="185"/>
      <c r="J2193" s="185"/>
      <c r="K2193" s="185"/>
      <c r="L2193"/>
      <c r="M2193"/>
      <c r="N2193"/>
      <c r="O2193"/>
      <c r="P2193"/>
      <c r="Q2193"/>
    </row>
    <row r="2194" spans="9:17" s="1" customFormat="1">
      <c r="I2194" s="185"/>
      <c r="J2194" s="185"/>
      <c r="K2194" s="185"/>
      <c r="L2194"/>
      <c r="M2194"/>
      <c r="N2194"/>
      <c r="O2194"/>
      <c r="P2194"/>
      <c r="Q2194"/>
    </row>
    <row r="2195" spans="9:17" s="1" customFormat="1">
      <c r="I2195" s="185"/>
      <c r="J2195" s="185"/>
      <c r="K2195" s="185"/>
      <c r="L2195"/>
      <c r="M2195"/>
      <c r="N2195"/>
      <c r="O2195"/>
      <c r="P2195"/>
      <c r="Q2195"/>
    </row>
    <row r="2196" spans="9:17" s="1" customFormat="1">
      <c r="I2196" s="185"/>
      <c r="J2196" s="185"/>
      <c r="K2196" s="185"/>
      <c r="L2196"/>
      <c r="M2196"/>
      <c r="N2196"/>
      <c r="O2196"/>
      <c r="P2196"/>
      <c r="Q2196"/>
    </row>
    <row r="2197" spans="9:17" s="1" customFormat="1">
      <c r="I2197" s="185"/>
      <c r="J2197" s="185"/>
      <c r="K2197" s="185"/>
      <c r="L2197"/>
      <c r="M2197"/>
      <c r="N2197"/>
      <c r="O2197"/>
      <c r="P2197"/>
      <c r="Q2197"/>
    </row>
    <row r="2198" spans="9:17" s="1" customFormat="1">
      <c r="I2198" s="185"/>
      <c r="J2198" s="185"/>
      <c r="K2198" s="185"/>
      <c r="L2198"/>
      <c r="M2198"/>
      <c r="N2198"/>
      <c r="O2198"/>
      <c r="P2198"/>
      <c r="Q2198"/>
    </row>
    <row r="2199" spans="9:17" s="1" customFormat="1">
      <c r="I2199" s="185"/>
      <c r="J2199" s="185"/>
      <c r="K2199" s="185"/>
      <c r="L2199"/>
      <c r="M2199"/>
      <c r="N2199"/>
      <c r="O2199"/>
      <c r="P2199"/>
      <c r="Q2199"/>
    </row>
    <row r="2200" spans="9:17" s="1" customFormat="1">
      <c r="I2200" s="185"/>
      <c r="J2200" s="185"/>
      <c r="K2200" s="185"/>
      <c r="L2200"/>
      <c r="M2200"/>
      <c r="N2200"/>
      <c r="O2200"/>
      <c r="P2200"/>
      <c r="Q2200"/>
    </row>
    <row r="2201" spans="9:17" s="1" customFormat="1">
      <c r="I2201" s="185"/>
      <c r="J2201" s="185"/>
      <c r="K2201" s="185"/>
      <c r="L2201"/>
      <c r="M2201"/>
      <c r="N2201"/>
      <c r="O2201"/>
      <c r="P2201"/>
      <c r="Q2201"/>
    </row>
    <row r="2202" spans="9:17" s="1" customFormat="1">
      <c r="I2202" s="185"/>
      <c r="J2202" s="185"/>
      <c r="K2202" s="185"/>
      <c r="L2202"/>
      <c r="M2202"/>
      <c r="N2202"/>
      <c r="O2202"/>
      <c r="P2202"/>
      <c r="Q2202"/>
    </row>
    <row r="2203" spans="9:17" s="1" customFormat="1">
      <c r="I2203" s="185"/>
      <c r="J2203" s="185"/>
      <c r="K2203" s="185"/>
      <c r="L2203"/>
      <c r="M2203"/>
      <c r="N2203"/>
      <c r="O2203"/>
      <c r="P2203"/>
      <c r="Q2203"/>
    </row>
    <row r="2204" spans="9:17" s="1" customFormat="1">
      <c r="I2204" s="185"/>
      <c r="J2204" s="185"/>
      <c r="K2204" s="185"/>
      <c r="L2204"/>
      <c r="M2204"/>
      <c r="N2204"/>
      <c r="O2204"/>
      <c r="P2204"/>
      <c r="Q2204"/>
    </row>
    <row r="2205" spans="9:17" s="1" customFormat="1">
      <c r="I2205" s="185"/>
      <c r="J2205" s="185"/>
      <c r="K2205" s="185"/>
      <c r="L2205"/>
      <c r="M2205"/>
      <c r="N2205"/>
      <c r="O2205"/>
      <c r="P2205"/>
      <c r="Q2205"/>
    </row>
    <row r="2206" spans="9:17" s="1" customFormat="1">
      <c r="I2206" s="185"/>
      <c r="J2206" s="185"/>
      <c r="K2206" s="185"/>
      <c r="L2206"/>
      <c r="M2206"/>
      <c r="N2206"/>
      <c r="O2206"/>
      <c r="P2206"/>
      <c r="Q2206"/>
    </row>
    <row r="2207" spans="9:17" s="1" customFormat="1">
      <c r="I2207" s="185"/>
      <c r="J2207" s="185"/>
      <c r="K2207" s="185"/>
      <c r="L2207"/>
      <c r="M2207"/>
      <c r="N2207"/>
      <c r="O2207"/>
      <c r="P2207"/>
      <c r="Q2207"/>
    </row>
    <row r="2208" spans="9:17" s="1" customFormat="1">
      <c r="I2208" s="185"/>
      <c r="J2208" s="185"/>
      <c r="K2208" s="185"/>
      <c r="L2208"/>
      <c r="M2208"/>
      <c r="N2208"/>
      <c r="O2208"/>
      <c r="P2208"/>
      <c r="Q2208"/>
    </row>
    <row r="2209" spans="9:17" s="1" customFormat="1">
      <c r="I2209" s="185"/>
      <c r="J2209" s="185"/>
      <c r="K2209" s="185"/>
      <c r="L2209"/>
      <c r="M2209"/>
      <c r="N2209"/>
      <c r="O2209"/>
      <c r="P2209"/>
      <c r="Q2209"/>
    </row>
    <row r="2210" spans="9:17" s="1" customFormat="1">
      <c r="I2210" s="185"/>
      <c r="J2210" s="185"/>
      <c r="K2210" s="185"/>
      <c r="L2210"/>
      <c r="M2210"/>
      <c r="N2210"/>
      <c r="O2210"/>
      <c r="P2210"/>
      <c r="Q2210"/>
    </row>
    <row r="2211" spans="9:17" s="1" customFormat="1">
      <c r="I2211" s="185"/>
      <c r="J2211" s="185"/>
      <c r="K2211" s="185"/>
      <c r="L2211"/>
      <c r="M2211"/>
      <c r="N2211"/>
      <c r="O2211"/>
      <c r="P2211"/>
      <c r="Q2211"/>
    </row>
    <row r="2212" spans="9:17" s="1" customFormat="1">
      <c r="I2212" s="185"/>
      <c r="J2212" s="185"/>
      <c r="K2212" s="185"/>
      <c r="L2212"/>
      <c r="M2212"/>
      <c r="N2212"/>
      <c r="O2212"/>
      <c r="P2212"/>
      <c r="Q2212"/>
    </row>
    <row r="2213" spans="9:17" s="1" customFormat="1">
      <c r="I2213" s="185"/>
      <c r="J2213" s="185"/>
      <c r="K2213" s="185"/>
      <c r="L2213"/>
      <c r="M2213"/>
      <c r="N2213"/>
      <c r="O2213"/>
      <c r="P2213"/>
      <c r="Q2213"/>
    </row>
    <row r="2214" spans="9:17" s="1" customFormat="1">
      <c r="I2214" s="185"/>
      <c r="J2214" s="185"/>
      <c r="K2214" s="185"/>
      <c r="L2214"/>
      <c r="M2214"/>
      <c r="N2214"/>
      <c r="O2214"/>
      <c r="P2214"/>
      <c r="Q2214"/>
    </row>
    <row r="2215" spans="9:17" s="1" customFormat="1">
      <c r="I2215" s="185"/>
      <c r="J2215" s="185"/>
      <c r="K2215" s="185"/>
      <c r="L2215"/>
      <c r="M2215"/>
      <c r="N2215"/>
      <c r="O2215"/>
      <c r="P2215"/>
      <c r="Q2215"/>
    </row>
    <row r="2216" spans="9:17" s="1" customFormat="1">
      <c r="I2216" s="185"/>
      <c r="J2216" s="185"/>
      <c r="K2216" s="185"/>
      <c r="L2216"/>
      <c r="M2216"/>
      <c r="N2216"/>
      <c r="O2216"/>
      <c r="P2216"/>
      <c r="Q2216"/>
    </row>
    <row r="2217" spans="9:17" s="1" customFormat="1">
      <c r="I2217" s="185"/>
      <c r="J2217" s="185"/>
      <c r="K2217" s="185"/>
      <c r="L2217"/>
      <c r="M2217"/>
      <c r="N2217"/>
      <c r="O2217"/>
      <c r="P2217"/>
      <c r="Q2217"/>
    </row>
    <row r="2218" spans="9:17" s="1" customFormat="1">
      <c r="I2218" s="185"/>
      <c r="J2218" s="185"/>
      <c r="K2218" s="185"/>
      <c r="L2218"/>
      <c r="M2218"/>
      <c r="N2218"/>
      <c r="O2218"/>
      <c r="P2218"/>
      <c r="Q2218"/>
    </row>
    <row r="2219" spans="9:17" s="1" customFormat="1">
      <c r="I2219" s="185"/>
      <c r="J2219" s="185"/>
      <c r="K2219" s="185"/>
      <c r="L2219"/>
      <c r="M2219"/>
      <c r="N2219"/>
      <c r="O2219"/>
      <c r="P2219"/>
      <c r="Q2219"/>
    </row>
    <row r="2220" spans="9:17" s="1" customFormat="1">
      <c r="I2220" s="185"/>
      <c r="J2220" s="185"/>
      <c r="K2220" s="185"/>
      <c r="L2220"/>
      <c r="M2220"/>
      <c r="N2220"/>
      <c r="O2220"/>
      <c r="P2220"/>
      <c r="Q2220"/>
    </row>
    <row r="2221" spans="9:17" s="1" customFormat="1">
      <c r="I2221" s="185"/>
      <c r="J2221" s="185"/>
      <c r="K2221" s="185"/>
      <c r="L2221"/>
      <c r="M2221"/>
      <c r="N2221"/>
      <c r="O2221"/>
      <c r="P2221"/>
      <c r="Q2221"/>
    </row>
    <row r="2222" spans="9:17" s="1" customFormat="1">
      <c r="I2222" s="185"/>
      <c r="J2222" s="185"/>
      <c r="K2222" s="185"/>
      <c r="L2222"/>
      <c r="M2222"/>
      <c r="N2222"/>
      <c r="O2222"/>
      <c r="P2222"/>
      <c r="Q2222"/>
    </row>
    <row r="2223" spans="9:17" s="1" customFormat="1">
      <c r="I2223" s="185"/>
      <c r="J2223" s="185"/>
      <c r="K2223" s="185"/>
      <c r="L2223"/>
      <c r="M2223"/>
      <c r="N2223"/>
      <c r="O2223"/>
      <c r="P2223"/>
      <c r="Q2223"/>
    </row>
    <row r="2224" spans="9:17" s="1" customFormat="1">
      <c r="I2224" s="185"/>
      <c r="J2224" s="185"/>
      <c r="K2224" s="185"/>
      <c r="L2224"/>
      <c r="M2224"/>
      <c r="N2224"/>
      <c r="O2224"/>
      <c r="P2224"/>
      <c r="Q2224"/>
    </row>
    <row r="2225" spans="9:17" s="1" customFormat="1">
      <c r="I2225" s="185"/>
      <c r="J2225" s="185"/>
      <c r="K2225" s="185"/>
      <c r="L2225"/>
      <c r="M2225"/>
      <c r="N2225"/>
      <c r="O2225"/>
      <c r="P2225"/>
      <c r="Q2225"/>
    </row>
    <row r="2226" spans="9:17" s="1" customFormat="1">
      <c r="I2226" s="185"/>
      <c r="J2226" s="185"/>
      <c r="K2226" s="185"/>
      <c r="L2226"/>
      <c r="M2226"/>
      <c r="N2226"/>
      <c r="O2226"/>
      <c r="P2226"/>
      <c r="Q2226"/>
    </row>
    <row r="2227" spans="9:17" s="1" customFormat="1">
      <c r="I2227" s="185"/>
      <c r="J2227" s="185"/>
      <c r="K2227" s="185"/>
      <c r="L2227"/>
      <c r="M2227"/>
      <c r="N2227"/>
      <c r="O2227"/>
      <c r="P2227"/>
      <c r="Q2227"/>
    </row>
    <row r="2228" spans="9:17" s="1" customFormat="1">
      <c r="I2228" s="185"/>
      <c r="J2228" s="185"/>
      <c r="K2228" s="185"/>
      <c r="L2228"/>
      <c r="M2228"/>
      <c r="N2228"/>
      <c r="O2228"/>
      <c r="P2228"/>
      <c r="Q2228"/>
    </row>
    <row r="2229" spans="9:17" s="1" customFormat="1">
      <c r="I2229" s="185"/>
      <c r="J2229" s="185"/>
      <c r="K2229" s="185"/>
      <c r="L2229"/>
      <c r="M2229"/>
      <c r="N2229"/>
      <c r="O2229"/>
      <c r="P2229"/>
      <c r="Q2229"/>
    </row>
    <row r="2230" spans="9:17" s="1" customFormat="1">
      <c r="I2230" s="185"/>
      <c r="J2230" s="185"/>
      <c r="K2230" s="185"/>
      <c r="L2230"/>
      <c r="M2230"/>
      <c r="N2230"/>
      <c r="O2230"/>
      <c r="P2230"/>
      <c r="Q2230"/>
    </row>
    <row r="2231" spans="9:17" s="1" customFormat="1">
      <c r="I2231" s="185"/>
      <c r="J2231" s="185"/>
      <c r="K2231" s="185"/>
      <c r="L2231"/>
      <c r="M2231"/>
      <c r="N2231"/>
      <c r="O2231"/>
      <c r="P2231"/>
      <c r="Q2231"/>
    </row>
    <row r="2232" spans="9:17" s="1" customFormat="1">
      <c r="I2232" s="185"/>
      <c r="J2232" s="185"/>
      <c r="K2232" s="185"/>
      <c r="L2232"/>
      <c r="M2232"/>
      <c r="N2232"/>
      <c r="O2232"/>
      <c r="P2232"/>
      <c r="Q2232"/>
    </row>
    <row r="2233" spans="9:17" s="1" customFormat="1">
      <c r="I2233" s="185"/>
      <c r="J2233" s="185"/>
      <c r="K2233" s="185"/>
      <c r="L2233"/>
      <c r="M2233"/>
      <c r="N2233"/>
      <c r="O2233"/>
      <c r="P2233"/>
      <c r="Q2233"/>
    </row>
    <row r="2234" spans="9:17" s="1" customFormat="1">
      <c r="I2234" s="185"/>
      <c r="J2234" s="185"/>
      <c r="K2234" s="185"/>
      <c r="L2234"/>
      <c r="M2234"/>
      <c r="N2234"/>
      <c r="O2234"/>
      <c r="P2234"/>
      <c r="Q2234"/>
    </row>
    <row r="2235" spans="9:17" s="1" customFormat="1">
      <c r="I2235" s="185"/>
      <c r="J2235" s="185"/>
      <c r="K2235" s="185"/>
      <c r="L2235"/>
      <c r="M2235"/>
      <c r="N2235"/>
      <c r="O2235"/>
      <c r="P2235"/>
      <c r="Q2235"/>
    </row>
    <row r="2236" spans="9:17" s="1" customFormat="1">
      <c r="I2236" s="185"/>
      <c r="J2236" s="185"/>
      <c r="K2236" s="185"/>
      <c r="L2236"/>
      <c r="M2236"/>
      <c r="N2236"/>
      <c r="O2236"/>
      <c r="P2236"/>
      <c r="Q2236"/>
    </row>
    <row r="2237" spans="9:17" s="1" customFormat="1">
      <c r="I2237" s="185"/>
      <c r="J2237" s="185"/>
      <c r="K2237" s="185"/>
      <c r="L2237"/>
      <c r="M2237"/>
      <c r="N2237"/>
      <c r="O2237"/>
      <c r="P2237"/>
      <c r="Q2237"/>
    </row>
    <row r="2238" spans="9:17" s="1" customFormat="1">
      <c r="I2238" s="185"/>
      <c r="J2238" s="185"/>
      <c r="K2238" s="185"/>
      <c r="L2238"/>
      <c r="M2238"/>
      <c r="N2238"/>
      <c r="O2238"/>
      <c r="P2238"/>
      <c r="Q2238"/>
    </row>
    <row r="2239" spans="9:17" s="1" customFormat="1">
      <c r="I2239" s="185"/>
      <c r="J2239" s="185"/>
      <c r="K2239" s="185"/>
      <c r="L2239"/>
      <c r="M2239"/>
      <c r="N2239"/>
      <c r="O2239"/>
      <c r="P2239"/>
      <c r="Q2239"/>
    </row>
    <row r="2240" spans="9:17" s="1" customFormat="1">
      <c r="I2240" s="185"/>
      <c r="J2240" s="185"/>
      <c r="K2240" s="185"/>
      <c r="L2240"/>
      <c r="M2240"/>
      <c r="N2240"/>
      <c r="O2240"/>
      <c r="P2240"/>
      <c r="Q2240"/>
    </row>
    <row r="2241" spans="9:17" s="1" customFormat="1">
      <c r="I2241" s="185"/>
      <c r="J2241" s="185"/>
      <c r="K2241" s="185"/>
      <c r="L2241"/>
      <c r="M2241"/>
      <c r="N2241"/>
      <c r="O2241"/>
      <c r="P2241"/>
      <c r="Q2241"/>
    </row>
    <row r="2242" spans="9:17" s="1" customFormat="1">
      <c r="I2242" s="185"/>
      <c r="J2242" s="185"/>
      <c r="K2242" s="185"/>
      <c r="L2242"/>
      <c r="M2242"/>
      <c r="N2242"/>
      <c r="O2242"/>
      <c r="P2242"/>
      <c r="Q2242"/>
    </row>
    <row r="2243" spans="9:17" s="1" customFormat="1">
      <c r="I2243" s="185"/>
      <c r="J2243" s="185"/>
      <c r="K2243" s="185"/>
      <c r="L2243"/>
      <c r="M2243"/>
      <c r="N2243"/>
      <c r="O2243"/>
      <c r="P2243"/>
      <c r="Q2243"/>
    </row>
    <row r="2244" spans="9:17" s="1" customFormat="1">
      <c r="I2244" s="185"/>
      <c r="J2244" s="185"/>
      <c r="K2244" s="185"/>
      <c r="L2244"/>
      <c r="M2244"/>
      <c r="N2244"/>
      <c r="O2244"/>
      <c r="P2244"/>
      <c r="Q2244"/>
    </row>
    <row r="2245" spans="9:17" s="1" customFormat="1">
      <c r="I2245" s="185"/>
      <c r="J2245" s="185"/>
      <c r="K2245" s="185"/>
      <c r="L2245"/>
      <c r="M2245"/>
      <c r="N2245"/>
      <c r="O2245"/>
      <c r="P2245"/>
      <c r="Q2245"/>
    </row>
    <row r="2246" spans="9:17" s="1" customFormat="1">
      <c r="I2246" s="185"/>
      <c r="J2246" s="185"/>
      <c r="K2246" s="185"/>
      <c r="L2246"/>
      <c r="M2246"/>
      <c r="N2246"/>
      <c r="O2246"/>
      <c r="P2246"/>
      <c r="Q2246"/>
    </row>
    <row r="2247" spans="9:17" s="1" customFormat="1">
      <c r="I2247" s="185"/>
      <c r="J2247" s="185"/>
      <c r="K2247" s="185"/>
      <c r="L2247"/>
      <c r="M2247"/>
      <c r="N2247"/>
      <c r="O2247"/>
      <c r="P2247"/>
      <c r="Q2247"/>
    </row>
    <row r="2248" spans="9:17" s="1" customFormat="1">
      <c r="I2248" s="185"/>
      <c r="J2248" s="185"/>
      <c r="K2248" s="185"/>
      <c r="L2248"/>
      <c r="M2248"/>
      <c r="N2248"/>
      <c r="O2248"/>
      <c r="P2248"/>
      <c r="Q2248"/>
    </row>
    <row r="2249" spans="9:17" s="1" customFormat="1">
      <c r="I2249" s="185"/>
      <c r="J2249" s="185"/>
      <c r="K2249" s="185"/>
      <c r="L2249"/>
      <c r="M2249"/>
      <c r="N2249"/>
      <c r="O2249"/>
      <c r="P2249"/>
      <c r="Q2249"/>
    </row>
    <row r="2250" spans="9:17" s="1" customFormat="1">
      <c r="I2250" s="185"/>
      <c r="J2250" s="185"/>
      <c r="K2250" s="185"/>
      <c r="L2250"/>
      <c r="M2250"/>
      <c r="N2250"/>
      <c r="O2250"/>
      <c r="P2250"/>
      <c r="Q2250"/>
    </row>
    <row r="2251" spans="9:17" s="1" customFormat="1">
      <c r="I2251" s="185"/>
      <c r="J2251" s="185"/>
      <c r="K2251" s="185"/>
      <c r="L2251"/>
      <c r="M2251"/>
      <c r="N2251"/>
      <c r="O2251"/>
      <c r="P2251"/>
      <c r="Q2251"/>
    </row>
    <row r="2252" spans="9:17" s="1" customFormat="1">
      <c r="I2252" s="185"/>
      <c r="J2252" s="185"/>
      <c r="K2252" s="185"/>
      <c r="L2252"/>
      <c r="M2252"/>
      <c r="N2252"/>
      <c r="O2252"/>
      <c r="P2252"/>
      <c r="Q2252"/>
    </row>
    <row r="2253" spans="9:17" s="1" customFormat="1">
      <c r="I2253" s="185"/>
      <c r="J2253" s="185"/>
      <c r="K2253" s="185"/>
      <c r="L2253"/>
      <c r="M2253"/>
      <c r="N2253"/>
      <c r="O2253"/>
      <c r="P2253"/>
      <c r="Q2253"/>
    </row>
    <row r="2254" spans="9:17" s="1" customFormat="1">
      <c r="I2254" s="185"/>
      <c r="J2254" s="185"/>
      <c r="K2254" s="185"/>
      <c r="L2254"/>
      <c r="M2254"/>
      <c r="N2254"/>
      <c r="O2254"/>
      <c r="P2254"/>
      <c r="Q2254"/>
    </row>
    <row r="2255" spans="9:17" s="1" customFormat="1">
      <c r="I2255" s="185"/>
      <c r="J2255" s="185"/>
      <c r="K2255" s="185"/>
      <c r="L2255"/>
      <c r="M2255"/>
      <c r="N2255"/>
      <c r="O2255"/>
      <c r="P2255"/>
      <c r="Q2255"/>
    </row>
    <row r="2256" spans="9:17" s="1" customFormat="1">
      <c r="I2256" s="185"/>
      <c r="J2256" s="185"/>
      <c r="K2256" s="185"/>
      <c r="L2256"/>
      <c r="M2256"/>
      <c r="N2256"/>
      <c r="O2256"/>
      <c r="P2256"/>
      <c r="Q2256"/>
    </row>
    <row r="2257" spans="9:17" s="1" customFormat="1">
      <c r="I2257" s="185"/>
      <c r="J2257" s="185"/>
      <c r="K2257" s="185"/>
      <c r="L2257"/>
      <c r="M2257"/>
      <c r="N2257"/>
      <c r="O2257"/>
      <c r="P2257"/>
      <c r="Q2257"/>
    </row>
    <row r="2258" spans="9:17" s="1" customFormat="1">
      <c r="I2258" s="185"/>
      <c r="J2258" s="185"/>
      <c r="K2258" s="185"/>
      <c r="L2258"/>
      <c r="M2258"/>
      <c r="N2258"/>
      <c r="O2258"/>
      <c r="P2258"/>
      <c r="Q2258"/>
    </row>
    <row r="2259" spans="9:17" s="1" customFormat="1">
      <c r="I2259" s="185"/>
      <c r="J2259" s="185"/>
      <c r="K2259" s="185"/>
      <c r="L2259"/>
      <c r="M2259"/>
      <c r="N2259"/>
      <c r="O2259"/>
      <c r="P2259"/>
      <c r="Q2259"/>
    </row>
    <row r="2260" spans="9:17" s="1" customFormat="1">
      <c r="I2260" s="185"/>
      <c r="J2260" s="185"/>
      <c r="K2260" s="185"/>
      <c r="L2260"/>
      <c r="M2260"/>
      <c r="N2260"/>
      <c r="O2260"/>
      <c r="P2260"/>
      <c r="Q2260"/>
    </row>
    <row r="2261" spans="9:17" s="1" customFormat="1">
      <c r="I2261" s="185"/>
      <c r="J2261" s="185"/>
      <c r="K2261" s="185"/>
      <c r="L2261"/>
      <c r="M2261"/>
      <c r="N2261"/>
      <c r="O2261"/>
      <c r="P2261"/>
      <c r="Q2261"/>
    </row>
    <row r="2262" spans="9:17" s="1" customFormat="1">
      <c r="I2262" s="185"/>
      <c r="J2262" s="185"/>
      <c r="K2262" s="185"/>
      <c r="L2262"/>
      <c r="M2262"/>
      <c r="N2262"/>
      <c r="O2262"/>
      <c r="P2262"/>
      <c r="Q2262"/>
    </row>
    <row r="2263" spans="9:17" s="1" customFormat="1">
      <c r="I2263" s="185"/>
      <c r="J2263" s="185"/>
      <c r="K2263" s="185"/>
      <c r="L2263"/>
      <c r="M2263"/>
      <c r="N2263"/>
      <c r="O2263"/>
      <c r="P2263"/>
      <c r="Q2263"/>
    </row>
    <row r="2264" spans="9:17" s="1" customFormat="1">
      <c r="I2264" s="185"/>
      <c r="J2264" s="185"/>
      <c r="K2264" s="185"/>
      <c r="L2264"/>
      <c r="M2264"/>
      <c r="N2264"/>
      <c r="O2264"/>
      <c r="P2264"/>
      <c r="Q2264"/>
    </row>
    <row r="2265" spans="9:17" s="1" customFormat="1">
      <c r="I2265" s="185"/>
      <c r="J2265" s="185"/>
      <c r="K2265" s="185"/>
      <c r="L2265"/>
      <c r="M2265"/>
      <c r="N2265"/>
      <c r="O2265"/>
      <c r="P2265"/>
      <c r="Q2265"/>
    </row>
    <row r="2266" spans="9:17" s="1" customFormat="1">
      <c r="I2266" s="185"/>
      <c r="J2266" s="185"/>
      <c r="K2266" s="185"/>
      <c r="L2266"/>
      <c r="M2266"/>
      <c r="N2266"/>
      <c r="O2266"/>
      <c r="P2266"/>
      <c r="Q2266"/>
    </row>
    <row r="2267" spans="9:17" s="1" customFormat="1">
      <c r="I2267" s="185"/>
      <c r="J2267" s="185"/>
      <c r="K2267" s="185"/>
      <c r="L2267"/>
      <c r="M2267"/>
      <c r="N2267"/>
      <c r="O2267"/>
      <c r="P2267"/>
      <c r="Q2267"/>
    </row>
    <row r="2268" spans="9:17" s="1" customFormat="1">
      <c r="I2268" s="185"/>
      <c r="J2268" s="185"/>
      <c r="K2268" s="185"/>
      <c r="L2268"/>
      <c r="M2268"/>
      <c r="N2268"/>
      <c r="O2268"/>
      <c r="P2268"/>
      <c r="Q2268"/>
    </row>
    <row r="2269" spans="9:17" s="1" customFormat="1">
      <c r="I2269" s="185"/>
      <c r="J2269" s="185"/>
      <c r="K2269" s="185"/>
      <c r="L2269"/>
      <c r="M2269"/>
      <c r="N2269"/>
      <c r="O2269"/>
      <c r="P2269"/>
      <c r="Q2269"/>
    </row>
    <row r="2270" spans="9:17" s="1" customFormat="1">
      <c r="I2270" s="185"/>
      <c r="J2270" s="185"/>
      <c r="K2270" s="185"/>
      <c r="L2270"/>
      <c r="M2270"/>
      <c r="N2270"/>
      <c r="O2270"/>
      <c r="P2270"/>
      <c r="Q2270"/>
    </row>
    <row r="2271" spans="9:17" s="1" customFormat="1">
      <c r="I2271" s="185"/>
      <c r="J2271" s="185"/>
      <c r="K2271" s="185"/>
      <c r="L2271"/>
      <c r="M2271"/>
      <c r="N2271"/>
      <c r="O2271"/>
      <c r="P2271"/>
      <c r="Q2271"/>
    </row>
    <row r="2272" spans="9:17" s="1" customFormat="1">
      <c r="I2272" s="185"/>
      <c r="J2272" s="185"/>
      <c r="K2272" s="185"/>
      <c r="L2272"/>
      <c r="M2272"/>
      <c r="N2272"/>
      <c r="O2272"/>
      <c r="P2272"/>
      <c r="Q2272"/>
    </row>
    <row r="2273" spans="9:17" s="1" customFormat="1">
      <c r="I2273" s="185"/>
      <c r="J2273" s="185"/>
      <c r="K2273" s="185"/>
      <c r="L2273"/>
      <c r="M2273"/>
      <c r="N2273"/>
      <c r="O2273"/>
      <c r="P2273"/>
      <c r="Q2273"/>
    </row>
    <row r="2274" spans="9:17" s="1" customFormat="1">
      <c r="I2274" s="185"/>
      <c r="J2274" s="185"/>
      <c r="K2274" s="185"/>
      <c r="L2274"/>
      <c r="M2274"/>
      <c r="N2274"/>
      <c r="O2274"/>
      <c r="P2274"/>
      <c r="Q2274"/>
    </row>
    <row r="2275" spans="9:17" s="1" customFormat="1">
      <c r="I2275" s="185"/>
      <c r="J2275" s="185"/>
      <c r="K2275" s="185"/>
      <c r="L2275"/>
      <c r="M2275"/>
      <c r="N2275"/>
      <c r="O2275"/>
      <c r="P2275"/>
      <c r="Q2275"/>
    </row>
    <row r="2276" spans="9:17" s="1" customFormat="1">
      <c r="I2276" s="185"/>
      <c r="J2276" s="185"/>
      <c r="K2276" s="185"/>
      <c r="L2276"/>
      <c r="M2276"/>
      <c r="N2276"/>
      <c r="O2276"/>
      <c r="P2276"/>
      <c r="Q2276"/>
    </row>
    <row r="2277" spans="9:17" s="1" customFormat="1">
      <c r="I2277" s="185"/>
      <c r="J2277" s="185"/>
      <c r="K2277" s="185"/>
      <c r="L2277"/>
      <c r="M2277"/>
      <c r="N2277"/>
      <c r="O2277"/>
      <c r="P2277"/>
      <c r="Q2277"/>
    </row>
    <row r="2278" spans="9:17" s="1" customFormat="1">
      <c r="I2278" s="185"/>
      <c r="J2278" s="185"/>
      <c r="K2278" s="185"/>
      <c r="L2278"/>
      <c r="M2278"/>
      <c r="N2278"/>
      <c r="O2278"/>
      <c r="P2278"/>
      <c r="Q2278"/>
    </row>
    <row r="2279" spans="9:17" s="1" customFormat="1">
      <c r="I2279" s="185"/>
      <c r="J2279" s="185"/>
      <c r="K2279" s="185"/>
      <c r="L2279"/>
      <c r="M2279"/>
      <c r="N2279"/>
      <c r="O2279"/>
      <c r="P2279"/>
      <c r="Q2279"/>
    </row>
    <row r="2280" spans="9:17" s="1" customFormat="1">
      <c r="I2280" s="185"/>
      <c r="J2280" s="185"/>
      <c r="K2280" s="185"/>
      <c r="L2280"/>
      <c r="M2280"/>
      <c r="N2280"/>
      <c r="O2280"/>
      <c r="P2280"/>
      <c r="Q2280"/>
    </row>
    <row r="2281" spans="9:17" s="1" customFormat="1">
      <c r="I2281" s="185"/>
      <c r="J2281" s="185"/>
      <c r="K2281" s="185"/>
      <c r="L2281"/>
      <c r="M2281"/>
      <c r="N2281"/>
      <c r="O2281"/>
      <c r="P2281"/>
      <c r="Q2281"/>
    </row>
    <row r="2282" spans="9:17" s="1" customFormat="1">
      <c r="I2282" s="185"/>
      <c r="J2282" s="185"/>
      <c r="K2282" s="185"/>
      <c r="L2282"/>
      <c r="M2282"/>
      <c r="N2282"/>
      <c r="O2282"/>
      <c r="P2282"/>
      <c r="Q2282"/>
    </row>
    <row r="2283" spans="9:17" s="1" customFormat="1">
      <c r="I2283" s="185"/>
      <c r="J2283" s="185"/>
      <c r="K2283" s="185"/>
      <c r="L2283"/>
      <c r="M2283"/>
      <c r="N2283"/>
      <c r="O2283"/>
      <c r="P2283"/>
      <c r="Q2283"/>
    </row>
    <row r="2284" spans="9:17" s="1" customFormat="1">
      <c r="I2284" s="185"/>
      <c r="J2284" s="185"/>
      <c r="K2284" s="185"/>
      <c r="L2284"/>
      <c r="M2284"/>
      <c r="N2284"/>
      <c r="O2284"/>
      <c r="P2284"/>
      <c r="Q2284"/>
    </row>
    <row r="2285" spans="9:17" s="1" customFormat="1">
      <c r="I2285" s="185"/>
      <c r="J2285" s="185"/>
      <c r="K2285" s="185"/>
      <c r="L2285"/>
      <c r="M2285"/>
      <c r="N2285"/>
      <c r="O2285"/>
      <c r="P2285"/>
      <c r="Q2285"/>
    </row>
    <row r="2286" spans="9:17" s="1" customFormat="1">
      <c r="I2286" s="185"/>
      <c r="J2286" s="185"/>
      <c r="K2286" s="185"/>
      <c r="L2286"/>
      <c r="M2286"/>
      <c r="N2286"/>
      <c r="O2286"/>
      <c r="P2286"/>
      <c r="Q2286"/>
    </row>
    <row r="2287" spans="9:17" s="1" customFormat="1">
      <c r="I2287" s="185"/>
      <c r="J2287" s="185"/>
      <c r="K2287" s="185"/>
      <c r="L2287"/>
      <c r="M2287"/>
      <c r="N2287"/>
      <c r="O2287"/>
      <c r="P2287"/>
      <c r="Q2287"/>
    </row>
    <row r="2288" spans="9:17" s="1" customFormat="1">
      <c r="I2288" s="185"/>
      <c r="J2288" s="185"/>
      <c r="K2288" s="185"/>
      <c r="L2288"/>
      <c r="M2288"/>
      <c r="N2288"/>
      <c r="O2288"/>
      <c r="P2288"/>
      <c r="Q2288"/>
    </row>
    <row r="2289" spans="9:17" s="1" customFormat="1">
      <c r="I2289" s="185"/>
      <c r="J2289" s="185"/>
      <c r="K2289" s="185"/>
      <c r="L2289"/>
      <c r="M2289"/>
      <c r="N2289"/>
      <c r="O2289"/>
      <c r="P2289"/>
      <c r="Q2289"/>
    </row>
    <row r="2290" spans="9:17" s="1" customFormat="1">
      <c r="I2290" s="185"/>
      <c r="J2290" s="185"/>
      <c r="K2290" s="185"/>
      <c r="L2290"/>
      <c r="M2290"/>
      <c r="N2290"/>
      <c r="O2290"/>
      <c r="P2290"/>
      <c r="Q2290"/>
    </row>
    <row r="2291" spans="9:17" s="1" customFormat="1">
      <c r="I2291" s="185"/>
      <c r="J2291" s="185"/>
      <c r="K2291" s="185"/>
      <c r="L2291"/>
      <c r="M2291"/>
      <c r="N2291"/>
      <c r="O2291"/>
      <c r="P2291"/>
      <c r="Q2291"/>
    </row>
    <row r="2292" spans="9:17" s="1" customFormat="1">
      <c r="I2292" s="185"/>
      <c r="J2292" s="185"/>
      <c r="K2292" s="185"/>
      <c r="L2292"/>
      <c r="M2292"/>
      <c r="N2292"/>
      <c r="O2292"/>
      <c r="P2292"/>
      <c r="Q2292"/>
    </row>
    <row r="2293" spans="9:17" s="1" customFormat="1">
      <c r="I2293" s="185"/>
      <c r="J2293" s="185"/>
      <c r="K2293" s="185"/>
      <c r="L2293"/>
      <c r="M2293"/>
      <c r="N2293"/>
      <c r="O2293"/>
      <c r="P2293"/>
      <c r="Q2293"/>
    </row>
    <row r="2294" spans="9:17" s="1" customFormat="1">
      <c r="I2294" s="185"/>
      <c r="J2294" s="185"/>
      <c r="K2294" s="185"/>
      <c r="L2294"/>
      <c r="M2294"/>
      <c r="N2294"/>
      <c r="O2294"/>
      <c r="P2294"/>
      <c r="Q2294"/>
    </row>
    <row r="2295" spans="9:17" s="1" customFormat="1">
      <c r="I2295" s="185"/>
      <c r="J2295" s="185"/>
      <c r="K2295" s="185"/>
      <c r="L2295"/>
      <c r="M2295"/>
      <c r="N2295"/>
      <c r="O2295"/>
      <c r="P2295"/>
      <c r="Q2295"/>
    </row>
    <row r="2296" spans="9:17" s="1" customFormat="1">
      <c r="I2296" s="185"/>
      <c r="J2296" s="185"/>
      <c r="K2296" s="185"/>
      <c r="L2296"/>
      <c r="M2296"/>
      <c r="N2296"/>
      <c r="O2296"/>
      <c r="P2296"/>
      <c r="Q2296"/>
    </row>
    <row r="2297" spans="9:17" s="1" customFormat="1">
      <c r="I2297" s="185"/>
      <c r="J2297" s="185"/>
      <c r="K2297" s="185"/>
      <c r="L2297"/>
      <c r="M2297"/>
      <c r="N2297"/>
      <c r="O2297"/>
      <c r="P2297"/>
      <c r="Q2297"/>
    </row>
    <row r="2298" spans="9:17" s="1" customFormat="1">
      <c r="I2298" s="185"/>
      <c r="J2298" s="185"/>
      <c r="K2298" s="185"/>
      <c r="L2298"/>
      <c r="M2298"/>
      <c r="N2298"/>
      <c r="O2298"/>
      <c r="P2298"/>
      <c r="Q2298"/>
    </row>
    <row r="2299" spans="9:17" s="1" customFormat="1">
      <c r="I2299" s="185"/>
      <c r="J2299" s="185"/>
      <c r="K2299" s="185"/>
      <c r="L2299"/>
      <c r="M2299"/>
      <c r="N2299"/>
      <c r="O2299"/>
      <c r="P2299"/>
      <c r="Q2299"/>
    </row>
    <row r="2300" spans="9:17" s="1" customFormat="1">
      <c r="I2300" s="185"/>
      <c r="J2300" s="185"/>
      <c r="K2300" s="185"/>
      <c r="L2300"/>
      <c r="M2300"/>
      <c r="N2300"/>
      <c r="O2300"/>
      <c r="P2300"/>
      <c r="Q2300"/>
    </row>
    <row r="2301" spans="9:17" s="1" customFormat="1">
      <c r="I2301" s="185"/>
      <c r="J2301" s="185"/>
      <c r="K2301" s="185"/>
      <c r="L2301"/>
      <c r="M2301"/>
      <c r="N2301"/>
      <c r="O2301"/>
      <c r="P2301"/>
      <c r="Q2301"/>
    </row>
    <row r="2302" spans="9:17" s="1" customFormat="1">
      <c r="I2302" s="185"/>
      <c r="J2302" s="185"/>
      <c r="K2302" s="185"/>
      <c r="L2302"/>
      <c r="M2302"/>
      <c r="N2302"/>
      <c r="O2302"/>
      <c r="P2302"/>
      <c r="Q2302"/>
    </row>
    <row r="2303" spans="9:17" s="1" customFormat="1">
      <c r="I2303" s="185"/>
      <c r="J2303" s="185"/>
      <c r="K2303" s="185"/>
      <c r="L2303"/>
      <c r="M2303"/>
      <c r="N2303"/>
      <c r="O2303"/>
      <c r="P2303"/>
      <c r="Q2303"/>
    </row>
    <row r="2304" spans="9:17" s="1" customFormat="1">
      <c r="I2304" s="185"/>
      <c r="J2304" s="185"/>
      <c r="K2304" s="185"/>
      <c r="L2304"/>
      <c r="M2304"/>
      <c r="N2304"/>
      <c r="O2304"/>
      <c r="P2304"/>
      <c r="Q2304"/>
    </row>
    <row r="2305" spans="9:17" s="1" customFormat="1">
      <c r="I2305" s="185"/>
      <c r="J2305" s="185"/>
      <c r="K2305" s="185"/>
      <c r="L2305"/>
      <c r="M2305"/>
      <c r="N2305"/>
      <c r="O2305"/>
      <c r="P2305"/>
      <c r="Q2305"/>
    </row>
    <row r="2306" spans="9:17" s="1" customFormat="1">
      <c r="I2306" s="185"/>
      <c r="J2306" s="185"/>
      <c r="K2306" s="185"/>
      <c r="L2306"/>
      <c r="M2306"/>
      <c r="N2306"/>
      <c r="O2306"/>
      <c r="P2306"/>
      <c r="Q2306"/>
    </row>
    <row r="2307" spans="9:17" s="1" customFormat="1">
      <c r="I2307" s="185"/>
      <c r="J2307" s="185"/>
      <c r="K2307" s="185"/>
      <c r="L2307"/>
      <c r="M2307"/>
      <c r="N2307"/>
      <c r="O2307"/>
      <c r="P2307"/>
      <c r="Q2307"/>
    </row>
    <row r="2308" spans="9:17" s="1" customFormat="1">
      <c r="I2308" s="185"/>
      <c r="J2308" s="185"/>
      <c r="K2308" s="185"/>
      <c r="L2308"/>
      <c r="M2308"/>
      <c r="N2308"/>
      <c r="O2308"/>
      <c r="P2308"/>
      <c r="Q2308"/>
    </row>
    <row r="2309" spans="9:17" s="1" customFormat="1">
      <c r="I2309" s="185"/>
      <c r="J2309" s="185"/>
      <c r="K2309" s="185"/>
      <c r="L2309"/>
      <c r="M2309"/>
      <c r="N2309"/>
      <c r="O2309"/>
      <c r="P2309"/>
      <c r="Q2309"/>
    </row>
    <row r="2310" spans="9:17" s="1" customFormat="1">
      <c r="I2310" s="185"/>
      <c r="J2310" s="185"/>
      <c r="K2310" s="185"/>
      <c r="L2310"/>
      <c r="M2310"/>
      <c r="N2310"/>
      <c r="O2310"/>
      <c r="P2310"/>
      <c r="Q2310"/>
    </row>
    <row r="2311" spans="9:17" s="1" customFormat="1">
      <c r="I2311" s="185"/>
      <c r="J2311" s="185"/>
      <c r="K2311" s="185"/>
      <c r="L2311"/>
      <c r="M2311"/>
      <c r="N2311"/>
      <c r="O2311"/>
      <c r="P2311"/>
      <c r="Q2311"/>
    </row>
    <row r="2312" spans="9:17" s="1" customFormat="1">
      <c r="I2312" s="185"/>
      <c r="J2312" s="185"/>
      <c r="K2312" s="185"/>
      <c r="L2312"/>
      <c r="M2312"/>
      <c r="N2312"/>
      <c r="O2312"/>
      <c r="P2312"/>
      <c r="Q2312"/>
    </row>
    <row r="2313" spans="9:17" s="1" customFormat="1">
      <c r="I2313" s="185"/>
      <c r="J2313" s="185"/>
      <c r="K2313" s="185"/>
      <c r="L2313"/>
      <c r="M2313"/>
      <c r="N2313"/>
      <c r="O2313"/>
      <c r="P2313"/>
      <c r="Q2313"/>
    </row>
    <row r="2314" spans="9:17" s="1" customFormat="1">
      <c r="I2314" s="185"/>
      <c r="J2314" s="185"/>
      <c r="K2314" s="185"/>
      <c r="L2314"/>
      <c r="M2314"/>
      <c r="N2314"/>
      <c r="O2314"/>
      <c r="P2314"/>
      <c r="Q2314"/>
    </row>
    <row r="2315" spans="9:17" s="1" customFormat="1">
      <c r="I2315" s="185"/>
      <c r="J2315" s="185"/>
      <c r="K2315" s="185"/>
      <c r="L2315"/>
      <c r="M2315"/>
      <c r="N2315"/>
      <c r="O2315"/>
      <c r="P2315"/>
      <c r="Q2315"/>
    </row>
    <row r="2316" spans="9:17" s="1" customFormat="1">
      <c r="I2316" s="185"/>
      <c r="J2316" s="185"/>
      <c r="K2316" s="185"/>
      <c r="L2316"/>
      <c r="M2316"/>
      <c r="N2316"/>
      <c r="O2316"/>
      <c r="P2316"/>
      <c r="Q2316"/>
    </row>
    <row r="2317" spans="9:17" s="1" customFormat="1">
      <c r="I2317" s="185"/>
      <c r="J2317" s="185"/>
      <c r="K2317" s="185"/>
      <c r="L2317"/>
      <c r="M2317"/>
      <c r="N2317"/>
      <c r="O2317"/>
      <c r="P2317"/>
      <c r="Q2317"/>
    </row>
    <row r="2318" spans="9:17" s="1" customFormat="1">
      <c r="I2318" s="185"/>
      <c r="J2318" s="185"/>
      <c r="K2318" s="185"/>
      <c r="L2318"/>
      <c r="M2318"/>
      <c r="N2318"/>
      <c r="O2318"/>
      <c r="P2318"/>
      <c r="Q2318"/>
    </row>
    <row r="2319" spans="9:17" s="1" customFormat="1">
      <c r="I2319" s="185"/>
      <c r="J2319" s="185"/>
      <c r="K2319" s="185"/>
      <c r="L2319"/>
      <c r="M2319"/>
      <c r="N2319"/>
      <c r="O2319"/>
      <c r="P2319"/>
      <c r="Q2319"/>
    </row>
    <row r="2320" spans="9:17" s="1" customFormat="1">
      <c r="I2320" s="185"/>
      <c r="J2320" s="185"/>
      <c r="K2320" s="185"/>
      <c r="L2320"/>
      <c r="M2320"/>
      <c r="N2320"/>
      <c r="O2320"/>
      <c r="P2320"/>
      <c r="Q2320"/>
    </row>
    <row r="2321" spans="9:17" s="1" customFormat="1">
      <c r="I2321" s="185"/>
      <c r="J2321" s="185"/>
      <c r="K2321" s="185"/>
      <c r="L2321"/>
      <c r="M2321"/>
      <c r="N2321"/>
      <c r="O2321"/>
      <c r="P2321"/>
      <c r="Q2321"/>
    </row>
    <row r="2322" spans="9:17" s="1" customFormat="1">
      <c r="I2322" s="185"/>
      <c r="J2322" s="185"/>
      <c r="K2322" s="185"/>
      <c r="L2322"/>
      <c r="M2322"/>
      <c r="N2322"/>
      <c r="O2322"/>
      <c r="P2322"/>
      <c r="Q2322"/>
    </row>
    <row r="2323" spans="9:17" s="1" customFormat="1">
      <c r="I2323" s="185"/>
      <c r="J2323" s="185"/>
      <c r="K2323" s="185"/>
      <c r="L2323"/>
      <c r="M2323"/>
      <c r="N2323"/>
      <c r="O2323"/>
      <c r="P2323"/>
      <c r="Q2323"/>
    </row>
    <row r="2324" spans="9:17" s="1" customFormat="1">
      <c r="I2324" s="185"/>
      <c r="J2324" s="185"/>
      <c r="K2324" s="185"/>
      <c r="L2324"/>
      <c r="M2324"/>
      <c r="N2324"/>
      <c r="O2324"/>
      <c r="P2324"/>
      <c r="Q2324"/>
    </row>
    <row r="2325" spans="9:17" s="1" customFormat="1">
      <c r="I2325" s="185"/>
      <c r="J2325" s="185"/>
      <c r="K2325" s="185"/>
      <c r="L2325"/>
      <c r="M2325"/>
      <c r="N2325"/>
      <c r="O2325"/>
      <c r="P2325"/>
      <c r="Q2325"/>
    </row>
    <row r="2326" spans="9:17" s="1" customFormat="1">
      <c r="I2326" s="185"/>
      <c r="J2326" s="185"/>
      <c r="K2326" s="185"/>
      <c r="L2326"/>
      <c r="M2326"/>
      <c r="N2326"/>
      <c r="O2326"/>
      <c r="P2326"/>
      <c r="Q2326"/>
    </row>
    <row r="2327" spans="9:17" s="1" customFormat="1">
      <c r="I2327" s="185"/>
      <c r="J2327" s="185"/>
      <c r="K2327" s="185"/>
      <c r="L2327"/>
      <c r="M2327"/>
      <c r="N2327"/>
      <c r="O2327"/>
      <c r="P2327"/>
      <c r="Q2327"/>
    </row>
    <row r="2328" spans="9:17" s="1" customFormat="1">
      <c r="I2328" s="185"/>
      <c r="J2328" s="185"/>
      <c r="K2328" s="185"/>
      <c r="L2328"/>
      <c r="M2328"/>
      <c r="N2328"/>
      <c r="O2328"/>
      <c r="P2328"/>
      <c r="Q2328"/>
    </row>
    <row r="2329" spans="9:17" s="1" customFormat="1">
      <c r="I2329" s="185"/>
      <c r="J2329" s="185"/>
      <c r="K2329" s="185"/>
      <c r="L2329"/>
      <c r="M2329"/>
      <c r="N2329"/>
      <c r="O2329"/>
      <c r="P2329"/>
      <c r="Q2329"/>
    </row>
    <row r="2330" spans="9:17" s="1" customFormat="1">
      <c r="I2330" s="185"/>
      <c r="J2330" s="185"/>
      <c r="K2330" s="185"/>
      <c r="L2330"/>
      <c r="M2330"/>
      <c r="N2330"/>
      <c r="O2330"/>
      <c r="P2330"/>
      <c r="Q2330"/>
    </row>
    <row r="2331" spans="9:17" s="1" customFormat="1">
      <c r="I2331" s="185"/>
      <c r="J2331" s="185"/>
      <c r="K2331" s="185"/>
      <c r="L2331"/>
      <c r="M2331"/>
      <c r="N2331"/>
      <c r="O2331"/>
      <c r="P2331"/>
      <c r="Q2331"/>
    </row>
    <row r="2332" spans="9:17" s="1" customFormat="1">
      <c r="I2332" s="185"/>
      <c r="J2332" s="185"/>
      <c r="K2332" s="185"/>
      <c r="L2332"/>
      <c r="M2332"/>
      <c r="N2332"/>
      <c r="O2332"/>
      <c r="P2332"/>
      <c r="Q2332"/>
    </row>
    <row r="2333" spans="9:17" s="1" customFormat="1">
      <c r="I2333" s="185"/>
      <c r="J2333" s="185"/>
      <c r="K2333" s="185"/>
      <c r="L2333"/>
      <c r="M2333"/>
      <c r="N2333"/>
      <c r="O2333"/>
      <c r="P2333"/>
      <c r="Q2333"/>
    </row>
    <row r="2334" spans="9:17" s="1" customFormat="1">
      <c r="I2334" s="185"/>
      <c r="J2334" s="185"/>
      <c r="K2334" s="185"/>
      <c r="L2334"/>
      <c r="M2334"/>
      <c r="N2334"/>
      <c r="O2334"/>
      <c r="P2334"/>
      <c r="Q2334"/>
    </row>
    <row r="2335" spans="9:17" s="1" customFormat="1">
      <c r="I2335" s="185"/>
      <c r="J2335" s="185"/>
      <c r="K2335" s="185"/>
      <c r="L2335"/>
      <c r="M2335"/>
      <c r="N2335"/>
      <c r="O2335"/>
      <c r="P2335"/>
      <c r="Q2335"/>
    </row>
    <row r="2336" spans="9:17" s="1" customFormat="1">
      <c r="I2336" s="185"/>
      <c r="J2336" s="185"/>
      <c r="K2336" s="185"/>
      <c r="L2336"/>
      <c r="M2336"/>
      <c r="N2336"/>
      <c r="O2336"/>
      <c r="P2336"/>
      <c r="Q2336"/>
    </row>
    <row r="2337" spans="9:17" s="1" customFormat="1">
      <c r="I2337" s="185"/>
      <c r="J2337" s="185"/>
      <c r="K2337" s="185"/>
      <c r="L2337"/>
      <c r="M2337"/>
      <c r="N2337"/>
      <c r="O2337"/>
      <c r="P2337"/>
      <c r="Q2337"/>
    </row>
    <row r="2338" spans="9:17" s="1" customFormat="1">
      <c r="I2338" s="185"/>
      <c r="J2338" s="185"/>
      <c r="K2338" s="185"/>
      <c r="L2338"/>
      <c r="M2338"/>
      <c r="N2338"/>
      <c r="O2338"/>
      <c r="P2338"/>
      <c r="Q2338"/>
    </row>
    <row r="2339" spans="9:17" s="1" customFormat="1">
      <c r="I2339" s="185"/>
      <c r="J2339" s="185"/>
      <c r="K2339" s="185"/>
      <c r="L2339"/>
      <c r="M2339"/>
      <c r="N2339"/>
      <c r="O2339"/>
      <c r="P2339"/>
      <c r="Q2339"/>
    </row>
    <row r="2340" spans="9:17" s="1" customFormat="1">
      <c r="I2340" s="185"/>
      <c r="J2340" s="185"/>
      <c r="K2340" s="185"/>
      <c r="L2340"/>
      <c r="M2340"/>
      <c r="N2340"/>
      <c r="O2340"/>
      <c r="P2340"/>
      <c r="Q2340"/>
    </row>
    <row r="2341" spans="9:17" s="1" customFormat="1">
      <c r="I2341" s="185"/>
      <c r="J2341" s="185"/>
      <c r="K2341" s="185"/>
      <c r="L2341"/>
      <c r="M2341"/>
      <c r="N2341"/>
      <c r="O2341"/>
      <c r="P2341"/>
      <c r="Q2341"/>
    </row>
    <row r="2342" spans="9:17" s="1" customFormat="1">
      <c r="I2342" s="185"/>
      <c r="J2342" s="185"/>
      <c r="K2342" s="185"/>
      <c r="L2342"/>
      <c r="M2342"/>
      <c r="N2342"/>
      <c r="O2342"/>
      <c r="P2342"/>
      <c r="Q2342"/>
    </row>
    <row r="2343" spans="9:17" s="1" customFormat="1">
      <c r="I2343" s="185"/>
      <c r="J2343" s="185"/>
      <c r="K2343" s="185"/>
      <c r="L2343"/>
      <c r="M2343"/>
      <c r="N2343"/>
      <c r="O2343"/>
      <c r="P2343"/>
      <c r="Q2343"/>
    </row>
    <row r="2344" spans="9:17" s="1" customFormat="1">
      <c r="I2344" s="185"/>
      <c r="J2344" s="185"/>
      <c r="K2344" s="185"/>
      <c r="L2344"/>
      <c r="M2344"/>
      <c r="N2344"/>
      <c r="O2344"/>
      <c r="P2344"/>
      <c r="Q2344"/>
    </row>
    <row r="2345" spans="9:17" s="1" customFormat="1">
      <c r="I2345" s="185"/>
      <c r="J2345" s="185"/>
      <c r="K2345" s="185"/>
      <c r="L2345"/>
      <c r="M2345"/>
      <c r="N2345"/>
      <c r="O2345"/>
      <c r="P2345"/>
      <c r="Q2345"/>
    </row>
    <row r="2346" spans="9:17" s="1" customFormat="1">
      <c r="I2346" s="185"/>
      <c r="J2346" s="185"/>
      <c r="K2346" s="185"/>
      <c r="L2346"/>
      <c r="M2346"/>
      <c r="N2346"/>
      <c r="O2346"/>
      <c r="P2346"/>
      <c r="Q2346"/>
    </row>
    <row r="2347" spans="9:17" s="1" customFormat="1">
      <c r="I2347" s="185"/>
      <c r="J2347" s="185"/>
      <c r="K2347" s="185"/>
      <c r="L2347"/>
      <c r="M2347"/>
      <c r="N2347"/>
      <c r="O2347"/>
      <c r="P2347"/>
      <c r="Q2347"/>
    </row>
    <row r="2348" spans="9:17" s="1" customFormat="1">
      <c r="I2348" s="185"/>
      <c r="J2348" s="185"/>
      <c r="K2348" s="185"/>
      <c r="L2348"/>
      <c r="M2348"/>
      <c r="N2348"/>
      <c r="O2348"/>
      <c r="P2348"/>
      <c r="Q2348"/>
    </row>
    <row r="2349" spans="9:17" s="1" customFormat="1">
      <c r="I2349" s="185"/>
      <c r="J2349" s="185"/>
      <c r="K2349" s="185"/>
      <c r="L2349"/>
      <c r="M2349"/>
      <c r="N2349"/>
      <c r="O2349"/>
      <c r="P2349"/>
      <c r="Q2349"/>
    </row>
    <row r="2350" spans="9:17" s="1" customFormat="1">
      <c r="I2350" s="185"/>
      <c r="J2350" s="185"/>
      <c r="K2350" s="185"/>
      <c r="L2350"/>
      <c r="M2350"/>
      <c r="N2350"/>
      <c r="O2350"/>
      <c r="P2350"/>
      <c r="Q2350"/>
    </row>
    <row r="2351" spans="9:17" s="1" customFormat="1">
      <c r="I2351" s="185"/>
      <c r="J2351" s="185"/>
      <c r="K2351" s="185"/>
      <c r="L2351"/>
      <c r="M2351"/>
      <c r="N2351"/>
      <c r="O2351"/>
      <c r="P2351"/>
      <c r="Q2351"/>
    </row>
    <row r="2352" spans="9:17" s="1" customFormat="1">
      <c r="I2352" s="185"/>
      <c r="J2352" s="185"/>
      <c r="K2352" s="185"/>
      <c r="L2352"/>
      <c r="M2352"/>
      <c r="N2352"/>
      <c r="O2352"/>
      <c r="P2352"/>
      <c r="Q2352"/>
    </row>
    <row r="2353" spans="9:17" s="1" customFormat="1">
      <c r="I2353" s="185"/>
      <c r="J2353" s="185"/>
      <c r="K2353" s="185"/>
      <c r="L2353"/>
      <c r="M2353"/>
      <c r="N2353"/>
      <c r="O2353"/>
      <c r="P2353"/>
      <c r="Q2353"/>
    </row>
    <row r="2354" spans="9:17" s="1" customFormat="1">
      <c r="I2354" s="185"/>
      <c r="J2354" s="185"/>
      <c r="K2354" s="185"/>
      <c r="L2354"/>
      <c r="M2354"/>
      <c r="N2354"/>
      <c r="O2354"/>
      <c r="P2354"/>
      <c r="Q2354"/>
    </row>
    <row r="2355" spans="9:17" s="1" customFormat="1">
      <c r="I2355" s="185"/>
      <c r="J2355" s="185"/>
      <c r="K2355" s="185"/>
      <c r="L2355"/>
      <c r="M2355"/>
      <c r="N2355"/>
      <c r="O2355"/>
      <c r="P2355"/>
      <c r="Q2355"/>
    </row>
    <row r="2356" spans="9:17" s="1" customFormat="1">
      <c r="I2356" s="185"/>
      <c r="J2356" s="185"/>
      <c r="K2356" s="185"/>
      <c r="L2356"/>
      <c r="M2356"/>
      <c r="N2356"/>
      <c r="O2356"/>
      <c r="P2356"/>
      <c r="Q2356"/>
    </row>
    <row r="2357" spans="9:17" s="1" customFormat="1">
      <c r="I2357" s="185"/>
      <c r="J2357" s="185"/>
      <c r="K2357" s="185"/>
      <c r="L2357"/>
      <c r="M2357"/>
      <c r="N2357"/>
      <c r="O2357"/>
      <c r="P2357"/>
      <c r="Q2357"/>
    </row>
    <row r="2358" spans="9:17" s="1" customFormat="1">
      <c r="I2358" s="185"/>
      <c r="J2358" s="185"/>
      <c r="K2358" s="185"/>
      <c r="L2358"/>
      <c r="M2358"/>
      <c r="N2358"/>
      <c r="O2358"/>
      <c r="P2358"/>
      <c r="Q2358"/>
    </row>
    <row r="2359" spans="9:17" s="1" customFormat="1">
      <c r="I2359" s="185"/>
      <c r="J2359" s="185"/>
      <c r="K2359" s="185"/>
      <c r="L2359"/>
      <c r="M2359"/>
      <c r="N2359"/>
      <c r="O2359"/>
      <c r="P2359"/>
      <c r="Q2359"/>
    </row>
    <row r="2360" spans="9:17" s="1" customFormat="1">
      <c r="I2360" s="185"/>
      <c r="J2360" s="185"/>
      <c r="K2360" s="185"/>
      <c r="L2360"/>
      <c r="M2360"/>
      <c r="N2360"/>
      <c r="O2360"/>
      <c r="P2360"/>
      <c r="Q2360"/>
    </row>
    <row r="2361" spans="9:17" s="1" customFormat="1">
      <c r="I2361" s="185"/>
      <c r="J2361" s="185"/>
      <c r="K2361" s="185"/>
      <c r="L2361"/>
      <c r="M2361"/>
      <c r="N2361"/>
      <c r="O2361"/>
      <c r="P2361"/>
      <c r="Q2361"/>
    </row>
    <row r="2362" spans="9:17" s="1" customFormat="1">
      <c r="I2362" s="185"/>
      <c r="J2362" s="185"/>
      <c r="K2362" s="185"/>
      <c r="L2362"/>
      <c r="M2362"/>
      <c r="N2362"/>
      <c r="O2362"/>
      <c r="P2362"/>
      <c r="Q2362"/>
    </row>
    <row r="2363" spans="9:17" s="1" customFormat="1">
      <c r="I2363" s="185"/>
      <c r="J2363" s="185"/>
      <c r="K2363" s="185"/>
      <c r="L2363"/>
      <c r="M2363"/>
      <c r="N2363"/>
      <c r="O2363"/>
      <c r="P2363"/>
      <c r="Q2363"/>
    </row>
    <row r="2364" spans="9:17" s="1" customFormat="1">
      <c r="I2364" s="185"/>
      <c r="J2364" s="185"/>
      <c r="K2364" s="185"/>
      <c r="L2364"/>
      <c r="M2364"/>
      <c r="N2364"/>
      <c r="O2364"/>
      <c r="P2364"/>
      <c r="Q2364"/>
    </row>
    <row r="2365" spans="9:17" s="1" customFormat="1">
      <c r="I2365" s="185"/>
      <c r="J2365" s="185"/>
      <c r="K2365" s="185"/>
      <c r="L2365"/>
      <c r="M2365"/>
      <c r="N2365"/>
      <c r="O2365"/>
      <c r="P2365"/>
      <c r="Q2365"/>
    </row>
    <row r="2366" spans="9:17" s="1" customFormat="1">
      <c r="I2366" s="185"/>
      <c r="J2366" s="185"/>
      <c r="K2366" s="185"/>
      <c r="L2366"/>
      <c r="M2366"/>
      <c r="N2366"/>
      <c r="O2366"/>
      <c r="P2366"/>
      <c r="Q2366"/>
    </row>
    <row r="2367" spans="9:17" s="1" customFormat="1">
      <c r="I2367" s="185"/>
      <c r="J2367" s="185"/>
      <c r="K2367" s="185"/>
      <c r="L2367"/>
      <c r="M2367"/>
      <c r="N2367"/>
      <c r="O2367"/>
      <c r="P2367"/>
      <c r="Q2367"/>
    </row>
    <row r="2368" spans="9:17" s="1" customFormat="1">
      <c r="I2368" s="185"/>
      <c r="J2368" s="185"/>
      <c r="K2368" s="185"/>
      <c r="L2368"/>
      <c r="M2368"/>
      <c r="N2368"/>
      <c r="O2368"/>
      <c r="P2368"/>
      <c r="Q2368"/>
    </row>
    <row r="2369" spans="9:17" s="1" customFormat="1">
      <c r="I2369" s="185"/>
      <c r="J2369" s="185"/>
      <c r="K2369" s="185"/>
      <c r="L2369"/>
      <c r="M2369"/>
      <c r="N2369"/>
      <c r="O2369"/>
      <c r="P2369"/>
      <c r="Q2369"/>
    </row>
    <row r="2370" spans="9:17" s="1" customFormat="1">
      <c r="I2370" s="185"/>
      <c r="J2370" s="185"/>
      <c r="K2370" s="185"/>
      <c r="L2370"/>
      <c r="M2370"/>
      <c r="N2370"/>
      <c r="O2370"/>
      <c r="P2370"/>
      <c r="Q2370"/>
    </row>
    <row r="2371" spans="9:17" s="1" customFormat="1">
      <c r="I2371" s="185"/>
      <c r="J2371" s="185"/>
      <c r="K2371" s="185"/>
      <c r="L2371"/>
      <c r="M2371"/>
      <c r="N2371"/>
      <c r="O2371"/>
      <c r="P2371"/>
      <c r="Q2371"/>
    </row>
    <row r="2372" spans="9:17" s="1" customFormat="1">
      <c r="I2372" s="185"/>
      <c r="J2372" s="185"/>
      <c r="K2372" s="185"/>
      <c r="L2372"/>
      <c r="M2372"/>
      <c r="N2372"/>
      <c r="O2372"/>
      <c r="P2372"/>
      <c r="Q2372"/>
    </row>
    <row r="2373" spans="9:17" s="1" customFormat="1">
      <c r="I2373" s="185"/>
      <c r="J2373" s="185"/>
      <c r="K2373" s="185"/>
      <c r="L2373"/>
      <c r="M2373"/>
      <c r="N2373"/>
      <c r="O2373"/>
      <c r="P2373"/>
      <c r="Q2373"/>
    </row>
    <row r="2374" spans="9:17" s="1" customFormat="1">
      <c r="I2374" s="185"/>
      <c r="J2374" s="185"/>
      <c r="K2374" s="185"/>
      <c r="L2374"/>
      <c r="M2374"/>
      <c r="N2374"/>
      <c r="O2374"/>
      <c r="P2374"/>
      <c r="Q2374"/>
    </row>
    <row r="2375" spans="9:17" s="1" customFormat="1">
      <c r="I2375" s="185"/>
      <c r="J2375" s="185"/>
      <c r="K2375" s="185"/>
      <c r="L2375"/>
      <c r="M2375"/>
      <c r="N2375"/>
      <c r="O2375"/>
      <c r="P2375"/>
      <c r="Q2375"/>
    </row>
    <row r="2376" spans="9:17" s="1" customFormat="1">
      <c r="I2376" s="185"/>
      <c r="J2376" s="185"/>
      <c r="K2376" s="185"/>
      <c r="L2376"/>
      <c r="M2376"/>
      <c r="N2376"/>
      <c r="O2376"/>
      <c r="P2376"/>
      <c r="Q2376"/>
    </row>
    <row r="2377" spans="9:17" s="1" customFormat="1">
      <c r="I2377" s="185"/>
      <c r="J2377" s="185"/>
      <c r="K2377" s="185"/>
      <c r="L2377"/>
      <c r="M2377"/>
      <c r="N2377"/>
      <c r="O2377"/>
      <c r="P2377"/>
      <c r="Q2377"/>
    </row>
    <row r="2378" spans="9:17" s="1" customFormat="1">
      <c r="I2378" s="185"/>
      <c r="J2378" s="185"/>
      <c r="K2378" s="185"/>
      <c r="L2378"/>
      <c r="M2378"/>
      <c r="N2378"/>
      <c r="O2378"/>
      <c r="P2378"/>
      <c r="Q2378"/>
    </row>
    <row r="2379" spans="9:17" s="1" customFormat="1">
      <c r="I2379" s="185"/>
      <c r="J2379" s="185"/>
      <c r="K2379" s="185"/>
      <c r="L2379"/>
      <c r="M2379"/>
      <c r="N2379"/>
      <c r="O2379"/>
      <c r="P2379"/>
      <c r="Q2379"/>
    </row>
    <row r="2380" spans="9:17" s="1" customFormat="1">
      <c r="I2380" s="185"/>
      <c r="J2380" s="185"/>
      <c r="K2380" s="185"/>
      <c r="L2380"/>
      <c r="M2380"/>
      <c r="N2380"/>
      <c r="O2380"/>
      <c r="P2380"/>
      <c r="Q2380"/>
    </row>
    <row r="2381" spans="9:17" s="1" customFormat="1">
      <c r="I2381" s="185"/>
      <c r="J2381" s="185"/>
      <c r="K2381" s="185"/>
      <c r="L2381"/>
      <c r="M2381"/>
      <c r="N2381"/>
      <c r="O2381"/>
      <c r="P2381"/>
      <c r="Q2381"/>
    </row>
    <row r="2382" spans="9:17" s="1" customFormat="1">
      <c r="I2382" s="185"/>
      <c r="J2382" s="185"/>
      <c r="K2382" s="185"/>
      <c r="L2382"/>
      <c r="M2382"/>
      <c r="N2382"/>
      <c r="O2382"/>
      <c r="P2382"/>
      <c r="Q2382"/>
    </row>
    <row r="2383" spans="9:17" s="1" customFormat="1">
      <c r="I2383" s="185"/>
      <c r="J2383" s="185"/>
      <c r="K2383" s="185"/>
      <c r="L2383"/>
      <c r="M2383"/>
      <c r="N2383"/>
      <c r="O2383"/>
      <c r="P2383"/>
      <c r="Q2383"/>
    </row>
    <row r="2384" spans="9:17" s="1" customFormat="1">
      <c r="I2384" s="185"/>
      <c r="J2384" s="185"/>
      <c r="K2384" s="185"/>
      <c r="L2384"/>
      <c r="M2384"/>
      <c r="N2384"/>
      <c r="O2384"/>
      <c r="P2384"/>
      <c r="Q2384"/>
    </row>
    <row r="2385" spans="9:17" s="1" customFormat="1">
      <c r="I2385" s="185"/>
      <c r="J2385" s="185"/>
      <c r="K2385" s="185"/>
      <c r="L2385"/>
      <c r="M2385"/>
      <c r="N2385"/>
      <c r="O2385"/>
      <c r="P2385"/>
      <c r="Q2385"/>
    </row>
    <row r="2386" spans="9:17" s="1" customFormat="1">
      <c r="I2386" s="185"/>
      <c r="J2386" s="185"/>
      <c r="K2386" s="185"/>
      <c r="L2386"/>
      <c r="M2386"/>
      <c r="N2386"/>
      <c r="O2386"/>
      <c r="P2386"/>
      <c r="Q2386"/>
    </row>
    <row r="2387" spans="9:17" s="1" customFormat="1">
      <c r="I2387" s="185"/>
      <c r="J2387" s="185"/>
      <c r="K2387" s="185"/>
      <c r="L2387"/>
      <c r="M2387"/>
      <c r="N2387"/>
      <c r="O2387"/>
      <c r="P2387"/>
      <c r="Q2387"/>
    </row>
    <row r="2388" spans="9:17" s="1" customFormat="1">
      <c r="I2388" s="185"/>
      <c r="J2388" s="185"/>
      <c r="K2388" s="185"/>
      <c r="L2388"/>
      <c r="M2388"/>
      <c r="N2388"/>
      <c r="O2388"/>
      <c r="P2388"/>
      <c r="Q2388"/>
    </row>
    <row r="2389" spans="9:17" s="1" customFormat="1">
      <c r="I2389" s="185"/>
      <c r="J2389" s="185"/>
      <c r="K2389" s="185"/>
      <c r="L2389"/>
      <c r="M2389"/>
      <c r="N2389"/>
      <c r="O2389"/>
      <c r="P2389"/>
      <c r="Q2389"/>
    </row>
    <row r="2390" spans="9:17" s="1" customFormat="1">
      <c r="I2390" s="185"/>
      <c r="J2390" s="185"/>
      <c r="K2390" s="185"/>
      <c r="L2390"/>
      <c r="M2390"/>
      <c r="N2390"/>
      <c r="O2390"/>
      <c r="P2390"/>
      <c r="Q2390"/>
    </row>
    <row r="2391" spans="9:17" s="1" customFormat="1">
      <c r="I2391" s="185"/>
      <c r="J2391" s="185"/>
      <c r="K2391" s="185"/>
      <c r="L2391"/>
      <c r="M2391"/>
      <c r="N2391"/>
      <c r="O2391"/>
      <c r="P2391"/>
      <c r="Q2391"/>
    </row>
    <row r="2392" spans="9:17" s="1" customFormat="1">
      <c r="I2392" s="185"/>
      <c r="J2392" s="185"/>
      <c r="K2392" s="185"/>
      <c r="L2392"/>
      <c r="M2392"/>
      <c r="N2392"/>
      <c r="O2392"/>
      <c r="P2392"/>
      <c r="Q2392"/>
    </row>
    <row r="2393" spans="9:17" s="1" customFormat="1">
      <c r="I2393" s="185"/>
      <c r="J2393" s="185"/>
      <c r="K2393" s="185"/>
      <c r="L2393"/>
      <c r="M2393"/>
      <c r="N2393"/>
      <c r="O2393"/>
      <c r="P2393"/>
      <c r="Q2393"/>
    </row>
    <row r="2394" spans="9:17" s="1" customFormat="1">
      <c r="I2394" s="185"/>
      <c r="J2394" s="185"/>
      <c r="K2394" s="185"/>
      <c r="L2394"/>
      <c r="M2394"/>
      <c r="N2394"/>
      <c r="O2394"/>
      <c r="P2394"/>
      <c r="Q2394"/>
    </row>
    <row r="2395" spans="9:17" s="1" customFormat="1">
      <c r="I2395" s="185"/>
      <c r="J2395" s="185"/>
      <c r="K2395" s="185"/>
      <c r="L2395"/>
      <c r="M2395"/>
      <c r="N2395"/>
      <c r="O2395"/>
      <c r="P2395"/>
      <c r="Q2395"/>
    </row>
    <row r="2396" spans="9:17" s="1" customFormat="1">
      <c r="I2396" s="185"/>
      <c r="J2396" s="185"/>
      <c r="K2396" s="185"/>
      <c r="L2396"/>
      <c r="M2396"/>
      <c r="N2396"/>
      <c r="O2396"/>
      <c r="P2396"/>
      <c r="Q2396"/>
    </row>
    <row r="2397" spans="9:17" s="1" customFormat="1">
      <c r="I2397" s="185"/>
      <c r="J2397" s="185"/>
      <c r="K2397" s="185"/>
      <c r="L2397"/>
      <c r="M2397"/>
      <c r="N2397"/>
      <c r="O2397"/>
      <c r="P2397"/>
      <c r="Q2397"/>
    </row>
    <row r="2398" spans="9:17" s="1" customFormat="1">
      <c r="I2398" s="185"/>
      <c r="J2398" s="185"/>
      <c r="K2398" s="185"/>
      <c r="L2398"/>
      <c r="M2398"/>
      <c r="N2398"/>
      <c r="O2398"/>
      <c r="P2398"/>
      <c r="Q2398"/>
    </row>
    <row r="2399" spans="9:17" s="1" customFormat="1">
      <c r="I2399" s="185"/>
      <c r="J2399" s="185"/>
      <c r="K2399" s="185"/>
      <c r="L2399"/>
      <c r="M2399"/>
      <c r="N2399"/>
      <c r="O2399"/>
      <c r="P2399"/>
      <c r="Q2399"/>
    </row>
    <row r="2400" spans="9:17" s="1" customFormat="1">
      <c r="I2400" s="185"/>
      <c r="J2400" s="185"/>
      <c r="K2400" s="185"/>
      <c r="L2400"/>
      <c r="M2400"/>
      <c r="N2400"/>
      <c r="O2400"/>
      <c r="P2400"/>
      <c r="Q2400"/>
    </row>
    <row r="2401" spans="9:17" s="1" customFormat="1">
      <c r="I2401" s="185"/>
      <c r="J2401" s="185"/>
      <c r="K2401" s="185"/>
      <c r="L2401"/>
      <c r="M2401"/>
      <c r="N2401"/>
      <c r="O2401"/>
      <c r="P2401"/>
      <c r="Q2401"/>
    </row>
    <row r="2402" spans="9:17" s="1" customFormat="1">
      <c r="I2402" s="185"/>
      <c r="J2402" s="185"/>
      <c r="K2402" s="185"/>
      <c r="L2402"/>
      <c r="M2402"/>
      <c r="N2402"/>
      <c r="O2402"/>
      <c r="P2402"/>
      <c r="Q2402"/>
    </row>
    <row r="2403" spans="9:17" s="1" customFormat="1">
      <c r="I2403" s="185"/>
      <c r="J2403" s="185"/>
      <c r="K2403" s="185"/>
      <c r="L2403"/>
      <c r="M2403"/>
      <c r="N2403"/>
      <c r="O2403"/>
      <c r="P2403"/>
      <c r="Q2403"/>
    </row>
    <row r="2404" spans="9:17" s="1" customFormat="1">
      <c r="I2404" s="185"/>
      <c r="J2404" s="185"/>
      <c r="K2404" s="185"/>
      <c r="L2404"/>
      <c r="M2404"/>
      <c r="N2404"/>
      <c r="O2404"/>
      <c r="P2404"/>
      <c r="Q2404"/>
    </row>
    <row r="2405" spans="9:17" s="1" customFormat="1">
      <c r="I2405" s="185"/>
      <c r="J2405" s="185"/>
      <c r="K2405" s="185"/>
      <c r="L2405"/>
      <c r="M2405"/>
      <c r="N2405"/>
      <c r="O2405"/>
      <c r="P2405"/>
      <c r="Q2405"/>
    </row>
    <row r="2406" spans="9:17" s="1" customFormat="1">
      <c r="I2406" s="185"/>
      <c r="J2406" s="185"/>
      <c r="K2406" s="185"/>
      <c r="L2406"/>
      <c r="M2406"/>
      <c r="N2406"/>
      <c r="O2406"/>
      <c r="P2406"/>
      <c r="Q2406"/>
    </row>
    <row r="2407" spans="9:17" s="1" customFormat="1">
      <c r="I2407" s="185"/>
      <c r="J2407" s="185"/>
      <c r="K2407" s="185"/>
      <c r="L2407"/>
      <c r="M2407"/>
      <c r="N2407"/>
      <c r="O2407"/>
      <c r="P2407"/>
      <c r="Q2407"/>
    </row>
    <row r="2408" spans="9:17" s="1" customFormat="1">
      <c r="I2408" s="185"/>
      <c r="J2408" s="185"/>
      <c r="K2408" s="185"/>
      <c r="L2408"/>
      <c r="M2408"/>
      <c r="N2408"/>
      <c r="O2408"/>
      <c r="P2408"/>
      <c r="Q2408"/>
    </row>
    <row r="2409" spans="9:17" s="1" customFormat="1">
      <c r="I2409" s="185"/>
      <c r="J2409" s="185"/>
      <c r="K2409" s="185"/>
      <c r="L2409"/>
      <c r="M2409"/>
      <c r="N2409"/>
      <c r="O2409"/>
      <c r="P2409"/>
      <c r="Q2409"/>
    </row>
    <row r="2410" spans="9:17" s="1" customFormat="1">
      <c r="I2410" s="185"/>
      <c r="J2410" s="185"/>
      <c r="K2410" s="185"/>
      <c r="L2410"/>
      <c r="M2410"/>
      <c r="N2410"/>
      <c r="O2410"/>
      <c r="P2410"/>
      <c r="Q2410"/>
    </row>
    <row r="2411" spans="9:17" s="1" customFormat="1">
      <c r="I2411" s="185"/>
      <c r="J2411" s="185"/>
      <c r="K2411" s="185"/>
      <c r="L2411"/>
      <c r="M2411"/>
      <c r="N2411"/>
      <c r="O2411"/>
      <c r="P2411"/>
      <c r="Q2411"/>
    </row>
    <row r="2412" spans="9:17" s="1" customFormat="1">
      <c r="I2412" s="185"/>
      <c r="J2412" s="185"/>
      <c r="K2412" s="185"/>
      <c r="L2412"/>
      <c r="M2412"/>
      <c r="N2412"/>
      <c r="O2412"/>
      <c r="P2412"/>
      <c r="Q2412"/>
    </row>
    <row r="2413" spans="9:17" s="1" customFormat="1">
      <c r="I2413" s="185"/>
      <c r="J2413" s="185"/>
      <c r="K2413" s="185"/>
      <c r="L2413"/>
      <c r="M2413"/>
      <c r="N2413"/>
      <c r="O2413"/>
      <c r="P2413"/>
      <c r="Q2413"/>
    </row>
    <row r="2414" spans="9:17" s="1" customFormat="1">
      <c r="I2414" s="185"/>
      <c r="J2414" s="185"/>
      <c r="K2414" s="185"/>
      <c r="L2414"/>
      <c r="M2414"/>
      <c r="N2414"/>
      <c r="O2414"/>
      <c r="P2414"/>
      <c r="Q2414"/>
    </row>
    <row r="2415" spans="9:17" s="1" customFormat="1">
      <c r="I2415" s="185"/>
      <c r="J2415" s="185"/>
      <c r="K2415" s="185"/>
      <c r="L2415"/>
      <c r="M2415"/>
      <c r="N2415"/>
      <c r="O2415"/>
      <c r="P2415"/>
      <c r="Q2415"/>
    </row>
    <row r="2416" spans="9:17" s="1" customFormat="1">
      <c r="I2416" s="185"/>
      <c r="J2416" s="185"/>
      <c r="K2416" s="185"/>
      <c r="L2416"/>
      <c r="M2416"/>
      <c r="N2416"/>
      <c r="O2416"/>
      <c r="P2416"/>
      <c r="Q2416"/>
    </row>
    <row r="2417" spans="9:17" s="1" customFormat="1">
      <c r="I2417" s="185"/>
      <c r="J2417" s="185"/>
      <c r="K2417" s="185"/>
      <c r="L2417"/>
      <c r="M2417"/>
      <c r="N2417"/>
      <c r="O2417"/>
      <c r="P2417"/>
      <c r="Q2417"/>
    </row>
    <row r="2418" spans="9:17" s="1" customFormat="1">
      <c r="I2418" s="185"/>
      <c r="J2418" s="185"/>
      <c r="K2418" s="185"/>
      <c r="L2418"/>
      <c r="M2418"/>
      <c r="N2418"/>
      <c r="O2418"/>
      <c r="P2418"/>
      <c r="Q2418"/>
    </row>
    <row r="2419" spans="9:17" s="1" customFormat="1">
      <c r="I2419" s="185"/>
      <c r="J2419" s="185"/>
      <c r="K2419" s="185"/>
      <c r="L2419"/>
      <c r="M2419"/>
      <c r="N2419"/>
      <c r="O2419"/>
      <c r="P2419"/>
      <c r="Q2419"/>
    </row>
    <row r="2420" spans="9:17" s="1" customFormat="1">
      <c r="I2420" s="185"/>
      <c r="J2420" s="185"/>
      <c r="K2420" s="185"/>
      <c r="L2420"/>
      <c r="M2420"/>
      <c r="N2420"/>
      <c r="O2420"/>
      <c r="P2420"/>
      <c r="Q2420"/>
    </row>
    <row r="2421" spans="9:17" s="1" customFormat="1">
      <c r="I2421" s="185"/>
      <c r="J2421" s="185"/>
      <c r="K2421" s="185"/>
      <c r="L2421"/>
      <c r="M2421"/>
      <c r="N2421"/>
      <c r="O2421"/>
      <c r="P2421"/>
      <c r="Q2421"/>
    </row>
    <row r="2422" spans="9:17" s="1" customFormat="1">
      <c r="I2422" s="185"/>
      <c r="J2422" s="185"/>
      <c r="K2422" s="185"/>
      <c r="L2422"/>
      <c r="M2422"/>
      <c r="N2422"/>
      <c r="O2422"/>
      <c r="P2422"/>
      <c r="Q2422"/>
    </row>
    <row r="2423" spans="9:17" s="1" customFormat="1">
      <c r="I2423" s="185"/>
      <c r="J2423" s="185"/>
      <c r="K2423" s="185"/>
      <c r="L2423"/>
      <c r="M2423"/>
      <c r="N2423"/>
      <c r="O2423"/>
      <c r="P2423"/>
      <c r="Q2423"/>
    </row>
    <row r="2424" spans="9:17" s="1" customFormat="1">
      <c r="I2424" s="185"/>
      <c r="J2424" s="185"/>
      <c r="K2424" s="185"/>
      <c r="L2424"/>
      <c r="M2424"/>
      <c r="N2424"/>
      <c r="O2424"/>
      <c r="P2424"/>
      <c r="Q2424"/>
    </row>
    <row r="2425" spans="9:17" s="1" customFormat="1">
      <c r="I2425" s="185"/>
      <c r="J2425" s="185"/>
      <c r="K2425" s="185"/>
      <c r="L2425"/>
      <c r="M2425"/>
      <c r="N2425"/>
      <c r="O2425"/>
      <c r="P2425"/>
      <c r="Q2425"/>
    </row>
    <row r="2426" spans="9:17" s="1" customFormat="1">
      <c r="I2426" s="185"/>
      <c r="J2426" s="185"/>
      <c r="K2426" s="185"/>
      <c r="L2426"/>
      <c r="M2426"/>
      <c r="N2426"/>
      <c r="O2426"/>
      <c r="P2426"/>
      <c r="Q2426"/>
    </row>
    <row r="2427" spans="9:17" s="1" customFormat="1">
      <c r="I2427" s="185"/>
      <c r="J2427" s="185"/>
      <c r="K2427" s="185"/>
      <c r="L2427"/>
      <c r="M2427"/>
      <c r="N2427"/>
      <c r="O2427"/>
      <c r="P2427"/>
      <c r="Q2427"/>
    </row>
    <row r="2428" spans="9:17" s="1" customFormat="1">
      <c r="I2428" s="185"/>
      <c r="J2428" s="185"/>
      <c r="K2428" s="185"/>
      <c r="L2428"/>
      <c r="M2428"/>
      <c r="N2428"/>
      <c r="O2428"/>
      <c r="P2428"/>
      <c r="Q2428"/>
    </row>
    <row r="2429" spans="9:17" s="1" customFormat="1">
      <c r="I2429" s="185"/>
      <c r="J2429" s="185"/>
      <c r="K2429" s="185"/>
      <c r="L2429"/>
      <c r="M2429"/>
      <c r="N2429"/>
      <c r="O2429"/>
      <c r="P2429"/>
      <c r="Q2429"/>
    </row>
    <row r="2430" spans="9:17" s="1" customFormat="1">
      <c r="I2430" s="185"/>
      <c r="J2430" s="185"/>
      <c r="K2430" s="185"/>
      <c r="L2430"/>
      <c r="M2430"/>
      <c r="N2430"/>
      <c r="O2430"/>
      <c r="P2430"/>
      <c r="Q2430"/>
    </row>
    <row r="2431" spans="9:17" s="1" customFormat="1">
      <c r="I2431" s="185"/>
      <c r="J2431" s="185"/>
      <c r="K2431" s="185"/>
      <c r="L2431"/>
      <c r="M2431"/>
      <c r="N2431"/>
      <c r="O2431"/>
      <c r="P2431"/>
      <c r="Q2431"/>
    </row>
    <row r="2432" spans="9:17" s="1" customFormat="1">
      <c r="I2432" s="185"/>
      <c r="J2432" s="185"/>
      <c r="K2432" s="185"/>
      <c r="L2432"/>
      <c r="M2432"/>
      <c r="N2432"/>
      <c r="O2432"/>
      <c r="P2432"/>
      <c r="Q2432"/>
    </row>
    <row r="2433" spans="9:17" s="1" customFormat="1">
      <c r="I2433" s="185"/>
      <c r="J2433" s="185"/>
      <c r="K2433" s="185"/>
      <c r="L2433"/>
      <c r="M2433"/>
      <c r="N2433"/>
      <c r="O2433"/>
      <c r="P2433"/>
      <c r="Q2433"/>
    </row>
    <row r="2434" spans="9:17" s="1" customFormat="1">
      <c r="I2434" s="185"/>
      <c r="J2434" s="185"/>
      <c r="K2434" s="185"/>
      <c r="L2434"/>
      <c r="M2434"/>
      <c r="N2434"/>
      <c r="O2434"/>
      <c r="P2434"/>
      <c r="Q2434"/>
    </row>
    <row r="2435" spans="9:17" s="1" customFormat="1">
      <c r="I2435" s="185"/>
      <c r="J2435" s="185"/>
      <c r="K2435" s="185"/>
      <c r="L2435"/>
      <c r="M2435"/>
      <c r="N2435"/>
      <c r="O2435"/>
      <c r="P2435"/>
      <c r="Q2435"/>
    </row>
    <row r="2436" spans="9:17" s="1" customFormat="1">
      <c r="I2436" s="185"/>
      <c r="J2436" s="185"/>
      <c r="K2436" s="185"/>
      <c r="L2436"/>
      <c r="M2436"/>
      <c r="N2436"/>
      <c r="O2436"/>
      <c r="P2436"/>
      <c r="Q2436"/>
    </row>
    <row r="2437" spans="9:17" s="1" customFormat="1">
      <c r="I2437" s="185"/>
      <c r="J2437" s="185"/>
      <c r="K2437" s="185"/>
      <c r="L2437"/>
      <c r="M2437"/>
      <c r="N2437"/>
      <c r="O2437"/>
      <c r="P2437"/>
      <c r="Q2437"/>
    </row>
    <row r="2438" spans="9:17" s="1" customFormat="1">
      <c r="I2438" s="185"/>
      <c r="J2438" s="185"/>
      <c r="K2438" s="185"/>
      <c r="L2438"/>
      <c r="M2438"/>
      <c r="N2438"/>
      <c r="O2438"/>
      <c r="P2438"/>
      <c r="Q2438"/>
    </row>
    <row r="2439" spans="9:17" s="1" customFormat="1">
      <c r="I2439" s="185"/>
      <c r="J2439" s="185"/>
      <c r="K2439" s="185"/>
      <c r="L2439"/>
      <c r="M2439"/>
      <c r="N2439"/>
      <c r="O2439"/>
      <c r="P2439"/>
      <c r="Q2439"/>
    </row>
    <row r="2440" spans="9:17" s="1" customFormat="1">
      <c r="I2440" s="185"/>
      <c r="J2440" s="185"/>
      <c r="K2440" s="185"/>
      <c r="L2440"/>
      <c r="M2440"/>
      <c r="N2440"/>
      <c r="O2440"/>
      <c r="P2440"/>
      <c r="Q2440"/>
    </row>
    <row r="2441" spans="9:17" s="1" customFormat="1">
      <c r="I2441" s="185"/>
      <c r="J2441" s="185"/>
      <c r="K2441" s="185"/>
      <c r="L2441"/>
      <c r="M2441"/>
      <c r="N2441"/>
      <c r="O2441"/>
      <c r="P2441"/>
      <c r="Q2441"/>
    </row>
    <row r="2442" spans="9:17" s="1" customFormat="1">
      <c r="I2442" s="185"/>
      <c r="J2442" s="185"/>
      <c r="K2442" s="185"/>
      <c r="L2442"/>
      <c r="M2442"/>
      <c r="N2442"/>
      <c r="O2442"/>
      <c r="P2442"/>
      <c r="Q2442"/>
    </row>
    <row r="2443" spans="9:17" s="1" customFormat="1">
      <c r="I2443" s="185"/>
      <c r="J2443" s="185"/>
      <c r="K2443" s="185"/>
      <c r="L2443"/>
      <c r="M2443"/>
      <c r="N2443"/>
      <c r="O2443"/>
      <c r="P2443"/>
      <c r="Q2443"/>
    </row>
    <row r="2444" spans="9:17" s="1" customFormat="1">
      <c r="I2444" s="185"/>
      <c r="J2444" s="185"/>
      <c r="K2444" s="185"/>
      <c r="L2444"/>
      <c r="M2444"/>
      <c r="N2444"/>
      <c r="O2444"/>
      <c r="P2444"/>
      <c r="Q2444"/>
    </row>
    <row r="2445" spans="9:17" s="1" customFormat="1">
      <c r="I2445" s="185"/>
      <c r="J2445" s="185"/>
      <c r="K2445" s="185"/>
      <c r="L2445"/>
      <c r="M2445"/>
      <c r="N2445"/>
      <c r="O2445"/>
      <c r="P2445"/>
      <c r="Q2445"/>
    </row>
    <row r="2446" spans="9:17" s="1" customFormat="1">
      <c r="I2446" s="185"/>
      <c r="J2446" s="185"/>
      <c r="K2446" s="185"/>
      <c r="L2446"/>
      <c r="M2446"/>
      <c r="N2446"/>
      <c r="O2446"/>
      <c r="P2446"/>
      <c r="Q2446"/>
    </row>
    <row r="2447" spans="9:17" s="1" customFormat="1">
      <c r="I2447" s="185"/>
      <c r="J2447" s="185"/>
      <c r="K2447" s="185"/>
      <c r="L2447"/>
      <c r="M2447"/>
      <c r="N2447"/>
      <c r="O2447"/>
      <c r="P2447"/>
      <c r="Q2447"/>
    </row>
    <row r="2448" spans="9:17" s="1" customFormat="1">
      <c r="I2448" s="185"/>
      <c r="J2448" s="185"/>
      <c r="K2448" s="185"/>
      <c r="L2448"/>
      <c r="M2448"/>
      <c r="N2448"/>
      <c r="O2448"/>
      <c r="P2448"/>
      <c r="Q2448"/>
    </row>
    <row r="2449" spans="9:17" s="1" customFormat="1">
      <c r="I2449" s="185"/>
      <c r="J2449" s="185"/>
      <c r="K2449" s="185"/>
      <c r="L2449"/>
      <c r="M2449"/>
      <c r="N2449"/>
      <c r="O2449"/>
      <c r="P2449"/>
      <c r="Q2449"/>
    </row>
    <row r="2450" spans="9:17" s="1" customFormat="1">
      <c r="I2450" s="185"/>
      <c r="J2450" s="185"/>
      <c r="K2450" s="185"/>
      <c r="L2450"/>
      <c r="M2450"/>
      <c r="N2450"/>
      <c r="O2450"/>
      <c r="P2450"/>
      <c r="Q2450"/>
    </row>
    <row r="2451" spans="9:17" s="1" customFormat="1">
      <c r="I2451" s="185"/>
      <c r="J2451" s="185"/>
      <c r="K2451" s="185"/>
      <c r="L2451"/>
      <c r="M2451"/>
      <c r="N2451"/>
      <c r="O2451"/>
      <c r="P2451"/>
      <c r="Q2451"/>
    </row>
    <row r="2452" spans="9:17" s="1" customFormat="1">
      <c r="I2452" s="185"/>
      <c r="J2452" s="185"/>
      <c r="K2452" s="185"/>
      <c r="L2452"/>
      <c r="M2452"/>
      <c r="N2452"/>
      <c r="O2452"/>
      <c r="P2452"/>
      <c r="Q2452"/>
    </row>
    <row r="2453" spans="9:17" s="1" customFormat="1">
      <c r="I2453" s="185"/>
      <c r="J2453" s="185"/>
      <c r="K2453" s="185"/>
      <c r="L2453"/>
      <c r="M2453"/>
      <c r="N2453"/>
      <c r="O2453"/>
      <c r="P2453"/>
      <c r="Q2453"/>
    </row>
    <row r="2454" spans="9:17" s="1" customFormat="1">
      <c r="I2454" s="185"/>
      <c r="J2454" s="185"/>
      <c r="K2454" s="185"/>
      <c r="L2454"/>
      <c r="M2454"/>
      <c r="N2454"/>
      <c r="O2454"/>
      <c r="P2454"/>
      <c r="Q2454"/>
    </row>
    <row r="2455" spans="9:17" s="1" customFormat="1">
      <c r="I2455" s="185"/>
      <c r="J2455" s="185"/>
      <c r="K2455" s="185"/>
      <c r="L2455"/>
      <c r="M2455"/>
      <c r="N2455"/>
      <c r="O2455"/>
      <c r="P2455"/>
      <c r="Q2455"/>
    </row>
    <row r="2456" spans="9:17" s="1" customFormat="1">
      <c r="I2456" s="185"/>
      <c r="J2456" s="185"/>
      <c r="K2456" s="185"/>
      <c r="L2456"/>
      <c r="M2456"/>
      <c r="N2456"/>
      <c r="O2456"/>
      <c r="P2456"/>
      <c r="Q2456"/>
    </row>
    <row r="2457" spans="9:17" s="1" customFormat="1">
      <c r="I2457" s="185"/>
      <c r="J2457" s="185"/>
      <c r="K2457" s="185"/>
      <c r="L2457"/>
      <c r="M2457"/>
      <c r="N2457"/>
      <c r="O2457"/>
      <c r="P2457"/>
      <c r="Q2457"/>
    </row>
    <row r="2458" spans="9:17" s="1" customFormat="1">
      <c r="I2458" s="185"/>
      <c r="J2458" s="185"/>
      <c r="K2458" s="185"/>
      <c r="L2458"/>
      <c r="M2458"/>
      <c r="N2458"/>
      <c r="O2458"/>
      <c r="P2458"/>
      <c r="Q2458"/>
    </row>
    <row r="2459" spans="9:17" s="1" customFormat="1">
      <c r="I2459" s="185"/>
      <c r="J2459" s="185"/>
      <c r="K2459" s="185"/>
      <c r="L2459"/>
      <c r="M2459"/>
      <c r="N2459"/>
      <c r="O2459"/>
      <c r="P2459"/>
      <c r="Q2459"/>
    </row>
    <row r="2460" spans="9:17" s="1" customFormat="1">
      <c r="I2460" s="185"/>
      <c r="J2460" s="185"/>
      <c r="K2460" s="185"/>
      <c r="L2460"/>
      <c r="M2460"/>
      <c r="N2460"/>
      <c r="O2460"/>
      <c r="P2460"/>
      <c r="Q2460"/>
    </row>
    <row r="2461" spans="9:17" s="1" customFormat="1">
      <c r="I2461" s="185"/>
      <c r="J2461" s="185"/>
      <c r="K2461" s="185"/>
      <c r="L2461"/>
      <c r="M2461"/>
      <c r="N2461"/>
      <c r="O2461"/>
      <c r="P2461"/>
      <c r="Q2461"/>
    </row>
    <row r="2462" spans="9:17" s="1" customFormat="1">
      <c r="I2462" s="185"/>
      <c r="J2462" s="185"/>
      <c r="K2462" s="185"/>
      <c r="L2462"/>
      <c r="M2462"/>
      <c r="N2462"/>
      <c r="O2462"/>
      <c r="P2462"/>
      <c r="Q2462"/>
    </row>
    <row r="2463" spans="9:17" s="1" customFormat="1">
      <c r="I2463" s="185"/>
      <c r="J2463" s="185"/>
      <c r="K2463" s="185"/>
      <c r="L2463"/>
      <c r="M2463"/>
      <c r="N2463"/>
      <c r="O2463"/>
      <c r="P2463"/>
      <c r="Q2463"/>
    </row>
    <row r="2464" spans="9:17" s="1" customFormat="1">
      <c r="I2464" s="185"/>
      <c r="J2464" s="185"/>
      <c r="K2464" s="185"/>
      <c r="L2464"/>
      <c r="M2464"/>
      <c r="N2464"/>
      <c r="O2464"/>
      <c r="P2464"/>
      <c r="Q2464"/>
    </row>
    <row r="2465" spans="9:17" s="1" customFormat="1">
      <c r="I2465" s="185"/>
      <c r="J2465" s="185"/>
      <c r="K2465" s="185"/>
      <c r="L2465"/>
      <c r="M2465"/>
      <c r="N2465"/>
      <c r="O2465"/>
      <c r="P2465"/>
      <c r="Q2465"/>
    </row>
    <row r="2466" spans="9:17" s="1" customFormat="1">
      <c r="I2466" s="185"/>
      <c r="J2466" s="185"/>
      <c r="K2466" s="185"/>
      <c r="L2466"/>
      <c r="M2466"/>
      <c r="N2466"/>
      <c r="O2466"/>
      <c r="P2466"/>
      <c r="Q2466"/>
    </row>
    <row r="2467" spans="9:17" s="1" customFormat="1">
      <c r="I2467" s="185"/>
      <c r="J2467" s="185"/>
      <c r="K2467" s="185"/>
      <c r="L2467"/>
      <c r="M2467"/>
      <c r="N2467"/>
      <c r="O2467"/>
      <c r="P2467"/>
      <c r="Q2467"/>
    </row>
    <row r="2468" spans="9:17" s="1" customFormat="1">
      <c r="I2468" s="185"/>
      <c r="J2468" s="185"/>
      <c r="K2468" s="185"/>
      <c r="L2468"/>
      <c r="M2468"/>
      <c r="N2468"/>
      <c r="O2468"/>
      <c r="P2468"/>
      <c r="Q2468"/>
    </row>
    <row r="2469" spans="9:17" s="1" customFormat="1">
      <c r="I2469" s="185"/>
      <c r="J2469" s="185"/>
      <c r="K2469" s="185"/>
      <c r="L2469"/>
      <c r="M2469"/>
      <c r="N2469"/>
      <c r="O2469"/>
      <c r="P2469"/>
      <c r="Q2469"/>
    </row>
    <row r="2470" spans="9:17" s="1" customFormat="1">
      <c r="I2470" s="185"/>
      <c r="J2470" s="185"/>
      <c r="K2470" s="185"/>
      <c r="L2470"/>
      <c r="M2470"/>
      <c r="N2470"/>
      <c r="O2470"/>
      <c r="P2470"/>
      <c r="Q2470"/>
    </row>
    <row r="2471" spans="9:17" s="1" customFormat="1">
      <c r="I2471" s="185"/>
      <c r="J2471" s="185"/>
      <c r="K2471" s="185"/>
      <c r="L2471"/>
      <c r="M2471"/>
      <c r="N2471"/>
      <c r="O2471"/>
      <c r="P2471"/>
      <c r="Q2471"/>
    </row>
    <row r="2472" spans="9:17" s="1" customFormat="1">
      <c r="I2472" s="185"/>
      <c r="J2472" s="185"/>
      <c r="K2472" s="185"/>
      <c r="L2472"/>
      <c r="M2472"/>
      <c r="N2472"/>
      <c r="O2472"/>
      <c r="P2472"/>
      <c r="Q2472"/>
    </row>
    <row r="2473" spans="9:17" s="1" customFormat="1">
      <c r="I2473" s="185"/>
      <c r="J2473" s="185"/>
      <c r="K2473" s="185"/>
      <c r="L2473"/>
      <c r="M2473"/>
      <c r="N2473"/>
      <c r="O2473"/>
      <c r="P2473"/>
      <c r="Q2473"/>
    </row>
    <row r="2474" spans="9:17" s="1" customFormat="1">
      <c r="I2474" s="185"/>
      <c r="J2474" s="185"/>
      <c r="K2474" s="185"/>
      <c r="L2474"/>
      <c r="M2474"/>
      <c r="N2474"/>
      <c r="O2474"/>
      <c r="P2474"/>
      <c r="Q2474"/>
    </row>
    <row r="2475" spans="9:17" s="1" customFormat="1">
      <c r="I2475" s="185"/>
      <c r="J2475" s="185"/>
      <c r="K2475" s="185"/>
      <c r="L2475"/>
      <c r="M2475"/>
      <c r="N2475"/>
      <c r="O2475"/>
      <c r="P2475"/>
      <c r="Q2475"/>
    </row>
    <row r="2476" spans="9:17" s="1" customFormat="1">
      <c r="I2476" s="185"/>
      <c r="J2476" s="185"/>
      <c r="K2476" s="185"/>
      <c r="L2476"/>
      <c r="M2476"/>
      <c r="N2476"/>
      <c r="O2476"/>
      <c r="P2476"/>
      <c r="Q2476"/>
    </row>
    <row r="2477" spans="9:17" s="1" customFormat="1">
      <c r="I2477" s="185"/>
      <c r="J2477" s="185"/>
      <c r="K2477" s="185"/>
      <c r="L2477"/>
      <c r="M2477"/>
      <c r="N2477"/>
      <c r="O2477"/>
      <c r="P2477"/>
      <c r="Q2477"/>
    </row>
    <row r="2478" spans="9:17" s="1" customFormat="1">
      <c r="I2478" s="185"/>
      <c r="J2478" s="185"/>
      <c r="K2478" s="185"/>
      <c r="L2478"/>
      <c r="M2478"/>
      <c r="N2478"/>
      <c r="O2478"/>
      <c r="P2478"/>
      <c r="Q2478"/>
    </row>
    <row r="2479" spans="9:17" s="1" customFormat="1">
      <c r="I2479" s="185"/>
      <c r="J2479" s="185"/>
      <c r="K2479" s="185"/>
      <c r="L2479"/>
      <c r="M2479"/>
      <c r="N2479"/>
      <c r="O2479"/>
      <c r="P2479"/>
      <c r="Q2479"/>
    </row>
    <row r="2480" spans="9:17" s="1" customFormat="1">
      <c r="I2480" s="185"/>
      <c r="J2480" s="185"/>
      <c r="K2480" s="185"/>
      <c r="L2480"/>
      <c r="M2480"/>
      <c r="N2480"/>
      <c r="O2480"/>
      <c r="P2480"/>
      <c r="Q2480"/>
    </row>
    <row r="2481" spans="9:17" s="1" customFormat="1">
      <c r="I2481" s="185"/>
      <c r="J2481" s="185"/>
      <c r="K2481" s="185"/>
      <c r="L2481"/>
      <c r="M2481"/>
      <c r="N2481"/>
      <c r="O2481"/>
      <c r="P2481"/>
      <c r="Q2481"/>
    </row>
    <row r="2482" spans="9:17" s="1" customFormat="1">
      <c r="I2482" s="185"/>
      <c r="J2482" s="185"/>
      <c r="K2482" s="185"/>
      <c r="L2482"/>
      <c r="M2482"/>
      <c r="N2482"/>
      <c r="O2482"/>
      <c r="P2482"/>
      <c r="Q2482"/>
    </row>
    <row r="2483" spans="9:17" s="1" customFormat="1">
      <c r="I2483" s="185"/>
      <c r="J2483" s="185"/>
      <c r="K2483" s="185"/>
      <c r="L2483"/>
      <c r="M2483"/>
      <c r="N2483"/>
      <c r="O2483"/>
      <c r="P2483"/>
      <c r="Q2483"/>
    </row>
    <row r="2484" spans="9:17" s="1" customFormat="1">
      <c r="I2484" s="185"/>
      <c r="J2484" s="185"/>
      <c r="K2484" s="185"/>
      <c r="L2484"/>
      <c r="M2484"/>
      <c r="N2484"/>
      <c r="O2484"/>
      <c r="P2484"/>
      <c r="Q2484"/>
    </row>
    <row r="2485" spans="9:17" s="1" customFormat="1">
      <c r="I2485" s="185"/>
      <c r="J2485" s="185"/>
      <c r="K2485" s="185"/>
      <c r="L2485"/>
      <c r="M2485"/>
      <c r="N2485"/>
      <c r="O2485"/>
      <c r="P2485"/>
      <c r="Q2485"/>
    </row>
    <row r="2486" spans="9:17" s="1" customFormat="1">
      <c r="I2486" s="185"/>
      <c r="J2486" s="185"/>
      <c r="K2486" s="185"/>
      <c r="L2486"/>
      <c r="M2486"/>
      <c r="N2486"/>
      <c r="O2486"/>
      <c r="P2486"/>
      <c r="Q2486"/>
    </row>
    <row r="2487" spans="9:17" s="1" customFormat="1">
      <c r="I2487" s="185"/>
      <c r="J2487" s="185"/>
      <c r="K2487" s="185"/>
      <c r="L2487"/>
      <c r="M2487"/>
      <c r="N2487"/>
      <c r="O2487"/>
      <c r="P2487"/>
      <c r="Q2487"/>
    </row>
    <row r="2488" spans="9:17" s="1" customFormat="1">
      <c r="I2488" s="185"/>
      <c r="J2488" s="185"/>
      <c r="K2488" s="185"/>
      <c r="L2488"/>
      <c r="M2488"/>
      <c r="N2488"/>
      <c r="O2488"/>
      <c r="P2488"/>
      <c r="Q2488"/>
    </row>
    <row r="2489" spans="9:17" s="1" customFormat="1">
      <c r="I2489" s="185"/>
      <c r="J2489" s="185"/>
      <c r="K2489" s="185"/>
      <c r="L2489"/>
      <c r="M2489"/>
      <c r="N2489"/>
      <c r="O2489"/>
      <c r="P2489"/>
      <c r="Q2489"/>
    </row>
    <row r="2490" spans="9:17" s="1" customFormat="1">
      <c r="I2490" s="185"/>
      <c r="J2490" s="185"/>
      <c r="K2490" s="185"/>
      <c r="L2490"/>
      <c r="M2490"/>
      <c r="N2490"/>
      <c r="O2490"/>
      <c r="P2490"/>
      <c r="Q2490"/>
    </row>
    <row r="2491" spans="9:17" s="1" customFormat="1">
      <c r="I2491" s="185"/>
      <c r="J2491" s="185"/>
      <c r="K2491" s="185"/>
      <c r="L2491"/>
      <c r="M2491"/>
      <c r="N2491"/>
      <c r="O2491"/>
      <c r="P2491"/>
      <c r="Q2491"/>
    </row>
    <row r="2492" spans="9:17" s="1" customFormat="1">
      <c r="I2492" s="185"/>
      <c r="J2492" s="185"/>
      <c r="K2492" s="185"/>
      <c r="L2492"/>
      <c r="M2492"/>
      <c r="N2492"/>
      <c r="O2492"/>
      <c r="P2492"/>
      <c r="Q2492"/>
    </row>
    <row r="2493" spans="9:17" s="1" customFormat="1">
      <c r="I2493" s="185"/>
      <c r="J2493" s="185"/>
      <c r="K2493" s="185"/>
      <c r="L2493"/>
      <c r="M2493"/>
      <c r="N2493"/>
      <c r="O2493"/>
      <c r="P2493"/>
      <c r="Q2493"/>
    </row>
    <row r="2494" spans="9:17" s="1" customFormat="1">
      <c r="I2494" s="185"/>
      <c r="J2494" s="185"/>
      <c r="K2494" s="185"/>
      <c r="L2494"/>
      <c r="M2494"/>
      <c r="N2494"/>
      <c r="O2494"/>
      <c r="P2494"/>
      <c r="Q2494"/>
    </row>
    <row r="2495" spans="9:17" s="1" customFormat="1">
      <c r="I2495" s="185"/>
      <c r="J2495" s="185"/>
      <c r="K2495" s="185"/>
      <c r="L2495"/>
      <c r="M2495"/>
      <c r="N2495"/>
      <c r="O2495"/>
      <c r="P2495"/>
      <c r="Q2495"/>
    </row>
    <row r="2496" spans="9:17" s="1" customFormat="1">
      <c r="I2496" s="185"/>
      <c r="J2496" s="185"/>
      <c r="K2496" s="185"/>
      <c r="L2496"/>
      <c r="M2496"/>
      <c r="N2496"/>
      <c r="O2496"/>
      <c r="P2496"/>
      <c r="Q2496"/>
    </row>
    <row r="2497" spans="9:17" s="1" customFormat="1">
      <c r="I2497" s="185"/>
      <c r="J2497" s="185"/>
      <c r="K2497" s="185"/>
      <c r="L2497"/>
      <c r="M2497"/>
      <c r="N2497"/>
      <c r="O2497"/>
      <c r="P2497"/>
      <c r="Q2497"/>
    </row>
    <row r="2498" spans="9:17" s="1" customFormat="1">
      <c r="I2498" s="185"/>
      <c r="J2498" s="185"/>
      <c r="K2498" s="185"/>
      <c r="L2498"/>
      <c r="M2498"/>
      <c r="N2498"/>
      <c r="O2498"/>
      <c r="P2498"/>
      <c r="Q2498"/>
    </row>
    <row r="2499" spans="9:17" s="1" customFormat="1">
      <c r="I2499" s="185"/>
      <c r="J2499" s="185"/>
      <c r="K2499" s="185"/>
      <c r="L2499"/>
      <c r="M2499"/>
      <c r="N2499"/>
      <c r="O2499"/>
      <c r="P2499"/>
      <c r="Q2499"/>
    </row>
    <row r="2500" spans="9:17" s="1" customFormat="1">
      <c r="I2500" s="185"/>
      <c r="J2500" s="185"/>
      <c r="K2500" s="185"/>
      <c r="L2500"/>
      <c r="M2500"/>
      <c r="N2500"/>
      <c r="O2500"/>
      <c r="P2500"/>
      <c r="Q2500"/>
    </row>
    <row r="2501" spans="9:17" s="1" customFormat="1">
      <c r="I2501" s="185"/>
      <c r="J2501" s="185"/>
      <c r="K2501" s="185"/>
      <c r="L2501"/>
      <c r="M2501"/>
      <c r="N2501"/>
      <c r="O2501"/>
      <c r="P2501"/>
      <c r="Q2501"/>
    </row>
    <row r="2502" spans="9:17" s="1" customFormat="1">
      <c r="I2502" s="185"/>
      <c r="J2502" s="185"/>
      <c r="K2502" s="185"/>
      <c r="L2502"/>
      <c r="M2502"/>
      <c r="N2502"/>
      <c r="O2502"/>
      <c r="P2502"/>
      <c r="Q2502"/>
    </row>
    <row r="2503" spans="9:17" s="1" customFormat="1">
      <c r="I2503" s="185"/>
      <c r="J2503" s="185"/>
      <c r="K2503" s="185"/>
      <c r="L2503"/>
      <c r="M2503"/>
      <c r="N2503"/>
      <c r="O2503"/>
      <c r="P2503"/>
      <c r="Q2503"/>
    </row>
    <row r="2504" spans="9:17" s="1" customFormat="1">
      <c r="I2504" s="185"/>
      <c r="J2504" s="185"/>
      <c r="K2504" s="185"/>
      <c r="L2504"/>
      <c r="M2504"/>
      <c r="N2504"/>
      <c r="O2504"/>
      <c r="P2504"/>
      <c r="Q2504"/>
    </row>
    <row r="2505" spans="9:17" s="1" customFormat="1">
      <c r="I2505" s="185"/>
      <c r="J2505" s="185"/>
      <c r="K2505" s="185"/>
      <c r="L2505"/>
      <c r="M2505"/>
      <c r="N2505"/>
      <c r="O2505"/>
      <c r="P2505"/>
      <c r="Q2505"/>
    </row>
    <row r="2506" spans="9:17" s="1" customFormat="1">
      <c r="I2506" s="185"/>
      <c r="J2506" s="185"/>
      <c r="K2506" s="185"/>
      <c r="L2506"/>
      <c r="M2506"/>
      <c r="N2506"/>
      <c r="O2506"/>
      <c r="P2506"/>
      <c r="Q2506"/>
    </row>
    <row r="2507" spans="9:17" s="1" customFormat="1">
      <c r="I2507" s="185"/>
      <c r="J2507" s="185"/>
      <c r="K2507" s="185"/>
      <c r="L2507"/>
      <c r="M2507"/>
      <c r="N2507"/>
      <c r="O2507"/>
      <c r="P2507"/>
      <c r="Q2507"/>
    </row>
    <row r="2508" spans="9:17" s="1" customFormat="1">
      <c r="I2508" s="185"/>
      <c r="J2508" s="185"/>
      <c r="K2508" s="185"/>
      <c r="L2508"/>
      <c r="M2508"/>
      <c r="N2508"/>
      <c r="O2508"/>
      <c r="P2508"/>
      <c r="Q2508"/>
    </row>
    <row r="2509" spans="9:17" s="1" customFormat="1">
      <c r="I2509" s="185"/>
      <c r="J2509" s="185"/>
      <c r="K2509" s="185"/>
      <c r="L2509"/>
      <c r="M2509"/>
      <c r="N2509"/>
      <c r="O2509"/>
      <c r="P2509"/>
      <c r="Q2509"/>
    </row>
    <row r="2510" spans="9:17" s="1" customFormat="1">
      <c r="I2510" s="185"/>
      <c r="J2510" s="185"/>
      <c r="K2510" s="185"/>
      <c r="L2510"/>
      <c r="M2510"/>
      <c r="N2510"/>
      <c r="O2510"/>
      <c r="P2510"/>
      <c r="Q2510"/>
    </row>
    <row r="2511" spans="9:17" s="1" customFormat="1">
      <c r="I2511" s="185"/>
      <c r="J2511" s="185"/>
      <c r="K2511" s="185"/>
      <c r="L2511"/>
      <c r="M2511"/>
      <c r="N2511"/>
      <c r="O2511"/>
      <c r="P2511"/>
      <c r="Q2511"/>
    </row>
    <row r="2512" spans="9:17" s="1" customFormat="1">
      <c r="I2512" s="185"/>
      <c r="J2512" s="185"/>
      <c r="K2512" s="185"/>
      <c r="L2512"/>
      <c r="M2512"/>
      <c r="N2512"/>
      <c r="O2512"/>
      <c r="P2512"/>
      <c r="Q2512"/>
    </row>
    <row r="2513" spans="9:17" s="1" customFormat="1">
      <c r="I2513" s="185"/>
      <c r="J2513" s="185"/>
      <c r="K2513" s="185"/>
      <c r="L2513"/>
      <c r="M2513"/>
      <c r="N2513"/>
      <c r="O2513"/>
      <c r="P2513"/>
      <c r="Q2513"/>
    </row>
    <row r="2514" spans="9:17" s="1" customFormat="1">
      <c r="I2514" s="185"/>
      <c r="J2514" s="185"/>
      <c r="K2514" s="185"/>
      <c r="L2514"/>
      <c r="M2514"/>
      <c r="N2514"/>
      <c r="O2514"/>
      <c r="P2514"/>
      <c r="Q2514"/>
    </row>
    <row r="2515" spans="9:17" s="1" customFormat="1">
      <c r="I2515" s="185"/>
      <c r="J2515" s="185"/>
      <c r="K2515" s="185"/>
      <c r="L2515"/>
      <c r="M2515"/>
      <c r="N2515"/>
      <c r="O2515"/>
      <c r="P2515"/>
      <c r="Q2515"/>
    </row>
    <row r="2516" spans="9:17" s="1" customFormat="1">
      <c r="I2516" s="185"/>
      <c r="J2516" s="185"/>
      <c r="K2516" s="185"/>
      <c r="L2516"/>
      <c r="M2516"/>
      <c r="N2516"/>
      <c r="O2516"/>
      <c r="P2516"/>
      <c r="Q2516"/>
    </row>
    <row r="2517" spans="9:17" s="1" customFormat="1">
      <c r="I2517" s="185"/>
      <c r="J2517" s="185"/>
      <c r="K2517" s="185"/>
      <c r="L2517"/>
      <c r="M2517"/>
      <c r="N2517"/>
      <c r="O2517"/>
      <c r="P2517"/>
      <c r="Q2517"/>
    </row>
    <row r="2518" spans="9:17" s="1" customFormat="1">
      <c r="I2518" s="185"/>
      <c r="J2518" s="185"/>
      <c r="K2518" s="185"/>
      <c r="L2518"/>
      <c r="M2518"/>
      <c r="N2518"/>
      <c r="O2518"/>
      <c r="P2518"/>
      <c r="Q2518"/>
    </row>
    <row r="2519" spans="9:17" s="1" customFormat="1">
      <c r="I2519" s="185"/>
      <c r="J2519" s="185"/>
      <c r="K2519" s="185"/>
      <c r="L2519"/>
      <c r="M2519"/>
      <c r="N2519"/>
      <c r="O2519"/>
      <c r="P2519"/>
      <c r="Q2519"/>
    </row>
    <row r="2520" spans="9:17" s="1" customFormat="1">
      <c r="I2520" s="185"/>
      <c r="J2520" s="185"/>
      <c r="K2520" s="185"/>
      <c r="L2520"/>
      <c r="M2520"/>
      <c r="N2520"/>
      <c r="O2520"/>
      <c r="P2520"/>
      <c r="Q2520"/>
    </row>
    <row r="2521" spans="9:17" s="1" customFormat="1">
      <c r="I2521" s="185"/>
      <c r="J2521" s="185"/>
      <c r="K2521" s="185"/>
      <c r="L2521"/>
      <c r="M2521"/>
      <c r="N2521"/>
      <c r="O2521"/>
      <c r="P2521"/>
      <c r="Q2521"/>
    </row>
    <row r="2522" spans="9:17" s="1" customFormat="1">
      <c r="I2522" s="185"/>
      <c r="J2522" s="185"/>
      <c r="K2522" s="185"/>
      <c r="L2522"/>
      <c r="M2522"/>
      <c r="N2522"/>
      <c r="O2522"/>
      <c r="P2522"/>
      <c r="Q2522"/>
    </row>
    <row r="2523" spans="9:17" s="1" customFormat="1">
      <c r="I2523" s="185"/>
      <c r="J2523" s="185"/>
      <c r="K2523" s="185"/>
      <c r="L2523"/>
      <c r="M2523"/>
      <c r="N2523"/>
      <c r="O2523"/>
      <c r="P2523"/>
      <c r="Q2523"/>
    </row>
    <row r="2524" spans="9:17" s="1" customFormat="1">
      <c r="I2524" s="185"/>
      <c r="J2524" s="185"/>
      <c r="K2524" s="185"/>
      <c r="L2524"/>
      <c r="M2524"/>
      <c r="N2524"/>
      <c r="O2524"/>
      <c r="P2524"/>
      <c r="Q2524"/>
    </row>
    <row r="2525" spans="9:17" s="1" customFormat="1">
      <c r="I2525" s="185"/>
      <c r="J2525" s="185"/>
      <c r="K2525" s="185"/>
      <c r="L2525"/>
      <c r="M2525"/>
      <c r="N2525"/>
      <c r="O2525"/>
      <c r="P2525"/>
      <c r="Q2525"/>
    </row>
    <row r="2526" spans="9:17" s="1" customFormat="1">
      <c r="I2526" s="185"/>
      <c r="J2526" s="185"/>
      <c r="K2526" s="185"/>
      <c r="L2526"/>
      <c r="M2526"/>
      <c r="N2526"/>
      <c r="O2526"/>
      <c r="P2526"/>
      <c r="Q2526"/>
    </row>
    <row r="2527" spans="9:17" s="1" customFormat="1">
      <c r="I2527" s="185"/>
      <c r="J2527" s="185"/>
      <c r="K2527" s="185"/>
      <c r="L2527"/>
      <c r="M2527"/>
      <c r="N2527"/>
      <c r="O2527"/>
      <c r="P2527"/>
      <c r="Q2527"/>
    </row>
    <row r="2528" spans="9:17" s="1" customFormat="1">
      <c r="I2528" s="185"/>
      <c r="J2528" s="185"/>
      <c r="K2528" s="185"/>
      <c r="L2528"/>
      <c r="M2528"/>
      <c r="N2528"/>
      <c r="O2528"/>
      <c r="P2528"/>
      <c r="Q2528"/>
    </row>
    <row r="2529" spans="9:17" s="1" customFormat="1">
      <c r="I2529" s="185"/>
      <c r="J2529" s="185"/>
      <c r="K2529" s="185"/>
      <c r="L2529"/>
      <c r="M2529"/>
      <c r="N2529"/>
      <c r="O2529"/>
      <c r="P2529"/>
      <c r="Q2529"/>
    </row>
    <row r="2530" spans="9:17" s="1" customFormat="1">
      <c r="I2530" s="185"/>
      <c r="J2530" s="185"/>
      <c r="K2530" s="185"/>
      <c r="L2530"/>
      <c r="M2530"/>
      <c r="N2530"/>
      <c r="O2530"/>
      <c r="P2530"/>
      <c r="Q2530"/>
    </row>
    <row r="2531" spans="9:17" s="1" customFormat="1">
      <c r="I2531" s="185"/>
      <c r="J2531" s="185"/>
      <c r="K2531" s="185"/>
      <c r="L2531"/>
      <c r="M2531"/>
      <c r="N2531"/>
      <c r="O2531"/>
      <c r="P2531"/>
      <c r="Q2531"/>
    </row>
    <row r="2532" spans="9:17" s="1" customFormat="1">
      <c r="I2532" s="185"/>
      <c r="J2532" s="185"/>
      <c r="K2532" s="185"/>
      <c r="L2532"/>
      <c r="M2532"/>
      <c r="N2532"/>
      <c r="O2532"/>
      <c r="P2532"/>
      <c r="Q2532"/>
    </row>
    <row r="2533" spans="9:17" s="1" customFormat="1">
      <c r="I2533" s="185"/>
      <c r="J2533" s="185"/>
      <c r="K2533" s="185"/>
      <c r="L2533"/>
      <c r="M2533"/>
      <c r="N2533"/>
      <c r="O2533"/>
      <c r="P2533"/>
      <c r="Q2533"/>
    </row>
    <row r="2534" spans="9:17" s="1" customFormat="1">
      <c r="I2534" s="185"/>
      <c r="J2534" s="185"/>
      <c r="K2534" s="185"/>
      <c r="L2534"/>
      <c r="M2534"/>
      <c r="N2534"/>
      <c r="O2534"/>
      <c r="P2534"/>
      <c r="Q2534"/>
    </row>
    <row r="2535" spans="9:17" s="1" customFormat="1">
      <c r="I2535" s="185"/>
      <c r="J2535" s="185"/>
      <c r="K2535" s="185"/>
      <c r="L2535"/>
      <c r="M2535"/>
      <c r="N2535"/>
      <c r="O2535"/>
      <c r="P2535"/>
      <c r="Q2535"/>
    </row>
    <row r="2536" spans="9:17" s="1" customFormat="1">
      <c r="I2536" s="185"/>
      <c r="J2536" s="185"/>
      <c r="K2536" s="185"/>
      <c r="L2536"/>
      <c r="M2536"/>
      <c r="N2536"/>
      <c r="O2536"/>
      <c r="P2536"/>
      <c r="Q2536"/>
    </row>
    <row r="2537" spans="9:17" s="1" customFormat="1">
      <c r="I2537" s="185"/>
      <c r="J2537" s="185"/>
      <c r="K2537" s="185"/>
      <c r="L2537"/>
      <c r="M2537"/>
      <c r="N2537"/>
      <c r="O2537"/>
      <c r="P2537"/>
      <c r="Q2537"/>
    </row>
    <row r="2538" spans="9:17" s="1" customFormat="1">
      <c r="I2538" s="185"/>
      <c r="J2538" s="185"/>
      <c r="K2538" s="185"/>
      <c r="L2538"/>
      <c r="M2538"/>
      <c r="N2538"/>
      <c r="O2538"/>
      <c r="P2538"/>
      <c r="Q2538"/>
    </row>
    <row r="2539" spans="9:17" s="1" customFormat="1">
      <c r="I2539" s="185"/>
      <c r="J2539" s="185"/>
      <c r="K2539" s="185"/>
      <c r="L2539"/>
      <c r="M2539"/>
      <c r="N2539"/>
      <c r="O2539"/>
      <c r="P2539"/>
      <c r="Q2539"/>
    </row>
    <row r="2540" spans="9:17" s="1" customFormat="1">
      <c r="I2540" s="185"/>
      <c r="J2540" s="185"/>
      <c r="K2540" s="185"/>
      <c r="L2540"/>
      <c r="M2540"/>
      <c r="N2540"/>
      <c r="O2540"/>
      <c r="P2540"/>
      <c r="Q2540"/>
    </row>
    <row r="2541" spans="9:17" s="1" customFormat="1">
      <c r="I2541" s="185"/>
      <c r="J2541" s="185"/>
      <c r="K2541" s="185"/>
      <c r="L2541"/>
      <c r="M2541"/>
      <c r="N2541"/>
      <c r="O2541"/>
      <c r="P2541"/>
      <c r="Q2541"/>
    </row>
    <row r="2542" spans="9:17" s="1" customFormat="1">
      <c r="I2542" s="185"/>
      <c r="J2542" s="185"/>
      <c r="K2542" s="185"/>
      <c r="L2542"/>
      <c r="M2542"/>
      <c r="N2542"/>
      <c r="O2542"/>
      <c r="P2542"/>
      <c r="Q2542"/>
    </row>
    <row r="2543" spans="9:17" s="1" customFormat="1">
      <c r="I2543" s="185"/>
      <c r="J2543" s="185"/>
      <c r="K2543" s="185"/>
      <c r="L2543"/>
      <c r="M2543"/>
      <c r="N2543"/>
      <c r="O2543"/>
      <c r="P2543"/>
      <c r="Q2543"/>
    </row>
    <row r="2544" spans="9:17" s="1" customFormat="1">
      <c r="I2544" s="185"/>
      <c r="J2544" s="185"/>
      <c r="K2544" s="185"/>
      <c r="L2544"/>
      <c r="M2544"/>
      <c r="N2544"/>
      <c r="O2544"/>
      <c r="P2544"/>
      <c r="Q2544"/>
    </row>
    <row r="2545" spans="9:17" s="1" customFormat="1">
      <c r="I2545" s="185"/>
      <c r="J2545" s="185"/>
      <c r="K2545" s="185"/>
      <c r="L2545"/>
      <c r="M2545"/>
      <c r="N2545"/>
      <c r="O2545"/>
      <c r="P2545"/>
      <c r="Q2545"/>
    </row>
    <row r="2546" spans="9:17" s="1" customFormat="1">
      <c r="I2546" s="185"/>
      <c r="J2546" s="185"/>
      <c r="K2546" s="185"/>
      <c r="L2546"/>
      <c r="M2546"/>
      <c r="N2546"/>
      <c r="O2546"/>
      <c r="P2546"/>
      <c r="Q2546"/>
    </row>
    <row r="2547" spans="9:17" s="1" customFormat="1">
      <c r="I2547" s="185"/>
      <c r="J2547" s="185"/>
      <c r="K2547" s="185"/>
      <c r="L2547"/>
      <c r="M2547"/>
      <c r="N2547"/>
      <c r="O2547"/>
      <c r="P2547"/>
      <c r="Q2547"/>
    </row>
    <row r="2548" spans="9:17" s="1" customFormat="1">
      <c r="I2548" s="185"/>
      <c r="J2548" s="185"/>
      <c r="K2548" s="185"/>
      <c r="L2548"/>
      <c r="M2548"/>
      <c r="N2548"/>
      <c r="O2548"/>
      <c r="P2548"/>
      <c r="Q2548"/>
    </row>
    <row r="2549" spans="9:17" s="1" customFormat="1">
      <c r="I2549" s="185"/>
      <c r="J2549" s="185"/>
      <c r="K2549" s="185"/>
      <c r="L2549"/>
      <c r="M2549"/>
      <c r="N2549"/>
      <c r="O2549"/>
      <c r="P2549"/>
      <c r="Q2549"/>
    </row>
    <row r="2550" spans="9:17" s="1" customFormat="1">
      <c r="I2550" s="185"/>
      <c r="J2550" s="185"/>
      <c r="K2550" s="185"/>
      <c r="L2550"/>
      <c r="M2550"/>
      <c r="N2550"/>
      <c r="O2550"/>
      <c r="P2550"/>
      <c r="Q2550"/>
    </row>
    <row r="2551" spans="9:17" s="1" customFormat="1">
      <c r="I2551" s="185"/>
      <c r="J2551" s="185"/>
      <c r="K2551" s="185"/>
      <c r="L2551"/>
      <c r="M2551"/>
      <c r="N2551"/>
      <c r="O2551"/>
      <c r="P2551"/>
      <c r="Q2551"/>
    </row>
    <row r="2552" spans="9:17" s="1" customFormat="1">
      <c r="I2552" s="185"/>
      <c r="J2552" s="185"/>
      <c r="K2552" s="185"/>
      <c r="L2552"/>
      <c r="M2552"/>
      <c r="N2552"/>
      <c r="O2552"/>
      <c r="P2552"/>
      <c r="Q2552"/>
    </row>
    <row r="2553" spans="9:17" s="1" customFormat="1">
      <c r="I2553" s="185"/>
      <c r="J2553" s="185"/>
      <c r="K2553" s="185"/>
      <c r="L2553"/>
      <c r="M2553"/>
      <c r="N2553"/>
      <c r="O2553"/>
      <c r="P2553"/>
      <c r="Q2553"/>
    </row>
    <row r="2554" spans="9:17" s="1" customFormat="1">
      <c r="I2554" s="185"/>
      <c r="J2554" s="185"/>
      <c r="K2554" s="185"/>
      <c r="L2554"/>
      <c r="M2554"/>
      <c r="N2554"/>
      <c r="O2554"/>
      <c r="P2554"/>
      <c r="Q2554"/>
    </row>
    <row r="2555" spans="9:17" s="1" customFormat="1">
      <c r="I2555" s="185"/>
      <c r="J2555" s="185"/>
      <c r="K2555" s="185"/>
      <c r="L2555"/>
      <c r="M2555"/>
      <c r="N2555"/>
      <c r="O2555"/>
      <c r="P2555"/>
      <c r="Q2555"/>
    </row>
    <row r="2556" spans="9:17" s="1" customFormat="1">
      <c r="I2556" s="185"/>
      <c r="J2556" s="185"/>
      <c r="K2556" s="185"/>
      <c r="L2556"/>
      <c r="M2556"/>
      <c r="N2556"/>
      <c r="O2556"/>
      <c r="P2556"/>
      <c r="Q2556"/>
    </row>
    <row r="2557" spans="9:17" s="1" customFormat="1">
      <c r="I2557" s="185"/>
      <c r="J2557" s="185"/>
      <c r="K2557" s="185"/>
      <c r="L2557"/>
      <c r="M2557"/>
      <c r="N2557"/>
      <c r="O2557"/>
      <c r="P2557"/>
      <c r="Q2557"/>
    </row>
    <row r="2558" spans="9:17" s="1" customFormat="1">
      <c r="I2558" s="185"/>
      <c r="J2558" s="185"/>
      <c r="K2558" s="185"/>
      <c r="L2558"/>
      <c r="M2558"/>
      <c r="N2558"/>
      <c r="O2558"/>
      <c r="P2558"/>
      <c r="Q2558"/>
    </row>
    <row r="2559" spans="9:17" s="1" customFormat="1">
      <c r="I2559" s="185"/>
      <c r="J2559" s="185"/>
      <c r="K2559" s="185"/>
      <c r="L2559"/>
      <c r="M2559"/>
      <c r="N2559"/>
      <c r="O2559"/>
      <c r="P2559"/>
      <c r="Q2559"/>
    </row>
    <row r="2560" spans="9:17" s="1" customFormat="1">
      <c r="I2560" s="185"/>
      <c r="J2560" s="185"/>
      <c r="K2560" s="185"/>
      <c r="L2560"/>
      <c r="M2560"/>
      <c r="N2560"/>
      <c r="O2560"/>
      <c r="P2560"/>
      <c r="Q2560"/>
    </row>
    <row r="2561" spans="9:17" s="1" customFormat="1">
      <c r="I2561" s="185"/>
      <c r="J2561" s="185"/>
      <c r="K2561" s="185"/>
      <c r="L2561"/>
      <c r="M2561"/>
      <c r="N2561"/>
      <c r="O2561"/>
      <c r="P2561"/>
      <c r="Q2561"/>
    </row>
    <row r="2562" spans="9:17" s="1" customFormat="1">
      <c r="I2562" s="185"/>
      <c r="J2562" s="185"/>
      <c r="K2562" s="185"/>
      <c r="L2562"/>
      <c r="M2562"/>
      <c r="N2562"/>
      <c r="O2562"/>
      <c r="P2562"/>
      <c r="Q2562"/>
    </row>
    <row r="2563" spans="9:17" s="1" customFormat="1">
      <c r="I2563" s="185"/>
      <c r="J2563" s="185"/>
      <c r="K2563" s="185"/>
      <c r="L2563"/>
      <c r="M2563"/>
      <c r="N2563"/>
      <c r="O2563"/>
      <c r="P2563"/>
      <c r="Q2563"/>
    </row>
    <row r="2564" spans="9:17" s="1" customFormat="1">
      <c r="I2564" s="185"/>
      <c r="J2564" s="185"/>
      <c r="K2564" s="185"/>
      <c r="L2564"/>
      <c r="M2564"/>
      <c r="N2564"/>
      <c r="O2564"/>
      <c r="P2564"/>
      <c r="Q2564"/>
    </row>
    <row r="2565" spans="9:17" s="1" customFormat="1">
      <c r="I2565" s="185"/>
      <c r="J2565" s="185"/>
      <c r="K2565" s="185"/>
      <c r="L2565"/>
      <c r="M2565"/>
      <c r="N2565"/>
      <c r="O2565"/>
      <c r="P2565"/>
      <c r="Q2565"/>
    </row>
    <row r="2566" spans="9:17" s="1" customFormat="1">
      <c r="I2566" s="185"/>
      <c r="J2566" s="185"/>
      <c r="K2566" s="185"/>
      <c r="L2566"/>
      <c r="M2566"/>
      <c r="N2566"/>
      <c r="O2566"/>
      <c r="P2566"/>
      <c r="Q2566"/>
    </row>
    <row r="2567" spans="9:17" s="1" customFormat="1">
      <c r="I2567" s="185"/>
      <c r="J2567" s="185"/>
      <c r="K2567" s="185"/>
      <c r="L2567"/>
      <c r="M2567"/>
      <c r="N2567"/>
      <c r="O2567"/>
      <c r="P2567"/>
      <c r="Q2567"/>
    </row>
    <row r="2568" spans="9:17" s="1" customFormat="1">
      <c r="I2568" s="185"/>
      <c r="J2568" s="185"/>
      <c r="K2568" s="185"/>
      <c r="L2568"/>
      <c r="M2568"/>
      <c r="N2568"/>
      <c r="O2568"/>
      <c r="P2568"/>
      <c r="Q2568"/>
    </row>
    <row r="2569" spans="9:17" s="1" customFormat="1">
      <c r="I2569" s="185"/>
      <c r="J2569" s="185"/>
      <c r="K2569" s="185"/>
      <c r="L2569"/>
      <c r="M2569"/>
      <c r="N2569"/>
      <c r="O2569"/>
      <c r="P2569"/>
      <c r="Q2569"/>
    </row>
    <row r="2570" spans="9:17" s="1" customFormat="1">
      <c r="I2570" s="185"/>
      <c r="J2570" s="185"/>
      <c r="K2570" s="185"/>
      <c r="L2570"/>
      <c r="M2570"/>
      <c r="N2570"/>
      <c r="O2570"/>
      <c r="P2570"/>
      <c r="Q2570"/>
    </row>
    <row r="2571" spans="9:17" s="1" customFormat="1">
      <c r="I2571" s="185"/>
      <c r="J2571" s="185"/>
      <c r="K2571" s="185"/>
      <c r="L2571"/>
      <c r="M2571"/>
      <c r="N2571"/>
      <c r="O2571"/>
      <c r="P2571"/>
      <c r="Q2571"/>
    </row>
    <row r="2572" spans="9:17" s="1" customFormat="1">
      <c r="I2572" s="185"/>
      <c r="J2572" s="185"/>
      <c r="K2572" s="185"/>
      <c r="L2572"/>
      <c r="M2572"/>
      <c r="N2572"/>
      <c r="O2572"/>
      <c r="P2572"/>
      <c r="Q2572"/>
    </row>
    <row r="2573" spans="9:17" s="1" customFormat="1">
      <c r="I2573" s="185"/>
      <c r="J2573" s="185"/>
      <c r="K2573" s="185"/>
      <c r="L2573"/>
      <c r="M2573"/>
      <c r="N2573"/>
      <c r="O2573"/>
      <c r="P2573"/>
      <c r="Q2573"/>
    </row>
    <row r="2574" spans="9:17" s="1" customFormat="1">
      <c r="I2574" s="185"/>
      <c r="J2574" s="185"/>
      <c r="K2574" s="185"/>
      <c r="L2574"/>
      <c r="M2574"/>
      <c r="N2574"/>
      <c r="O2574"/>
      <c r="P2574"/>
      <c r="Q2574"/>
    </row>
    <row r="2575" spans="9:17" s="1" customFormat="1">
      <c r="I2575" s="185"/>
      <c r="J2575" s="185"/>
      <c r="K2575" s="185"/>
      <c r="L2575"/>
      <c r="M2575"/>
      <c r="N2575"/>
      <c r="O2575"/>
      <c r="P2575"/>
      <c r="Q2575"/>
    </row>
    <row r="2576" spans="9:17" s="1" customFormat="1">
      <c r="I2576" s="185"/>
      <c r="J2576" s="185"/>
      <c r="K2576" s="185"/>
      <c r="L2576"/>
      <c r="M2576"/>
      <c r="N2576"/>
      <c r="O2576"/>
      <c r="P2576"/>
      <c r="Q2576"/>
    </row>
    <row r="2577" spans="9:17" s="1" customFormat="1">
      <c r="I2577" s="185"/>
      <c r="J2577" s="185"/>
      <c r="K2577" s="185"/>
      <c r="L2577"/>
      <c r="M2577"/>
      <c r="N2577"/>
      <c r="O2577"/>
      <c r="P2577"/>
      <c r="Q2577"/>
    </row>
    <row r="2578" spans="9:17" s="1" customFormat="1">
      <c r="I2578" s="185"/>
      <c r="J2578" s="185"/>
      <c r="K2578" s="185"/>
      <c r="L2578"/>
      <c r="M2578"/>
      <c r="N2578"/>
      <c r="O2578"/>
      <c r="P2578"/>
      <c r="Q2578"/>
    </row>
    <row r="2579" spans="9:17" s="1" customFormat="1">
      <c r="I2579" s="185"/>
      <c r="J2579" s="185"/>
      <c r="K2579" s="185"/>
      <c r="L2579"/>
      <c r="M2579"/>
      <c r="N2579"/>
      <c r="O2579"/>
      <c r="P2579"/>
      <c r="Q2579"/>
    </row>
    <row r="2580" spans="9:17" s="1" customFormat="1">
      <c r="I2580" s="185"/>
      <c r="J2580" s="185"/>
      <c r="K2580" s="185"/>
      <c r="L2580"/>
      <c r="M2580"/>
      <c r="N2580"/>
      <c r="O2580"/>
      <c r="P2580"/>
      <c r="Q2580"/>
    </row>
    <row r="2581" spans="9:17" s="1" customFormat="1">
      <c r="I2581" s="185"/>
      <c r="J2581" s="185"/>
      <c r="K2581" s="185"/>
      <c r="L2581"/>
      <c r="M2581"/>
      <c r="N2581"/>
      <c r="O2581"/>
      <c r="P2581"/>
      <c r="Q2581"/>
    </row>
    <row r="2582" spans="9:17" s="1" customFormat="1">
      <c r="I2582" s="185"/>
      <c r="J2582" s="185"/>
      <c r="K2582" s="185"/>
      <c r="L2582"/>
      <c r="M2582"/>
      <c r="N2582"/>
      <c r="O2582"/>
      <c r="P2582"/>
      <c r="Q2582"/>
    </row>
    <row r="2583" spans="9:17" s="1" customFormat="1">
      <c r="I2583" s="185"/>
      <c r="J2583" s="185"/>
      <c r="K2583" s="185"/>
      <c r="L2583"/>
      <c r="M2583"/>
      <c r="N2583"/>
      <c r="O2583"/>
      <c r="P2583"/>
      <c r="Q2583"/>
    </row>
    <row r="2584" spans="9:17" s="1" customFormat="1">
      <c r="I2584" s="185"/>
      <c r="J2584" s="185"/>
      <c r="K2584" s="185"/>
      <c r="L2584"/>
      <c r="M2584"/>
      <c r="N2584"/>
      <c r="O2584"/>
      <c r="P2584"/>
      <c r="Q2584"/>
    </row>
    <row r="2585" spans="9:17" s="1" customFormat="1">
      <c r="I2585" s="185"/>
      <c r="J2585" s="185"/>
      <c r="K2585" s="185"/>
      <c r="L2585"/>
      <c r="M2585"/>
      <c r="N2585"/>
      <c r="O2585"/>
      <c r="P2585"/>
      <c r="Q2585"/>
    </row>
    <row r="2586" spans="9:17" s="1" customFormat="1">
      <c r="I2586" s="185"/>
      <c r="J2586" s="185"/>
      <c r="K2586" s="185"/>
      <c r="L2586"/>
      <c r="M2586"/>
      <c r="N2586"/>
      <c r="O2586"/>
      <c r="P2586"/>
      <c r="Q2586"/>
    </row>
    <row r="2587" spans="9:17" s="1" customFormat="1">
      <c r="I2587" s="185"/>
      <c r="J2587" s="185"/>
      <c r="K2587" s="185"/>
      <c r="L2587"/>
      <c r="M2587"/>
      <c r="N2587"/>
      <c r="O2587"/>
      <c r="P2587"/>
      <c r="Q2587"/>
    </row>
    <row r="2588" spans="9:17" s="1" customFormat="1">
      <c r="I2588" s="185"/>
      <c r="J2588" s="185"/>
      <c r="K2588" s="185"/>
      <c r="L2588"/>
      <c r="M2588"/>
      <c r="N2588"/>
      <c r="O2588"/>
      <c r="P2588"/>
      <c r="Q2588"/>
    </row>
    <row r="2589" spans="9:17" s="1" customFormat="1">
      <c r="I2589" s="185"/>
      <c r="J2589" s="185"/>
      <c r="K2589" s="185"/>
      <c r="L2589"/>
      <c r="M2589"/>
      <c r="N2589"/>
      <c r="O2589"/>
      <c r="P2589"/>
      <c r="Q2589"/>
    </row>
    <row r="2590" spans="9:17" s="1" customFormat="1">
      <c r="I2590" s="185"/>
      <c r="J2590" s="185"/>
      <c r="K2590" s="185"/>
      <c r="L2590"/>
      <c r="M2590"/>
      <c r="N2590"/>
      <c r="O2590"/>
      <c r="P2590"/>
      <c r="Q2590"/>
    </row>
    <row r="2591" spans="9:17" s="1" customFormat="1">
      <c r="I2591" s="185"/>
      <c r="J2591" s="185"/>
      <c r="K2591" s="185"/>
      <c r="L2591"/>
      <c r="M2591"/>
      <c r="N2591"/>
      <c r="O2591"/>
      <c r="P2591"/>
      <c r="Q2591"/>
    </row>
    <row r="2592" spans="9:17" s="1" customFormat="1">
      <c r="I2592" s="185"/>
      <c r="J2592" s="185"/>
      <c r="K2592" s="185"/>
      <c r="L2592"/>
      <c r="M2592"/>
      <c r="N2592"/>
      <c r="O2592"/>
      <c r="P2592"/>
      <c r="Q2592"/>
    </row>
    <row r="2593" spans="9:17" s="1" customFormat="1">
      <c r="I2593" s="185"/>
      <c r="J2593" s="185"/>
      <c r="K2593" s="185"/>
      <c r="L2593"/>
      <c r="M2593"/>
      <c r="N2593"/>
      <c r="O2593"/>
      <c r="P2593"/>
      <c r="Q2593"/>
    </row>
    <row r="2594" spans="9:17" s="1" customFormat="1">
      <c r="I2594" s="185"/>
      <c r="J2594" s="185"/>
      <c r="K2594" s="185"/>
      <c r="L2594"/>
      <c r="M2594"/>
      <c r="N2594"/>
      <c r="O2594"/>
      <c r="P2594"/>
      <c r="Q2594"/>
    </row>
    <row r="2595" spans="9:17" s="1" customFormat="1">
      <c r="I2595" s="185"/>
      <c r="J2595" s="185"/>
      <c r="K2595" s="185"/>
      <c r="L2595"/>
      <c r="M2595"/>
      <c r="N2595"/>
      <c r="O2595"/>
      <c r="P2595"/>
      <c r="Q2595"/>
    </row>
    <row r="2596" spans="9:17" s="1" customFormat="1">
      <c r="I2596" s="185"/>
      <c r="J2596" s="185"/>
      <c r="K2596" s="185"/>
      <c r="L2596"/>
      <c r="M2596"/>
      <c r="N2596"/>
      <c r="O2596"/>
      <c r="P2596"/>
      <c r="Q2596"/>
    </row>
    <row r="2597" spans="9:17" s="1" customFormat="1">
      <c r="I2597" s="185"/>
      <c r="J2597" s="185"/>
      <c r="K2597" s="185"/>
      <c r="L2597"/>
      <c r="M2597"/>
      <c r="N2597"/>
      <c r="O2597"/>
      <c r="P2597"/>
      <c r="Q2597"/>
    </row>
    <row r="2598" spans="9:17" s="1" customFormat="1">
      <c r="I2598" s="185"/>
      <c r="J2598" s="185"/>
      <c r="K2598" s="185"/>
      <c r="L2598"/>
      <c r="M2598"/>
      <c r="N2598"/>
      <c r="O2598"/>
      <c r="P2598"/>
      <c r="Q2598"/>
    </row>
    <row r="2599" spans="9:17" s="1" customFormat="1">
      <c r="I2599" s="185"/>
      <c r="J2599" s="185"/>
      <c r="K2599" s="185"/>
      <c r="L2599"/>
      <c r="M2599"/>
      <c r="N2599"/>
      <c r="O2599"/>
      <c r="P2599"/>
      <c r="Q2599"/>
    </row>
    <row r="2600" spans="9:17" s="1" customFormat="1">
      <c r="I2600" s="185"/>
      <c r="J2600" s="185"/>
      <c r="K2600" s="185"/>
      <c r="L2600"/>
      <c r="M2600"/>
      <c r="N2600"/>
      <c r="O2600"/>
      <c r="P2600"/>
      <c r="Q2600"/>
    </row>
    <row r="2601" spans="9:17" s="1" customFormat="1">
      <c r="I2601" s="185"/>
      <c r="J2601" s="185"/>
      <c r="K2601" s="185"/>
      <c r="L2601"/>
      <c r="M2601"/>
      <c r="N2601"/>
      <c r="O2601"/>
      <c r="P2601"/>
      <c r="Q2601"/>
    </row>
    <row r="2602" spans="9:17" s="1" customFormat="1">
      <c r="I2602" s="185"/>
      <c r="J2602" s="185"/>
      <c r="K2602" s="185"/>
      <c r="L2602"/>
      <c r="M2602"/>
      <c r="N2602"/>
      <c r="O2602"/>
      <c r="P2602"/>
      <c r="Q2602"/>
    </row>
    <row r="2603" spans="9:17" s="1" customFormat="1">
      <c r="I2603" s="185"/>
      <c r="J2603" s="185"/>
      <c r="K2603" s="185"/>
      <c r="L2603"/>
      <c r="M2603"/>
      <c r="N2603"/>
      <c r="O2603"/>
      <c r="P2603"/>
      <c r="Q2603"/>
    </row>
    <row r="2604" spans="9:17" s="1" customFormat="1">
      <c r="I2604" s="185"/>
      <c r="J2604" s="185"/>
      <c r="K2604" s="185"/>
      <c r="L2604"/>
      <c r="M2604"/>
      <c r="N2604"/>
      <c r="O2604"/>
      <c r="P2604"/>
      <c r="Q2604"/>
    </row>
    <row r="2605" spans="9:17" s="1" customFormat="1">
      <c r="I2605" s="185"/>
      <c r="J2605" s="185"/>
      <c r="K2605" s="185"/>
      <c r="L2605"/>
      <c r="M2605"/>
      <c r="N2605"/>
      <c r="O2605"/>
      <c r="P2605"/>
      <c r="Q2605"/>
    </row>
    <row r="2606" spans="9:17" s="1" customFormat="1">
      <c r="I2606" s="185"/>
      <c r="J2606" s="185"/>
      <c r="K2606" s="185"/>
      <c r="L2606"/>
      <c r="M2606"/>
      <c r="N2606"/>
      <c r="O2606"/>
      <c r="P2606"/>
      <c r="Q2606"/>
    </row>
    <row r="2607" spans="9:17" s="1" customFormat="1">
      <c r="I2607" s="185"/>
      <c r="J2607" s="185"/>
      <c r="K2607" s="185"/>
      <c r="L2607"/>
      <c r="M2607"/>
      <c r="N2607"/>
      <c r="O2607"/>
      <c r="P2607"/>
      <c r="Q2607"/>
    </row>
    <row r="2608" spans="9:17" s="1" customFormat="1">
      <c r="I2608" s="185"/>
      <c r="J2608" s="185"/>
      <c r="K2608" s="185"/>
      <c r="L2608"/>
      <c r="M2608"/>
      <c r="N2608"/>
      <c r="O2608"/>
      <c r="P2608"/>
      <c r="Q2608"/>
    </row>
    <row r="2609" spans="9:17" s="1" customFormat="1">
      <c r="I2609" s="185"/>
      <c r="J2609" s="185"/>
      <c r="K2609" s="185"/>
      <c r="L2609"/>
      <c r="M2609"/>
      <c r="N2609"/>
      <c r="O2609"/>
      <c r="P2609"/>
      <c r="Q2609"/>
    </row>
    <row r="2610" spans="9:17" s="1" customFormat="1">
      <c r="I2610" s="185"/>
      <c r="J2610" s="185"/>
      <c r="K2610" s="185"/>
      <c r="L2610"/>
      <c r="M2610"/>
      <c r="N2610"/>
      <c r="O2610"/>
      <c r="P2610"/>
      <c r="Q2610"/>
    </row>
    <row r="2611" spans="9:17" s="1" customFormat="1">
      <c r="I2611" s="185"/>
      <c r="J2611" s="185"/>
      <c r="K2611" s="185"/>
      <c r="L2611"/>
      <c r="M2611"/>
      <c r="N2611"/>
      <c r="O2611"/>
      <c r="P2611"/>
      <c r="Q2611"/>
    </row>
    <row r="2612" spans="9:17" s="1" customFormat="1">
      <c r="I2612" s="185"/>
      <c r="J2612" s="185"/>
      <c r="K2612" s="185"/>
      <c r="L2612"/>
      <c r="M2612"/>
      <c r="N2612"/>
      <c r="O2612"/>
      <c r="P2612"/>
      <c r="Q2612"/>
    </row>
    <row r="2613" spans="9:17" s="1" customFormat="1">
      <c r="I2613" s="185"/>
      <c r="J2613" s="185"/>
      <c r="K2613" s="185"/>
      <c r="L2613"/>
      <c r="M2613"/>
      <c r="N2613"/>
      <c r="O2613"/>
      <c r="P2613"/>
      <c r="Q2613"/>
    </row>
    <row r="2614" spans="9:17" s="1" customFormat="1">
      <c r="I2614" s="185"/>
      <c r="J2614" s="185"/>
      <c r="K2614" s="185"/>
      <c r="L2614"/>
      <c r="M2614"/>
      <c r="N2614"/>
      <c r="O2614"/>
      <c r="P2614"/>
      <c r="Q2614"/>
    </row>
    <row r="2615" spans="9:17" s="1" customFormat="1">
      <c r="I2615" s="185"/>
      <c r="J2615" s="185"/>
      <c r="K2615" s="185"/>
      <c r="L2615"/>
      <c r="M2615"/>
      <c r="N2615"/>
      <c r="O2615"/>
      <c r="P2615"/>
      <c r="Q2615"/>
    </row>
    <row r="2616" spans="9:17" s="1" customFormat="1">
      <c r="I2616" s="185"/>
      <c r="J2616" s="185"/>
      <c r="K2616" s="185"/>
      <c r="L2616"/>
      <c r="M2616"/>
      <c r="N2616"/>
      <c r="O2616"/>
      <c r="P2616"/>
      <c r="Q2616"/>
    </row>
    <row r="2617" spans="9:17" s="1" customFormat="1">
      <c r="I2617" s="185"/>
      <c r="J2617" s="185"/>
      <c r="K2617" s="185"/>
      <c r="L2617"/>
      <c r="M2617"/>
      <c r="N2617"/>
      <c r="O2617"/>
      <c r="P2617"/>
      <c r="Q2617"/>
    </row>
    <row r="2618" spans="9:17" s="1" customFormat="1">
      <c r="I2618" s="185"/>
      <c r="J2618" s="185"/>
      <c r="K2618" s="185"/>
      <c r="L2618"/>
      <c r="M2618"/>
      <c r="N2618"/>
      <c r="O2618"/>
      <c r="P2618"/>
      <c r="Q2618"/>
    </row>
    <row r="2619" spans="9:17" s="1" customFormat="1">
      <c r="I2619" s="185"/>
      <c r="J2619" s="185"/>
      <c r="K2619" s="185"/>
      <c r="L2619"/>
      <c r="M2619"/>
      <c r="N2619"/>
      <c r="O2619"/>
      <c r="P2619"/>
      <c r="Q2619"/>
    </row>
    <row r="2620" spans="9:17" s="1" customFormat="1">
      <c r="I2620" s="185"/>
      <c r="J2620" s="185"/>
      <c r="K2620" s="185"/>
      <c r="L2620"/>
      <c r="M2620"/>
      <c r="N2620"/>
      <c r="O2620"/>
      <c r="P2620"/>
      <c r="Q2620"/>
    </row>
    <row r="2621" spans="9:17" s="1" customFormat="1">
      <c r="I2621" s="185"/>
      <c r="J2621" s="185"/>
      <c r="K2621" s="185"/>
      <c r="L2621"/>
      <c r="M2621"/>
      <c r="N2621"/>
      <c r="O2621"/>
      <c r="P2621"/>
      <c r="Q2621"/>
    </row>
    <row r="2622" spans="9:17" s="1" customFormat="1">
      <c r="I2622" s="185"/>
      <c r="J2622" s="185"/>
      <c r="K2622" s="185"/>
      <c r="L2622"/>
      <c r="M2622"/>
      <c r="N2622"/>
      <c r="O2622"/>
      <c r="P2622"/>
      <c r="Q2622"/>
    </row>
    <row r="2623" spans="9:17" s="1" customFormat="1">
      <c r="I2623" s="185"/>
      <c r="J2623" s="185"/>
      <c r="K2623" s="185"/>
      <c r="L2623"/>
      <c r="M2623"/>
      <c r="N2623"/>
      <c r="O2623"/>
      <c r="P2623"/>
      <c r="Q2623"/>
    </row>
    <row r="2624" spans="9:17" s="1" customFormat="1">
      <c r="I2624" s="185"/>
      <c r="J2624" s="185"/>
      <c r="K2624" s="185"/>
      <c r="L2624"/>
      <c r="M2624"/>
      <c r="N2624"/>
      <c r="O2624"/>
      <c r="P2624"/>
      <c r="Q2624"/>
    </row>
    <row r="2625" spans="9:17" s="1" customFormat="1">
      <c r="I2625" s="185"/>
      <c r="J2625" s="185"/>
      <c r="K2625" s="185"/>
      <c r="L2625"/>
      <c r="M2625"/>
      <c r="N2625"/>
      <c r="O2625"/>
      <c r="P2625"/>
      <c r="Q2625"/>
    </row>
    <row r="2626" spans="9:17" s="1" customFormat="1">
      <c r="I2626" s="185"/>
      <c r="J2626" s="185"/>
      <c r="K2626" s="185"/>
      <c r="L2626"/>
      <c r="M2626"/>
      <c r="N2626"/>
      <c r="O2626"/>
      <c r="P2626"/>
      <c r="Q2626"/>
    </row>
    <row r="2627" spans="9:17" s="1" customFormat="1">
      <c r="I2627" s="185"/>
      <c r="J2627" s="185"/>
      <c r="K2627" s="185"/>
      <c r="L2627"/>
      <c r="M2627"/>
      <c r="N2627"/>
      <c r="O2627"/>
      <c r="P2627"/>
      <c r="Q2627"/>
    </row>
    <row r="2628" spans="9:17" s="1" customFormat="1">
      <c r="I2628" s="185"/>
      <c r="J2628" s="185"/>
      <c r="K2628" s="185"/>
      <c r="L2628"/>
      <c r="M2628"/>
      <c r="N2628"/>
      <c r="O2628"/>
      <c r="P2628"/>
      <c r="Q2628"/>
    </row>
    <row r="2629" spans="9:17" s="1" customFormat="1">
      <c r="I2629" s="185"/>
      <c r="J2629" s="185"/>
      <c r="K2629" s="185"/>
      <c r="L2629"/>
      <c r="M2629"/>
      <c r="N2629"/>
      <c r="O2629"/>
      <c r="P2629"/>
      <c r="Q2629"/>
    </row>
    <row r="2630" spans="9:17" s="1" customFormat="1">
      <c r="I2630" s="185"/>
      <c r="J2630" s="185"/>
      <c r="K2630" s="185"/>
      <c r="L2630"/>
      <c r="M2630"/>
      <c r="N2630"/>
      <c r="O2630"/>
      <c r="P2630"/>
      <c r="Q2630"/>
    </row>
    <row r="2631" spans="9:17" s="1" customFormat="1">
      <c r="I2631" s="185"/>
      <c r="J2631" s="185"/>
      <c r="K2631" s="185"/>
      <c r="L2631"/>
      <c r="M2631"/>
      <c r="N2631"/>
      <c r="O2631"/>
      <c r="P2631"/>
      <c r="Q2631"/>
    </row>
    <row r="2632" spans="9:17" s="1" customFormat="1">
      <c r="I2632" s="185"/>
      <c r="J2632" s="185"/>
      <c r="K2632" s="185"/>
      <c r="L2632"/>
      <c r="M2632"/>
      <c r="N2632"/>
      <c r="O2632"/>
      <c r="P2632"/>
      <c r="Q2632"/>
    </row>
    <row r="2633" spans="9:17" s="1" customFormat="1">
      <c r="I2633" s="185"/>
      <c r="J2633" s="185"/>
      <c r="K2633" s="185"/>
      <c r="L2633"/>
      <c r="M2633"/>
      <c r="N2633"/>
      <c r="O2633"/>
      <c r="P2633"/>
      <c r="Q2633"/>
    </row>
    <row r="2634" spans="9:17" s="1" customFormat="1">
      <c r="I2634" s="185"/>
      <c r="J2634" s="185"/>
      <c r="K2634" s="185"/>
      <c r="L2634"/>
      <c r="M2634"/>
      <c r="N2634"/>
      <c r="O2634"/>
      <c r="P2634"/>
      <c r="Q2634"/>
    </row>
    <row r="2635" spans="9:17" s="1" customFormat="1">
      <c r="I2635" s="185"/>
      <c r="J2635" s="185"/>
      <c r="K2635" s="185"/>
      <c r="L2635"/>
      <c r="M2635"/>
      <c r="N2635"/>
      <c r="O2635"/>
      <c r="P2635"/>
      <c r="Q2635"/>
    </row>
    <row r="2636" spans="9:17" s="1" customFormat="1">
      <c r="I2636" s="185"/>
      <c r="J2636" s="185"/>
      <c r="K2636" s="185"/>
      <c r="L2636"/>
      <c r="M2636"/>
      <c r="N2636"/>
      <c r="O2636"/>
      <c r="P2636"/>
      <c r="Q2636"/>
    </row>
    <row r="2637" spans="9:17" s="1" customFormat="1">
      <c r="I2637" s="185"/>
      <c r="J2637" s="185"/>
      <c r="K2637" s="185"/>
      <c r="L2637"/>
      <c r="M2637"/>
      <c r="N2637"/>
      <c r="O2637"/>
      <c r="P2637"/>
      <c r="Q2637"/>
    </row>
    <row r="2638" spans="9:17" s="1" customFormat="1">
      <c r="I2638" s="185"/>
      <c r="J2638" s="185"/>
      <c r="K2638" s="185"/>
      <c r="L2638"/>
      <c r="M2638"/>
      <c r="N2638"/>
      <c r="O2638"/>
      <c r="P2638"/>
      <c r="Q2638"/>
    </row>
    <row r="2639" spans="9:17" s="1" customFormat="1">
      <c r="I2639" s="185"/>
      <c r="J2639" s="185"/>
      <c r="K2639" s="185"/>
      <c r="L2639"/>
      <c r="M2639"/>
      <c r="N2639"/>
      <c r="O2639"/>
      <c r="P2639"/>
      <c r="Q2639"/>
    </row>
    <row r="2640" spans="9:17" s="1" customFormat="1">
      <c r="I2640" s="185"/>
      <c r="J2640" s="185"/>
      <c r="K2640" s="185"/>
      <c r="L2640"/>
      <c r="M2640"/>
      <c r="N2640"/>
      <c r="O2640"/>
      <c r="P2640"/>
      <c r="Q2640"/>
    </row>
    <row r="2641" spans="9:17" s="1" customFormat="1">
      <c r="I2641" s="185"/>
      <c r="J2641" s="185"/>
      <c r="K2641" s="185"/>
      <c r="L2641"/>
      <c r="M2641"/>
      <c r="N2641"/>
      <c r="O2641"/>
      <c r="P2641"/>
      <c r="Q2641"/>
    </row>
    <row r="2642" spans="9:17" s="1" customFormat="1">
      <c r="I2642" s="185"/>
      <c r="J2642" s="185"/>
      <c r="K2642" s="185"/>
      <c r="L2642"/>
      <c r="M2642"/>
      <c r="N2642"/>
      <c r="O2642"/>
      <c r="P2642"/>
      <c r="Q2642"/>
    </row>
    <row r="2643" spans="9:17" s="1" customFormat="1">
      <c r="I2643" s="185"/>
      <c r="J2643" s="185"/>
      <c r="K2643" s="185"/>
      <c r="L2643"/>
      <c r="M2643"/>
      <c r="N2643"/>
      <c r="O2643"/>
      <c r="P2643"/>
      <c r="Q2643"/>
    </row>
    <row r="2644" spans="9:17" s="1" customFormat="1">
      <c r="I2644" s="185"/>
      <c r="J2644" s="185"/>
      <c r="K2644" s="185"/>
      <c r="L2644"/>
      <c r="M2644"/>
      <c r="N2644"/>
      <c r="O2644"/>
      <c r="P2644"/>
      <c r="Q2644"/>
    </row>
    <row r="2645" spans="9:17" s="1" customFormat="1">
      <c r="I2645" s="185"/>
      <c r="J2645" s="185"/>
      <c r="K2645" s="185"/>
      <c r="L2645"/>
      <c r="M2645"/>
      <c r="N2645"/>
      <c r="O2645"/>
      <c r="P2645"/>
      <c r="Q2645"/>
    </row>
    <row r="2646" spans="9:17" s="1" customFormat="1">
      <c r="I2646" s="185"/>
      <c r="J2646" s="185"/>
      <c r="K2646" s="185"/>
      <c r="L2646"/>
      <c r="M2646"/>
      <c r="N2646"/>
      <c r="O2646"/>
      <c r="P2646"/>
      <c r="Q2646"/>
    </row>
    <row r="2647" spans="9:17" s="1" customFormat="1">
      <c r="I2647" s="185"/>
      <c r="J2647" s="185"/>
      <c r="K2647" s="185"/>
      <c r="L2647"/>
      <c r="M2647"/>
      <c r="N2647"/>
      <c r="O2647"/>
      <c r="P2647"/>
      <c r="Q2647"/>
    </row>
    <row r="2648" spans="9:17" s="1" customFormat="1">
      <c r="I2648" s="185"/>
      <c r="J2648" s="185"/>
      <c r="K2648" s="185"/>
      <c r="L2648"/>
      <c r="M2648"/>
      <c r="N2648"/>
      <c r="O2648"/>
      <c r="P2648"/>
      <c r="Q2648"/>
    </row>
    <row r="2649" spans="9:17" s="1" customFormat="1">
      <c r="I2649" s="185"/>
      <c r="J2649" s="185"/>
      <c r="K2649" s="185"/>
      <c r="L2649"/>
      <c r="M2649"/>
      <c r="N2649"/>
      <c r="O2649"/>
      <c r="P2649"/>
      <c r="Q2649"/>
    </row>
    <row r="2650" spans="9:17" s="1" customFormat="1">
      <c r="I2650" s="185"/>
      <c r="J2650" s="185"/>
      <c r="K2650" s="185"/>
      <c r="L2650"/>
      <c r="M2650"/>
      <c r="N2650"/>
      <c r="O2650"/>
      <c r="P2650"/>
      <c r="Q2650"/>
    </row>
    <row r="2651" spans="9:17" s="1" customFormat="1">
      <c r="I2651" s="185"/>
      <c r="J2651" s="185"/>
      <c r="K2651" s="185"/>
      <c r="L2651"/>
      <c r="M2651"/>
      <c r="N2651"/>
      <c r="O2651"/>
      <c r="P2651"/>
      <c r="Q2651"/>
    </row>
    <row r="2652" spans="9:17" s="1" customFormat="1">
      <c r="I2652" s="185"/>
      <c r="J2652" s="185"/>
      <c r="K2652" s="185"/>
      <c r="L2652"/>
      <c r="M2652"/>
      <c r="N2652"/>
      <c r="O2652"/>
      <c r="P2652"/>
      <c r="Q2652"/>
    </row>
    <row r="2653" spans="9:17" s="1" customFormat="1">
      <c r="I2653" s="185"/>
      <c r="J2653" s="185"/>
      <c r="K2653" s="185"/>
      <c r="L2653"/>
      <c r="M2653"/>
      <c r="N2653"/>
      <c r="O2653"/>
      <c r="P2653"/>
      <c r="Q2653"/>
    </row>
    <row r="2654" spans="9:17" s="1" customFormat="1">
      <c r="I2654" s="185"/>
      <c r="J2654" s="185"/>
      <c r="K2654" s="185"/>
      <c r="L2654"/>
      <c r="M2654"/>
      <c r="N2654"/>
      <c r="O2654"/>
      <c r="P2654"/>
      <c r="Q2654"/>
    </row>
    <row r="2655" spans="9:17" s="1" customFormat="1">
      <c r="I2655" s="185"/>
      <c r="J2655" s="185"/>
      <c r="K2655" s="185"/>
      <c r="L2655"/>
      <c r="M2655"/>
      <c r="N2655"/>
      <c r="O2655"/>
      <c r="P2655"/>
      <c r="Q2655"/>
    </row>
    <row r="2656" spans="9:17" s="1" customFormat="1">
      <c r="I2656" s="185"/>
      <c r="J2656" s="185"/>
      <c r="K2656" s="185"/>
      <c r="L2656"/>
      <c r="M2656"/>
      <c r="N2656"/>
      <c r="O2656"/>
      <c r="P2656"/>
      <c r="Q2656"/>
    </row>
    <row r="2657" spans="9:17" s="1" customFormat="1">
      <c r="I2657" s="185"/>
      <c r="J2657" s="185"/>
      <c r="K2657" s="185"/>
      <c r="L2657"/>
      <c r="M2657"/>
      <c r="N2657"/>
      <c r="O2657"/>
      <c r="P2657"/>
      <c r="Q2657"/>
    </row>
    <row r="2658" spans="9:17" s="1" customFormat="1">
      <c r="I2658" s="185"/>
      <c r="J2658" s="185"/>
      <c r="K2658" s="185"/>
      <c r="L2658"/>
      <c r="M2658"/>
      <c r="N2658"/>
      <c r="O2658"/>
      <c r="P2658"/>
      <c r="Q2658"/>
    </row>
    <row r="2659" spans="9:17" s="1" customFormat="1">
      <c r="I2659" s="185"/>
      <c r="J2659" s="185"/>
      <c r="K2659" s="185"/>
      <c r="L2659"/>
      <c r="M2659"/>
      <c r="N2659"/>
      <c r="O2659"/>
      <c r="P2659"/>
      <c r="Q2659"/>
    </row>
    <row r="2660" spans="9:17" s="1" customFormat="1">
      <c r="I2660" s="185"/>
      <c r="J2660" s="185"/>
      <c r="K2660" s="185"/>
      <c r="L2660"/>
      <c r="M2660"/>
      <c r="N2660"/>
      <c r="O2660"/>
      <c r="P2660"/>
      <c r="Q2660"/>
    </row>
    <row r="2661" spans="9:17" s="1" customFormat="1">
      <c r="I2661" s="185"/>
      <c r="J2661" s="185"/>
      <c r="K2661" s="185"/>
      <c r="L2661"/>
      <c r="M2661"/>
      <c r="N2661"/>
      <c r="O2661"/>
      <c r="P2661"/>
      <c r="Q2661"/>
    </row>
    <row r="2662" spans="9:17" s="1" customFormat="1">
      <c r="I2662" s="185"/>
      <c r="J2662" s="185"/>
      <c r="K2662" s="185"/>
      <c r="L2662"/>
      <c r="M2662"/>
      <c r="N2662"/>
      <c r="O2662"/>
      <c r="P2662"/>
      <c r="Q2662"/>
    </row>
    <row r="2663" spans="9:17" s="1" customFormat="1">
      <c r="I2663" s="185"/>
      <c r="J2663" s="185"/>
      <c r="K2663" s="185"/>
      <c r="L2663"/>
      <c r="M2663"/>
      <c r="N2663"/>
      <c r="O2663"/>
      <c r="P2663"/>
      <c r="Q2663"/>
    </row>
    <row r="2664" spans="9:17" s="1" customFormat="1">
      <c r="I2664" s="185"/>
      <c r="J2664" s="185"/>
      <c r="K2664" s="185"/>
      <c r="L2664"/>
      <c r="M2664"/>
      <c r="N2664"/>
      <c r="O2664"/>
      <c r="P2664"/>
      <c r="Q2664"/>
    </row>
    <row r="2665" spans="9:17" s="1" customFormat="1">
      <c r="I2665" s="185"/>
      <c r="J2665" s="185"/>
      <c r="K2665" s="185"/>
      <c r="L2665"/>
      <c r="M2665"/>
      <c r="N2665"/>
      <c r="O2665"/>
      <c r="P2665"/>
      <c r="Q2665"/>
    </row>
    <row r="2666" spans="9:17" s="1" customFormat="1">
      <c r="I2666" s="185"/>
      <c r="J2666" s="185"/>
      <c r="K2666" s="185"/>
      <c r="L2666"/>
      <c r="M2666"/>
      <c r="N2666"/>
      <c r="O2666"/>
      <c r="P2666"/>
      <c r="Q2666"/>
    </row>
    <row r="2667" spans="9:17" s="1" customFormat="1">
      <c r="I2667" s="185"/>
      <c r="J2667" s="185"/>
      <c r="K2667" s="185"/>
      <c r="L2667"/>
      <c r="M2667"/>
      <c r="N2667"/>
      <c r="O2667"/>
      <c r="P2667"/>
      <c r="Q2667"/>
    </row>
    <row r="2668" spans="9:17" s="1" customFormat="1">
      <c r="I2668" s="185"/>
      <c r="J2668" s="185"/>
      <c r="K2668" s="185"/>
      <c r="L2668"/>
      <c r="M2668"/>
      <c r="N2668"/>
      <c r="O2668"/>
      <c r="P2668"/>
      <c r="Q2668"/>
    </row>
    <row r="2669" spans="9:17" s="1" customFormat="1">
      <c r="I2669" s="185"/>
      <c r="J2669" s="185"/>
      <c r="K2669" s="185"/>
      <c r="L2669"/>
      <c r="M2669"/>
      <c r="N2669"/>
      <c r="O2669"/>
      <c r="P2669"/>
      <c r="Q2669"/>
    </row>
    <row r="2670" spans="9:17" s="1" customFormat="1">
      <c r="I2670" s="185"/>
      <c r="J2670" s="185"/>
      <c r="K2670" s="185"/>
      <c r="L2670"/>
      <c r="M2670"/>
      <c r="N2670"/>
      <c r="O2670"/>
      <c r="P2670"/>
      <c r="Q2670"/>
    </row>
    <row r="2671" spans="9:17" s="1" customFormat="1">
      <c r="I2671" s="185"/>
      <c r="J2671" s="185"/>
      <c r="K2671" s="185"/>
      <c r="L2671"/>
      <c r="M2671"/>
      <c r="N2671"/>
      <c r="O2671"/>
      <c r="P2671"/>
      <c r="Q2671"/>
    </row>
    <row r="2672" spans="9:17" s="1" customFormat="1">
      <c r="I2672" s="185"/>
      <c r="J2672" s="185"/>
      <c r="K2672" s="185"/>
      <c r="L2672"/>
      <c r="M2672"/>
      <c r="N2672"/>
      <c r="O2672"/>
      <c r="P2672"/>
      <c r="Q2672"/>
    </row>
    <row r="2673" spans="9:17" s="1" customFormat="1">
      <c r="I2673" s="185"/>
      <c r="J2673" s="185"/>
      <c r="K2673" s="185"/>
      <c r="L2673"/>
      <c r="M2673"/>
      <c r="N2673"/>
      <c r="O2673"/>
      <c r="P2673"/>
      <c r="Q2673"/>
    </row>
    <row r="2674" spans="9:17" s="1" customFormat="1">
      <c r="I2674" s="185"/>
      <c r="J2674" s="185"/>
      <c r="K2674" s="185"/>
      <c r="L2674"/>
      <c r="M2674"/>
      <c r="N2674"/>
      <c r="O2674"/>
      <c r="P2674"/>
      <c r="Q2674"/>
    </row>
    <row r="2675" spans="9:17" s="1" customFormat="1">
      <c r="I2675" s="185"/>
      <c r="J2675" s="185"/>
      <c r="K2675" s="185"/>
      <c r="L2675"/>
      <c r="M2675"/>
      <c r="N2675"/>
      <c r="O2675"/>
      <c r="P2675"/>
      <c r="Q2675"/>
    </row>
    <row r="2676" spans="9:17" s="1" customFormat="1">
      <c r="I2676" s="185"/>
      <c r="J2676" s="185"/>
      <c r="K2676" s="185"/>
      <c r="L2676"/>
      <c r="M2676"/>
      <c r="N2676"/>
      <c r="O2676"/>
      <c r="P2676"/>
      <c r="Q2676"/>
    </row>
    <row r="2677" spans="9:17" s="1" customFormat="1">
      <c r="I2677" s="185"/>
      <c r="J2677" s="185"/>
      <c r="K2677" s="185"/>
      <c r="L2677"/>
      <c r="M2677"/>
      <c r="N2677"/>
      <c r="O2677"/>
      <c r="P2677"/>
      <c r="Q2677"/>
    </row>
    <row r="2678" spans="9:17" s="1" customFormat="1">
      <c r="I2678" s="185"/>
      <c r="J2678" s="185"/>
      <c r="K2678" s="185"/>
      <c r="L2678"/>
      <c r="M2678"/>
      <c r="N2678"/>
      <c r="O2678"/>
      <c r="P2678"/>
      <c r="Q2678"/>
    </row>
    <row r="2679" spans="9:17" s="1" customFormat="1">
      <c r="I2679" s="185"/>
      <c r="J2679" s="185"/>
      <c r="K2679" s="185"/>
      <c r="L2679"/>
      <c r="M2679"/>
      <c r="N2679"/>
      <c r="O2679"/>
      <c r="P2679"/>
      <c r="Q2679"/>
    </row>
    <row r="2680" spans="9:17" s="1" customFormat="1">
      <c r="I2680" s="185"/>
      <c r="J2680" s="185"/>
      <c r="K2680" s="185"/>
      <c r="L2680"/>
      <c r="M2680"/>
      <c r="N2680"/>
      <c r="O2680"/>
      <c r="P2680"/>
      <c r="Q2680"/>
    </row>
    <row r="2681" spans="9:17" s="1" customFormat="1">
      <c r="I2681" s="185"/>
      <c r="J2681" s="185"/>
      <c r="K2681" s="185"/>
      <c r="L2681"/>
      <c r="M2681"/>
      <c r="N2681"/>
      <c r="O2681"/>
      <c r="P2681"/>
      <c r="Q2681"/>
    </row>
    <row r="2682" spans="9:17" s="1" customFormat="1">
      <c r="I2682" s="185"/>
      <c r="J2682" s="185"/>
      <c r="K2682" s="185"/>
      <c r="L2682"/>
      <c r="M2682"/>
      <c r="N2682"/>
      <c r="O2682"/>
      <c r="P2682"/>
      <c r="Q2682"/>
    </row>
    <row r="2683" spans="9:17" s="1" customFormat="1">
      <c r="I2683" s="185"/>
      <c r="J2683" s="185"/>
      <c r="K2683" s="185"/>
      <c r="L2683"/>
      <c r="M2683"/>
      <c r="N2683"/>
      <c r="O2683"/>
      <c r="P2683"/>
      <c r="Q2683"/>
    </row>
    <row r="2684" spans="9:17" s="1" customFormat="1">
      <c r="I2684" s="185"/>
      <c r="J2684" s="185"/>
      <c r="K2684" s="185"/>
      <c r="L2684"/>
      <c r="M2684"/>
      <c r="N2684"/>
      <c r="O2684"/>
      <c r="P2684"/>
      <c r="Q2684"/>
    </row>
    <row r="2685" spans="9:17" s="1" customFormat="1">
      <c r="I2685" s="185"/>
      <c r="J2685" s="185"/>
      <c r="K2685" s="185"/>
      <c r="L2685"/>
      <c r="M2685"/>
      <c r="N2685"/>
      <c r="O2685"/>
      <c r="P2685"/>
      <c r="Q2685"/>
    </row>
    <row r="2686" spans="9:17" s="1" customFormat="1">
      <c r="I2686" s="185"/>
      <c r="J2686" s="185"/>
      <c r="K2686" s="185"/>
      <c r="L2686"/>
      <c r="M2686"/>
      <c r="N2686"/>
      <c r="O2686"/>
      <c r="P2686"/>
      <c r="Q2686"/>
    </row>
    <row r="2687" spans="9:17" s="1" customFormat="1">
      <c r="I2687" s="185"/>
      <c r="J2687" s="185"/>
      <c r="K2687" s="185"/>
      <c r="L2687"/>
      <c r="M2687"/>
      <c r="N2687"/>
      <c r="O2687"/>
      <c r="P2687"/>
      <c r="Q2687"/>
    </row>
    <row r="2688" spans="9:17" s="1" customFormat="1">
      <c r="I2688" s="185"/>
      <c r="J2688" s="185"/>
      <c r="K2688" s="185"/>
      <c r="L2688"/>
      <c r="M2688"/>
      <c r="N2688"/>
      <c r="O2688"/>
      <c r="P2688"/>
      <c r="Q2688"/>
    </row>
    <row r="2689" spans="9:17" s="1" customFormat="1">
      <c r="I2689" s="185"/>
      <c r="J2689" s="185"/>
      <c r="K2689" s="185"/>
      <c r="L2689"/>
      <c r="M2689"/>
      <c r="N2689"/>
      <c r="O2689"/>
      <c r="P2689"/>
      <c r="Q2689"/>
    </row>
    <row r="2690" spans="9:17" s="1" customFormat="1">
      <c r="I2690" s="185"/>
      <c r="J2690" s="185"/>
      <c r="K2690" s="185"/>
      <c r="L2690"/>
      <c r="M2690"/>
      <c r="N2690"/>
      <c r="O2690"/>
      <c r="P2690"/>
      <c r="Q2690"/>
    </row>
    <row r="2691" spans="9:17" s="1" customFormat="1">
      <c r="I2691" s="185"/>
      <c r="J2691" s="185"/>
      <c r="K2691" s="185"/>
      <c r="L2691"/>
      <c r="M2691"/>
      <c r="N2691"/>
      <c r="O2691"/>
      <c r="P2691"/>
      <c r="Q2691"/>
    </row>
    <row r="2692" spans="9:17" s="1" customFormat="1">
      <c r="I2692" s="185"/>
      <c r="J2692" s="185"/>
      <c r="K2692" s="185"/>
      <c r="L2692"/>
      <c r="M2692"/>
      <c r="N2692"/>
      <c r="O2692"/>
      <c r="P2692"/>
      <c r="Q2692"/>
    </row>
    <row r="2693" spans="9:17" s="1" customFormat="1">
      <c r="I2693" s="185"/>
      <c r="J2693" s="185"/>
      <c r="K2693" s="185"/>
      <c r="L2693"/>
      <c r="M2693"/>
      <c r="N2693"/>
      <c r="O2693"/>
      <c r="P2693"/>
      <c r="Q2693"/>
    </row>
    <row r="2694" spans="9:17" s="1" customFormat="1">
      <c r="I2694" s="185"/>
      <c r="J2694" s="185"/>
      <c r="K2694" s="185"/>
      <c r="L2694"/>
      <c r="M2694"/>
      <c r="N2694"/>
      <c r="O2694"/>
      <c r="P2694"/>
      <c r="Q2694"/>
    </row>
    <row r="2695" spans="9:17" s="1" customFormat="1">
      <c r="I2695" s="185"/>
      <c r="J2695" s="185"/>
      <c r="K2695" s="185"/>
      <c r="L2695"/>
      <c r="M2695"/>
      <c r="N2695"/>
      <c r="O2695"/>
      <c r="P2695"/>
      <c r="Q2695"/>
    </row>
    <row r="2696" spans="9:17" s="1" customFormat="1">
      <c r="I2696" s="185"/>
      <c r="J2696" s="185"/>
      <c r="K2696" s="185"/>
      <c r="L2696"/>
      <c r="M2696"/>
      <c r="N2696"/>
      <c r="O2696"/>
      <c r="P2696"/>
      <c r="Q2696"/>
    </row>
    <row r="2697" spans="9:17" s="1" customFormat="1">
      <c r="I2697" s="185"/>
      <c r="J2697" s="185"/>
      <c r="K2697" s="185"/>
      <c r="L2697"/>
      <c r="M2697"/>
      <c r="N2697"/>
      <c r="O2697"/>
      <c r="P2697"/>
      <c r="Q2697"/>
    </row>
    <row r="2698" spans="9:17" s="1" customFormat="1">
      <c r="I2698" s="185"/>
      <c r="J2698" s="185"/>
      <c r="K2698" s="185"/>
      <c r="L2698"/>
      <c r="M2698"/>
      <c r="N2698"/>
      <c r="O2698"/>
      <c r="P2698"/>
      <c r="Q2698"/>
    </row>
    <row r="2699" spans="9:17" s="1" customFormat="1">
      <c r="I2699" s="185"/>
      <c r="J2699" s="185"/>
      <c r="K2699" s="185"/>
      <c r="L2699"/>
      <c r="M2699"/>
      <c r="N2699"/>
      <c r="O2699"/>
      <c r="P2699"/>
      <c r="Q2699"/>
    </row>
    <row r="2700" spans="9:17" s="1" customFormat="1">
      <c r="I2700" s="185"/>
      <c r="J2700" s="185"/>
      <c r="K2700" s="185"/>
      <c r="L2700"/>
      <c r="M2700"/>
      <c r="N2700"/>
      <c r="O2700"/>
      <c r="P2700"/>
      <c r="Q2700"/>
    </row>
    <row r="2701" spans="9:17" s="1" customFormat="1">
      <c r="I2701" s="185"/>
      <c r="J2701" s="185"/>
      <c r="K2701" s="185"/>
      <c r="L2701"/>
      <c r="M2701"/>
      <c r="N2701"/>
      <c r="O2701"/>
      <c r="P2701"/>
      <c r="Q2701"/>
    </row>
    <row r="2702" spans="9:17" s="1" customFormat="1">
      <c r="I2702" s="185"/>
      <c r="J2702" s="185"/>
      <c r="K2702" s="185"/>
      <c r="L2702"/>
      <c r="M2702"/>
      <c r="N2702"/>
      <c r="O2702"/>
      <c r="P2702"/>
      <c r="Q2702"/>
    </row>
    <row r="2703" spans="9:17" s="1" customFormat="1">
      <c r="I2703" s="185"/>
      <c r="J2703" s="185"/>
      <c r="K2703" s="185"/>
      <c r="L2703"/>
      <c r="M2703"/>
      <c r="N2703"/>
      <c r="O2703"/>
      <c r="P2703"/>
      <c r="Q2703"/>
    </row>
    <row r="2704" spans="9:17" s="1" customFormat="1">
      <c r="I2704" s="185"/>
      <c r="J2704" s="185"/>
      <c r="K2704" s="185"/>
      <c r="L2704"/>
      <c r="M2704"/>
      <c r="N2704"/>
      <c r="O2704"/>
      <c r="P2704"/>
      <c r="Q2704"/>
    </row>
    <row r="2705" spans="9:17" s="1" customFormat="1">
      <c r="I2705" s="185"/>
      <c r="J2705" s="185"/>
      <c r="K2705" s="185"/>
      <c r="L2705"/>
      <c r="M2705"/>
      <c r="N2705"/>
      <c r="O2705"/>
      <c r="P2705"/>
      <c r="Q2705"/>
    </row>
    <row r="2706" spans="9:17" s="1" customFormat="1">
      <c r="I2706" s="185"/>
      <c r="J2706" s="185"/>
      <c r="K2706" s="185"/>
      <c r="L2706"/>
      <c r="M2706"/>
      <c r="N2706"/>
      <c r="O2706"/>
      <c r="P2706"/>
      <c r="Q2706"/>
    </row>
    <row r="2707" spans="9:17" s="1" customFormat="1">
      <c r="I2707" s="185"/>
      <c r="J2707" s="185"/>
      <c r="K2707" s="185"/>
      <c r="L2707"/>
      <c r="M2707"/>
      <c r="N2707"/>
      <c r="O2707"/>
      <c r="P2707"/>
      <c r="Q2707"/>
    </row>
    <row r="2708" spans="9:17" s="1" customFormat="1">
      <c r="I2708" s="185"/>
      <c r="J2708" s="185"/>
      <c r="K2708" s="185"/>
      <c r="L2708"/>
      <c r="M2708"/>
      <c r="N2708"/>
      <c r="O2708"/>
      <c r="P2708"/>
      <c r="Q2708"/>
    </row>
    <row r="2709" spans="9:17" s="1" customFormat="1">
      <c r="I2709" s="185"/>
      <c r="J2709" s="185"/>
      <c r="K2709" s="185"/>
      <c r="L2709"/>
      <c r="M2709"/>
      <c r="N2709"/>
      <c r="O2709"/>
      <c r="P2709"/>
      <c r="Q2709"/>
    </row>
    <row r="2710" spans="9:17" s="1" customFormat="1">
      <c r="I2710" s="185"/>
      <c r="J2710" s="185"/>
      <c r="K2710" s="185"/>
      <c r="L2710"/>
      <c r="M2710"/>
      <c r="N2710"/>
      <c r="O2710"/>
      <c r="P2710"/>
      <c r="Q2710"/>
    </row>
    <row r="2711" spans="9:17" s="1" customFormat="1">
      <c r="I2711" s="185"/>
      <c r="J2711" s="185"/>
      <c r="K2711" s="185"/>
      <c r="L2711"/>
      <c r="M2711"/>
      <c r="N2711"/>
      <c r="O2711"/>
      <c r="P2711"/>
      <c r="Q2711"/>
    </row>
    <row r="2712" spans="9:17" s="1" customFormat="1">
      <c r="I2712" s="185"/>
      <c r="J2712" s="185"/>
      <c r="K2712" s="185"/>
      <c r="L2712"/>
      <c r="M2712"/>
      <c r="N2712"/>
      <c r="O2712"/>
      <c r="P2712"/>
      <c r="Q2712"/>
    </row>
    <row r="2713" spans="9:17" s="1" customFormat="1">
      <c r="I2713" s="185"/>
      <c r="J2713" s="185"/>
      <c r="K2713" s="185"/>
      <c r="L2713"/>
      <c r="M2713"/>
      <c r="N2713"/>
      <c r="O2713"/>
      <c r="P2713"/>
      <c r="Q2713"/>
    </row>
    <row r="2714" spans="9:17" s="1" customFormat="1">
      <c r="I2714" s="185"/>
      <c r="J2714" s="185"/>
      <c r="K2714" s="185"/>
      <c r="L2714"/>
      <c r="M2714"/>
      <c r="N2714"/>
      <c r="O2714"/>
      <c r="P2714"/>
      <c r="Q2714"/>
    </row>
    <row r="2715" spans="9:17" s="1" customFormat="1">
      <c r="I2715" s="185"/>
      <c r="J2715" s="185"/>
      <c r="K2715" s="185"/>
      <c r="L2715"/>
      <c r="M2715"/>
      <c r="N2715"/>
      <c r="O2715"/>
      <c r="P2715"/>
      <c r="Q2715"/>
    </row>
    <row r="2716" spans="9:17" s="1" customFormat="1">
      <c r="I2716" s="185"/>
      <c r="J2716" s="185"/>
      <c r="K2716" s="185"/>
      <c r="L2716"/>
      <c r="M2716"/>
      <c r="N2716"/>
      <c r="O2716"/>
      <c r="P2716"/>
      <c r="Q2716"/>
    </row>
    <row r="2717" spans="9:17" s="1" customFormat="1">
      <c r="I2717" s="185"/>
      <c r="J2717" s="185"/>
      <c r="K2717" s="185"/>
      <c r="L2717"/>
      <c r="M2717"/>
      <c r="N2717"/>
      <c r="O2717"/>
      <c r="P2717"/>
      <c r="Q2717"/>
    </row>
    <row r="2718" spans="9:17" s="1" customFormat="1">
      <c r="I2718" s="185"/>
      <c r="J2718" s="185"/>
      <c r="K2718" s="185"/>
      <c r="L2718"/>
      <c r="M2718"/>
      <c r="N2718"/>
      <c r="O2718"/>
      <c r="P2718"/>
      <c r="Q2718"/>
    </row>
    <row r="2719" spans="9:17" s="1" customFormat="1">
      <c r="I2719" s="185"/>
      <c r="J2719" s="185"/>
      <c r="K2719" s="185"/>
      <c r="L2719"/>
      <c r="M2719"/>
      <c r="N2719"/>
      <c r="O2719"/>
      <c r="P2719"/>
      <c r="Q2719"/>
    </row>
    <row r="2720" spans="9:17" s="1" customFormat="1">
      <c r="I2720" s="185"/>
      <c r="J2720" s="185"/>
      <c r="K2720" s="185"/>
      <c r="L2720"/>
      <c r="M2720"/>
      <c r="N2720"/>
      <c r="O2720"/>
      <c r="P2720"/>
      <c r="Q2720"/>
    </row>
    <row r="2721" spans="9:17" s="1" customFormat="1">
      <c r="I2721" s="185"/>
      <c r="J2721" s="185"/>
      <c r="K2721" s="185"/>
      <c r="L2721"/>
      <c r="M2721"/>
      <c r="N2721"/>
      <c r="O2721"/>
      <c r="P2721"/>
      <c r="Q2721"/>
    </row>
    <row r="2722" spans="9:17" s="1" customFormat="1">
      <c r="I2722" s="185"/>
      <c r="J2722" s="185"/>
      <c r="K2722" s="185"/>
      <c r="L2722"/>
      <c r="M2722"/>
      <c r="N2722"/>
      <c r="O2722"/>
      <c r="P2722"/>
      <c r="Q2722"/>
    </row>
    <row r="2723" spans="9:17" s="1" customFormat="1">
      <c r="I2723" s="185"/>
      <c r="J2723" s="185"/>
      <c r="K2723" s="185"/>
      <c r="L2723"/>
      <c r="M2723"/>
      <c r="N2723"/>
      <c r="O2723"/>
      <c r="P2723"/>
      <c r="Q2723"/>
    </row>
    <row r="2724" spans="9:17" s="1" customFormat="1">
      <c r="I2724" s="185"/>
      <c r="J2724" s="185"/>
      <c r="K2724" s="185"/>
      <c r="L2724"/>
      <c r="M2724"/>
      <c r="N2724"/>
      <c r="O2724"/>
      <c r="P2724"/>
      <c r="Q2724"/>
    </row>
    <row r="2725" spans="9:17" s="1" customFormat="1">
      <c r="I2725" s="185"/>
      <c r="J2725" s="185"/>
      <c r="K2725" s="185"/>
      <c r="L2725"/>
      <c r="M2725"/>
      <c r="N2725"/>
      <c r="O2725"/>
      <c r="P2725"/>
      <c r="Q2725"/>
    </row>
    <row r="2726" spans="9:17" s="1" customFormat="1">
      <c r="I2726" s="185"/>
      <c r="J2726" s="185"/>
      <c r="K2726" s="185"/>
      <c r="L2726"/>
      <c r="M2726"/>
      <c r="N2726"/>
      <c r="O2726"/>
      <c r="P2726"/>
      <c r="Q2726"/>
    </row>
    <row r="2727" spans="9:17" s="1" customFormat="1">
      <c r="I2727" s="185"/>
      <c r="J2727" s="185"/>
      <c r="K2727" s="185"/>
      <c r="L2727"/>
      <c r="M2727"/>
      <c r="N2727"/>
      <c r="O2727"/>
      <c r="P2727"/>
      <c r="Q2727"/>
    </row>
    <row r="2728" spans="9:17" s="1" customFormat="1">
      <c r="I2728" s="185"/>
      <c r="J2728" s="185"/>
      <c r="K2728" s="185"/>
      <c r="L2728"/>
      <c r="M2728"/>
      <c r="N2728"/>
      <c r="O2728"/>
      <c r="P2728"/>
      <c r="Q2728"/>
    </row>
    <row r="2729" spans="9:17" s="1" customFormat="1">
      <c r="I2729" s="185"/>
      <c r="J2729" s="185"/>
      <c r="K2729" s="185"/>
      <c r="L2729"/>
      <c r="M2729"/>
      <c r="N2729"/>
      <c r="O2729"/>
      <c r="P2729"/>
      <c r="Q2729"/>
    </row>
    <row r="2730" spans="9:17" s="1" customFormat="1">
      <c r="I2730" s="185"/>
      <c r="J2730" s="185"/>
      <c r="K2730" s="185"/>
      <c r="L2730"/>
      <c r="M2730"/>
      <c r="N2730"/>
      <c r="O2730"/>
      <c r="P2730"/>
      <c r="Q2730"/>
    </row>
    <row r="2731" spans="9:17" s="1" customFormat="1">
      <c r="I2731" s="185"/>
      <c r="J2731" s="185"/>
      <c r="K2731" s="185"/>
      <c r="L2731"/>
      <c r="M2731"/>
      <c r="N2731"/>
      <c r="O2731"/>
      <c r="P2731"/>
      <c r="Q2731"/>
    </row>
    <row r="2732" spans="9:17" s="1" customFormat="1">
      <c r="I2732" s="185"/>
      <c r="J2732" s="185"/>
      <c r="K2732" s="185"/>
      <c r="L2732"/>
      <c r="M2732"/>
      <c r="N2732"/>
      <c r="O2732"/>
      <c r="P2732"/>
      <c r="Q2732"/>
    </row>
    <row r="2733" spans="9:17" s="1" customFormat="1">
      <c r="I2733" s="185"/>
      <c r="J2733" s="185"/>
      <c r="K2733" s="185"/>
      <c r="L2733"/>
      <c r="M2733"/>
      <c r="N2733"/>
      <c r="O2733"/>
      <c r="P2733"/>
      <c r="Q2733"/>
    </row>
    <row r="2734" spans="9:17" s="1" customFormat="1">
      <c r="I2734" s="185"/>
      <c r="J2734" s="185"/>
      <c r="K2734" s="185"/>
      <c r="L2734"/>
      <c r="M2734"/>
      <c r="N2734"/>
      <c r="O2734"/>
      <c r="P2734"/>
      <c r="Q2734"/>
    </row>
    <row r="2735" spans="9:17" s="1" customFormat="1">
      <c r="I2735" s="185"/>
      <c r="J2735" s="185"/>
      <c r="K2735" s="185"/>
      <c r="L2735"/>
      <c r="M2735"/>
      <c r="N2735"/>
      <c r="O2735"/>
      <c r="P2735"/>
      <c r="Q2735"/>
    </row>
    <row r="2736" spans="9:17" s="1" customFormat="1">
      <c r="I2736" s="185"/>
      <c r="J2736" s="185"/>
      <c r="K2736" s="185"/>
      <c r="L2736"/>
      <c r="M2736"/>
      <c r="N2736"/>
      <c r="O2736"/>
      <c r="P2736"/>
      <c r="Q2736"/>
    </row>
    <row r="2737" spans="9:17" s="1" customFormat="1">
      <c r="I2737" s="185"/>
      <c r="J2737" s="185"/>
      <c r="K2737" s="185"/>
      <c r="L2737"/>
      <c r="M2737"/>
      <c r="N2737"/>
      <c r="O2737"/>
      <c r="P2737"/>
      <c r="Q2737"/>
    </row>
    <row r="2738" spans="9:17" s="1" customFormat="1">
      <c r="I2738" s="185"/>
      <c r="J2738" s="185"/>
      <c r="K2738" s="185"/>
      <c r="L2738"/>
      <c r="M2738"/>
      <c r="N2738"/>
      <c r="O2738"/>
      <c r="P2738"/>
      <c r="Q2738"/>
    </row>
    <row r="2739" spans="9:17" s="1" customFormat="1">
      <c r="I2739" s="185"/>
      <c r="J2739" s="185"/>
      <c r="K2739" s="185"/>
      <c r="L2739"/>
      <c r="M2739"/>
      <c r="N2739"/>
      <c r="O2739"/>
      <c r="P2739"/>
      <c r="Q2739"/>
    </row>
    <row r="2740" spans="9:17" s="1" customFormat="1">
      <c r="I2740" s="185"/>
      <c r="J2740" s="185"/>
      <c r="K2740" s="185"/>
      <c r="L2740"/>
      <c r="M2740"/>
      <c r="N2740"/>
      <c r="O2740"/>
      <c r="P2740"/>
      <c r="Q2740"/>
    </row>
    <row r="2741" spans="9:17" s="1" customFormat="1">
      <c r="I2741" s="185"/>
      <c r="J2741" s="185"/>
      <c r="K2741" s="185"/>
      <c r="L2741"/>
      <c r="M2741"/>
      <c r="N2741"/>
      <c r="O2741"/>
      <c r="P2741"/>
      <c r="Q2741"/>
    </row>
    <row r="2742" spans="9:17" s="1" customFormat="1">
      <c r="I2742" s="185"/>
      <c r="J2742" s="185"/>
      <c r="K2742" s="185"/>
      <c r="L2742"/>
      <c r="M2742"/>
      <c r="N2742"/>
      <c r="O2742"/>
      <c r="P2742"/>
      <c r="Q2742"/>
    </row>
    <row r="2743" spans="9:17" s="1" customFormat="1">
      <c r="I2743" s="185"/>
      <c r="J2743" s="185"/>
      <c r="K2743" s="185"/>
      <c r="L2743"/>
      <c r="M2743"/>
      <c r="N2743"/>
      <c r="O2743"/>
      <c r="P2743"/>
      <c r="Q2743"/>
    </row>
    <row r="2744" spans="9:17" s="1" customFormat="1">
      <c r="I2744" s="185"/>
      <c r="J2744" s="185"/>
      <c r="K2744" s="185"/>
      <c r="L2744"/>
      <c r="M2744"/>
      <c r="N2744"/>
      <c r="O2744"/>
      <c r="P2744"/>
      <c r="Q2744"/>
    </row>
    <row r="2745" spans="9:17" s="1" customFormat="1">
      <c r="I2745" s="185"/>
      <c r="J2745" s="185"/>
      <c r="K2745" s="185"/>
      <c r="L2745"/>
      <c r="M2745"/>
      <c r="N2745"/>
      <c r="O2745"/>
      <c r="P2745"/>
      <c r="Q2745"/>
    </row>
    <row r="2746" spans="9:17" s="1" customFormat="1">
      <c r="I2746" s="185"/>
      <c r="J2746" s="185"/>
      <c r="K2746" s="185"/>
      <c r="L2746"/>
      <c r="M2746"/>
      <c r="N2746"/>
      <c r="O2746"/>
      <c r="P2746"/>
      <c r="Q2746"/>
    </row>
    <row r="2747" spans="9:17" s="1" customFormat="1">
      <c r="I2747" s="185"/>
      <c r="J2747" s="185"/>
      <c r="K2747" s="185"/>
      <c r="L2747"/>
      <c r="M2747"/>
      <c r="N2747"/>
      <c r="O2747"/>
      <c r="P2747"/>
      <c r="Q2747"/>
    </row>
    <row r="2748" spans="9:17" s="1" customFormat="1">
      <c r="I2748" s="185"/>
      <c r="J2748" s="185"/>
      <c r="K2748" s="185"/>
      <c r="L2748"/>
      <c r="M2748"/>
      <c r="N2748"/>
      <c r="O2748"/>
      <c r="P2748"/>
      <c r="Q2748"/>
    </row>
    <row r="2749" spans="9:17" s="1" customFormat="1">
      <c r="I2749" s="185"/>
      <c r="J2749" s="185"/>
      <c r="K2749" s="185"/>
      <c r="L2749"/>
      <c r="M2749"/>
      <c r="N2749"/>
      <c r="O2749"/>
      <c r="P2749"/>
      <c r="Q2749"/>
    </row>
    <row r="2750" spans="9:17" s="1" customFormat="1">
      <c r="I2750" s="185"/>
      <c r="J2750" s="185"/>
      <c r="K2750" s="185"/>
      <c r="L2750"/>
      <c r="M2750"/>
      <c r="N2750"/>
      <c r="O2750"/>
      <c r="P2750"/>
      <c r="Q2750"/>
    </row>
    <row r="2751" spans="9:17" s="1" customFormat="1">
      <c r="I2751" s="185"/>
      <c r="J2751" s="185"/>
      <c r="K2751" s="185"/>
      <c r="L2751"/>
      <c r="M2751"/>
      <c r="N2751"/>
      <c r="O2751"/>
      <c r="P2751"/>
      <c r="Q2751"/>
    </row>
    <row r="2752" spans="9:17" s="1" customFormat="1">
      <c r="I2752" s="185"/>
      <c r="J2752" s="185"/>
      <c r="K2752" s="185"/>
      <c r="L2752"/>
      <c r="M2752"/>
      <c r="N2752"/>
      <c r="O2752"/>
      <c r="P2752"/>
      <c r="Q2752"/>
    </row>
    <row r="2753" spans="9:17" s="1" customFormat="1">
      <c r="I2753" s="185"/>
      <c r="J2753" s="185"/>
      <c r="K2753" s="185"/>
      <c r="L2753"/>
      <c r="M2753"/>
      <c r="N2753"/>
      <c r="O2753"/>
      <c r="P2753"/>
      <c r="Q2753"/>
    </row>
    <row r="2754" spans="9:17" s="1" customFormat="1">
      <c r="I2754" s="185"/>
      <c r="J2754" s="185"/>
      <c r="K2754" s="185"/>
      <c r="L2754"/>
      <c r="M2754"/>
      <c r="N2754"/>
      <c r="O2754"/>
      <c r="P2754"/>
      <c r="Q2754"/>
    </row>
    <row r="2755" spans="9:17" s="1" customFormat="1">
      <c r="I2755" s="185"/>
      <c r="J2755" s="185"/>
      <c r="K2755" s="185"/>
      <c r="L2755"/>
      <c r="M2755"/>
      <c r="N2755"/>
      <c r="O2755"/>
      <c r="P2755"/>
      <c r="Q2755"/>
    </row>
    <row r="2756" spans="9:17" s="1" customFormat="1">
      <c r="I2756" s="185"/>
      <c r="J2756" s="185"/>
      <c r="K2756" s="185"/>
      <c r="L2756"/>
      <c r="M2756"/>
      <c r="N2756"/>
      <c r="O2756"/>
      <c r="P2756"/>
      <c r="Q2756"/>
    </row>
    <row r="2757" spans="9:17" s="1" customFormat="1">
      <c r="I2757" s="185"/>
      <c r="J2757" s="185"/>
      <c r="K2757" s="185"/>
      <c r="L2757"/>
      <c r="M2757"/>
      <c r="N2757"/>
      <c r="O2757"/>
      <c r="P2757"/>
      <c r="Q2757"/>
    </row>
    <row r="2758" spans="9:17" s="1" customFormat="1">
      <c r="I2758" s="185"/>
      <c r="J2758" s="185"/>
      <c r="K2758" s="185"/>
      <c r="L2758"/>
      <c r="M2758"/>
      <c r="N2758"/>
      <c r="O2758"/>
      <c r="P2758"/>
      <c r="Q2758"/>
    </row>
    <row r="2759" spans="9:17" s="1" customFormat="1">
      <c r="I2759" s="185"/>
      <c r="J2759" s="185"/>
      <c r="K2759" s="185"/>
      <c r="L2759"/>
      <c r="M2759"/>
      <c r="N2759"/>
      <c r="O2759"/>
      <c r="P2759"/>
      <c r="Q2759"/>
    </row>
    <row r="2760" spans="9:17" s="1" customFormat="1">
      <c r="I2760" s="185"/>
      <c r="J2760" s="185"/>
      <c r="K2760" s="185"/>
      <c r="L2760"/>
      <c r="M2760"/>
      <c r="N2760"/>
      <c r="O2760"/>
      <c r="P2760"/>
      <c r="Q2760"/>
    </row>
    <row r="2761" spans="9:17" s="1" customFormat="1">
      <c r="I2761" s="185"/>
      <c r="J2761" s="185"/>
      <c r="K2761" s="185"/>
      <c r="L2761"/>
      <c r="M2761"/>
      <c r="N2761"/>
      <c r="O2761"/>
      <c r="P2761"/>
      <c r="Q2761"/>
    </row>
    <row r="2762" spans="9:17" s="1" customFormat="1">
      <c r="I2762" s="185"/>
      <c r="J2762" s="185"/>
      <c r="K2762" s="185"/>
      <c r="L2762"/>
      <c r="M2762"/>
      <c r="N2762"/>
      <c r="O2762"/>
      <c r="P2762"/>
      <c r="Q2762"/>
    </row>
    <row r="2763" spans="9:17" s="1" customFormat="1">
      <c r="I2763" s="185"/>
      <c r="J2763" s="185"/>
      <c r="K2763" s="185"/>
      <c r="L2763"/>
      <c r="M2763"/>
      <c r="N2763"/>
      <c r="O2763"/>
      <c r="P2763"/>
      <c r="Q2763"/>
    </row>
    <row r="2764" spans="9:17" s="1" customFormat="1">
      <c r="I2764" s="185"/>
      <c r="J2764" s="185"/>
      <c r="K2764" s="185"/>
      <c r="L2764"/>
      <c r="M2764"/>
      <c r="N2764"/>
      <c r="O2764"/>
      <c r="P2764"/>
      <c r="Q2764"/>
    </row>
    <row r="2765" spans="9:17" s="1" customFormat="1">
      <c r="I2765" s="185"/>
      <c r="J2765" s="185"/>
      <c r="K2765" s="185"/>
      <c r="L2765"/>
      <c r="M2765"/>
      <c r="N2765"/>
      <c r="O2765"/>
      <c r="P2765"/>
      <c r="Q2765"/>
    </row>
    <row r="2766" spans="9:17" s="1" customFormat="1">
      <c r="I2766" s="185"/>
      <c r="J2766" s="185"/>
      <c r="K2766" s="185"/>
      <c r="L2766"/>
      <c r="M2766"/>
      <c r="N2766"/>
      <c r="O2766"/>
      <c r="P2766"/>
      <c r="Q2766"/>
    </row>
    <row r="2767" spans="9:17" s="1" customFormat="1">
      <c r="I2767" s="185"/>
      <c r="J2767" s="185"/>
      <c r="K2767" s="185"/>
      <c r="L2767"/>
      <c r="M2767"/>
      <c r="N2767"/>
      <c r="O2767"/>
      <c r="P2767"/>
      <c r="Q2767"/>
    </row>
    <row r="2768" spans="9:17" s="1" customFormat="1">
      <c r="I2768" s="185"/>
      <c r="J2768" s="185"/>
      <c r="K2768" s="185"/>
      <c r="L2768"/>
      <c r="M2768"/>
      <c r="N2768"/>
      <c r="O2768"/>
      <c r="P2768"/>
      <c r="Q2768"/>
    </row>
    <row r="2769" spans="9:17" s="1" customFormat="1">
      <c r="I2769" s="185"/>
      <c r="J2769" s="185"/>
      <c r="K2769" s="185"/>
      <c r="L2769"/>
      <c r="M2769"/>
      <c r="N2769"/>
      <c r="O2769"/>
      <c r="P2769"/>
      <c r="Q2769"/>
    </row>
    <row r="2770" spans="9:17" s="1" customFormat="1">
      <c r="I2770" s="185"/>
      <c r="J2770" s="185"/>
      <c r="K2770" s="185"/>
      <c r="L2770"/>
      <c r="M2770"/>
      <c r="N2770"/>
      <c r="O2770"/>
      <c r="P2770"/>
      <c r="Q2770"/>
    </row>
    <row r="2771" spans="9:17" s="1" customFormat="1">
      <c r="I2771" s="185"/>
      <c r="J2771" s="185"/>
      <c r="K2771" s="185"/>
      <c r="L2771"/>
      <c r="M2771"/>
      <c r="N2771"/>
      <c r="O2771"/>
      <c r="P2771"/>
      <c r="Q2771"/>
    </row>
    <row r="2772" spans="9:17" s="1" customFormat="1">
      <c r="I2772" s="185"/>
      <c r="J2772" s="185"/>
      <c r="K2772" s="185"/>
      <c r="L2772"/>
      <c r="M2772"/>
      <c r="N2772"/>
      <c r="O2772"/>
      <c r="P2772"/>
      <c r="Q2772"/>
    </row>
    <row r="2773" spans="9:17" s="1" customFormat="1">
      <c r="I2773" s="185"/>
      <c r="J2773" s="185"/>
      <c r="K2773" s="185"/>
      <c r="L2773"/>
      <c r="M2773"/>
      <c r="N2773"/>
      <c r="O2773"/>
      <c r="P2773"/>
      <c r="Q2773"/>
    </row>
    <row r="2774" spans="9:17" s="1" customFormat="1">
      <c r="I2774" s="185"/>
      <c r="J2774" s="185"/>
      <c r="K2774" s="185"/>
      <c r="L2774"/>
      <c r="M2774"/>
      <c r="N2774"/>
      <c r="O2774"/>
      <c r="P2774"/>
      <c r="Q2774"/>
    </row>
    <row r="2775" spans="9:17" s="1" customFormat="1">
      <c r="I2775" s="185"/>
      <c r="J2775" s="185"/>
      <c r="K2775" s="185"/>
      <c r="L2775"/>
      <c r="M2775"/>
      <c r="N2775"/>
      <c r="O2775"/>
      <c r="P2775"/>
      <c r="Q2775"/>
    </row>
    <row r="2776" spans="9:17" s="1" customFormat="1">
      <c r="I2776" s="185"/>
      <c r="J2776" s="185"/>
      <c r="K2776" s="185"/>
      <c r="L2776"/>
      <c r="M2776"/>
      <c r="N2776"/>
      <c r="O2776"/>
      <c r="P2776"/>
      <c r="Q2776"/>
    </row>
    <row r="2777" spans="9:17" s="1" customFormat="1">
      <c r="I2777" s="185"/>
      <c r="J2777" s="185"/>
      <c r="K2777" s="185"/>
      <c r="L2777"/>
      <c r="M2777"/>
      <c r="N2777"/>
      <c r="O2777"/>
      <c r="P2777"/>
      <c r="Q2777"/>
    </row>
    <row r="2778" spans="9:17" s="1" customFormat="1">
      <c r="I2778" s="185"/>
      <c r="J2778" s="185"/>
      <c r="K2778" s="185"/>
      <c r="L2778"/>
      <c r="M2778"/>
      <c r="N2778"/>
      <c r="O2778"/>
      <c r="P2778"/>
      <c r="Q2778"/>
    </row>
    <row r="2779" spans="9:17" s="1" customFormat="1">
      <c r="I2779" s="185"/>
      <c r="J2779" s="185"/>
      <c r="K2779" s="185"/>
      <c r="L2779"/>
      <c r="M2779"/>
      <c r="N2779"/>
      <c r="O2779"/>
      <c r="P2779"/>
      <c r="Q2779"/>
    </row>
    <row r="2780" spans="9:17" s="1" customFormat="1">
      <c r="I2780" s="185"/>
      <c r="J2780" s="185"/>
      <c r="K2780" s="185"/>
      <c r="L2780"/>
      <c r="M2780"/>
      <c r="N2780"/>
      <c r="O2780"/>
      <c r="P2780"/>
      <c r="Q2780"/>
    </row>
    <row r="2781" spans="9:17" s="1" customFormat="1">
      <c r="I2781" s="185"/>
      <c r="J2781" s="185"/>
      <c r="K2781" s="185"/>
      <c r="L2781"/>
      <c r="M2781"/>
      <c r="N2781"/>
      <c r="O2781"/>
      <c r="P2781"/>
      <c r="Q2781"/>
    </row>
    <row r="2782" spans="9:17" s="1" customFormat="1">
      <c r="I2782" s="185"/>
      <c r="J2782" s="185"/>
      <c r="K2782" s="185"/>
      <c r="L2782"/>
      <c r="M2782"/>
      <c r="N2782"/>
      <c r="O2782"/>
      <c r="P2782"/>
      <c r="Q2782"/>
    </row>
    <row r="2783" spans="9:17" s="1" customFormat="1">
      <c r="I2783" s="185"/>
      <c r="J2783" s="185"/>
      <c r="K2783" s="185"/>
      <c r="L2783"/>
      <c r="M2783"/>
      <c r="N2783"/>
      <c r="O2783"/>
      <c r="P2783"/>
      <c r="Q2783"/>
    </row>
    <row r="2784" spans="9:17" s="1" customFormat="1">
      <c r="I2784" s="185"/>
      <c r="J2784" s="185"/>
      <c r="K2784" s="185"/>
      <c r="L2784"/>
      <c r="M2784"/>
      <c r="N2784"/>
      <c r="O2784"/>
      <c r="P2784"/>
      <c r="Q2784"/>
    </row>
    <row r="2785" spans="9:17" s="1" customFormat="1">
      <c r="I2785" s="185"/>
      <c r="J2785" s="185"/>
      <c r="K2785" s="185"/>
      <c r="L2785"/>
      <c r="M2785"/>
      <c r="N2785"/>
      <c r="O2785"/>
      <c r="P2785"/>
      <c r="Q2785"/>
    </row>
    <row r="2786" spans="9:17" s="1" customFormat="1">
      <c r="I2786" s="185"/>
      <c r="J2786" s="185"/>
      <c r="K2786" s="185"/>
      <c r="L2786"/>
      <c r="M2786"/>
      <c r="N2786"/>
      <c r="O2786"/>
      <c r="P2786"/>
      <c r="Q2786"/>
    </row>
    <row r="2787" spans="9:17" s="1" customFormat="1">
      <c r="I2787" s="185"/>
      <c r="J2787" s="185"/>
      <c r="K2787" s="185"/>
      <c r="L2787"/>
      <c r="M2787"/>
      <c r="N2787"/>
      <c r="O2787"/>
      <c r="P2787"/>
      <c r="Q2787"/>
    </row>
    <row r="2788" spans="9:17" s="1" customFormat="1">
      <c r="I2788" s="185"/>
      <c r="J2788" s="185"/>
      <c r="K2788" s="185"/>
      <c r="L2788"/>
      <c r="M2788"/>
      <c r="N2788"/>
      <c r="O2788"/>
      <c r="P2788"/>
      <c r="Q2788"/>
    </row>
    <row r="2789" spans="9:17" s="1" customFormat="1">
      <c r="I2789" s="185"/>
      <c r="J2789" s="185"/>
      <c r="K2789" s="185"/>
      <c r="L2789"/>
      <c r="M2789"/>
      <c r="N2789"/>
      <c r="O2789"/>
      <c r="P2789"/>
      <c r="Q2789"/>
    </row>
    <row r="2790" spans="9:17" s="1" customFormat="1">
      <c r="I2790" s="185"/>
      <c r="J2790" s="185"/>
      <c r="K2790" s="185"/>
      <c r="L2790"/>
      <c r="M2790"/>
      <c r="N2790"/>
      <c r="O2790"/>
      <c r="P2790"/>
      <c r="Q2790"/>
    </row>
    <row r="2791" spans="9:17" s="1" customFormat="1">
      <c r="I2791" s="185"/>
      <c r="J2791" s="185"/>
      <c r="K2791" s="185"/>
      <c r="L2791"/>
      <c r="M2791"/>
      <c r="N2791"/>
      <c r="O2791"/>
      <c r="P2791"/>
      <c r="Q2791"/>
    </row>
    <row r="2792" spans="9:17" s="1" customFormat="1">
      <c r="I2792" s="185"/>
      <c r="J2792" s="185"/>
      <c r="K2792" s="185"/>
      <c r="L2792"/>
      <c r="M2792"/>
      <c r="N2792"/>
      <c r="O2792"/>
      <c r="P2792"/>
      <c r="Q2792"/>
    </row>
    <row r="2793" spans="9:17" s="1" customFormat="1">
      <c r="I2793" s="185"/>
      <c r="J2793" s="185"/>
      <c r="K2793" s="185"/>
      <c r="L2793"/>
      <c r="M2793"/>
      <c r="N2793"/>
      <c r="O2793"/>
      <c r="P2793"/>
      <c r="Q2793"/>
    </row>
    <row r="2794" spans="9:17" s="1" customFormat="1">
      <c r="I2794" s="185"/>
      <c r="J2794" s="185"/>
      <c r="K2794" s="185"/>
      <c r="L2794"/>
      <c r="M2794"/>
      <c r="N2794"/>
      <c r="O2794"/>
      <c r="P2794"/>
      <c r="Q2794"/>
    </row>
    <row r="2795" spans="9:17" s="1" customFormat="1">
      <c r="I2795" s="185"/>
      <c r="J2795" s="185"/>
      <c r="K2795" s="185"/>
      <c r="L2795"/>
      <c r="M2795"/>
      <c r="N2795"/>
      <c r="O2795"/>
      <c r="P2795"/>
      <c r="Q2795"/>
    </row>
    <row r="2796" spans="9:17" s="1" customFormat="1">
      <c r="I2796" s="185"/>
      <c r="J2796" s="185"/>
      <c r="K2796" s="185"/>
      <c r="L2796"/>
      <c r="M2796"/>
      <c r="N2796"/>
      <c r="O2796"/>
      <c r="P2796"/>
      <c r="Q2796"/>
    </row>
    <row r="2797" spans="9:17" s="1" customFormat="1">
      <c r="I2797" s="185"/>
      <c r="J2797" s="185"/>
      <c r="K2797" s="185"/>
      <c r="L2797"/>
      <c r="M2797"/>
      <c r="N2797"/>
      <c r="O2797"/>
      <c r="P2797"/>
      <c r="Q2797"/>
    </row>
    <row r="2798" spans="9:17" s="1" customFormat="1">
      <c r="I2798" s="185"/>
      <c r="J2798" s="185"/>
      <c r="K2798" s="185"/>
      <c r="L2798"/>
      <c r="M2798"/>
      <c r="N2798"/>
      <c r="O2798"/>
      <c r="P2798"/>
      <c r="Q2798"/>
    </row>
    <row r="2799" spans="9:17" s="1" customFormat="1">
      <c r="I2799" s="185"/>
      <c r="J2799" s="185"/>
      <c r="K2799" s="185"/>
      <c r="L2799"/>
      <c r="M2799"/>
      <c r="N2799"/>
      <c r="O2799"/>
      <c r="P2799"/>
      <c r="Q2799"/>
    </row>
    <row r="2800" spans="9:17" s="1" customFormat="1">
      <c r="I2800" s="185"/>
      <c r="J2800" s="185"/>
      <c r="K2800" s="185"/>
      <c r="L2800"/>
      <c r="M2800"/>
      <c r="N2800"/>
      <c r="O2800"/>
      <c r="P2800"/>
      <c r="Q2800"/>
    </row>
    <row r="2801" spans="9:17" s="1" customFormat="1">
      <c r="I2801" s="185"/>
      <c r="J2801" s="185"/>
      <c r="K2801" s="185"/>
      <c r="L2801"/>
      <c r="M2801"/>
      <c r="N2801"/>
      <c r="O2801"/>
      <c r="P2801"/>
      <c r="Q2801"/>
    </row>
    <row r="2802" spans="9:17" s="1" customFormat="1">
      <c r="I2802" s="185"/>
      <c r="J2802" s="185"/>
      <c r="K2802" s="185"/>
      <c r="L2802"/>
      <c r="M2802"/>
      <c r="N2802"/>
      <c r="O2802"/>
      <c r="P2802"/>
      <c r="Q2802"/>
    </row>
    <row r="2803" spans="9:17" s="1" customFormat="1">
      <c r="I2803" s="185"/>
      <c r="J2803" s="185"/>
      <c r="K2803" s="185"/>
      <c r="L2803"/>
      <c r="M2803"/>
      <c r="N2803"/>
      <c r="O2803"/>
      <c r="P2803"/>
      <c r="Q2803"/>
    </row>
    <row r="2804" spans="9:17" s="1" customFormat="1">
      <c r="I2804" s="185"/>
      <c r="J2804" s="185"/>
      <c r="K2804" s="185"/>
      <c r="L2804"/>
      <c r="M2804"/>
      <c r="N2804"/>
      <c r="O2804"/>
      <c r="P2804"/>
      <c r="Q2804"/>
    </row>
    <row r="2805" spans="9:17" s="1" customFormat="1">
      <c r="I2805" s="185"/>
      <c r="J2805" s="185"/>
      <c r="K2805" s="185"/>
      <c r="L2805"/>
      <c r="M2805"/>
      <c r="N2805"/>
      <c r="O2805"/>
      <c r="P2805"/>
      <c r="Q2805"/>
    </row>
    <row r="2806" spans="9:17" s="1" customFormat="1">
      <c r="I2806" s="185"/>
      <c r="J2806" s="185"/>
      <c r="K2806" s="185"/>
      <c r="L2806"/>
      <c r="M2806"/>
      <c r="N2806"/>
      <c r="O2806"/>
      <c r="P2806"/>
      <c r="Q2806"/>
    </row>
    <row r="2807" spans="9:17" s="1" customFormat="1">
      <c r="I2807" s="185"/>
      <c r="J2807" s="185"/>
      <c r="K2807" s="185"/>
      <c r="L2807"/>
      <c r="M2807"/>
      <c r="N2807"/>
      <c r="O2807"/>
      <c r="P2807"/>
      <c r="Q2807"/>
    </row>
    <row r="2808" spans="9:17" s="1" customFormat="1">
      <c r="I2808" s="185"/>
      <c r="J2808" s="185"/>
      <c r="K2808" s="185"/>
      <c r="L2808"/>
      <c r="M2808"/>
      <c r="N2808"/>
      <c r="O2808"/>
      <c r="P2808"/>
      <c r="Q2808"/>
    </row>
    <row r="2809" spans="9:17" s="1" customFormat="1">
      <c r="I2809" s="185"/>
      <c r="J2809" s="185"/>
      <c r="K2809" s="185"/>
      <c r="L2809"/>
      <c r="M2809"/>
      <c r="N2809"/>
      <c r="O2809"/>
      <c r="P2809"/>
      <c r="Q2809"/>
    </row>
    <row r="2810" spans="9:17" s="1" customFormat="1">
      <c r="I2810" s="185"/>
      <c r="J2810" s="185"/>
      <c r="K2810" s="185"/>
      <c r="L2810"/>
      <c r="M2810"/>
      <c r="N2810"/>
      <c r="O2810"/>
      <c r="P2810"/>
      <c r="Q2810"/>
    </row>
    <row r="2811" spans="9:17" s="1" customFormat="1">
      <c r="I2811" s="185"/>
      <c r="J2811" s="185"/>
      <c r="K2811" s="185"/>
      <c r="L2811"/>
      <c r="M2811"/>
      <c r="N2811"/>
      <c r="O2811"/>
      <c r="P2811"/>
      <c r="Q2811"/>
    </row>
    <row r="2812" spans="9:17" s="1" customFormat="1">
      <c r="I2812" s="185"/>
      <c r="J2812" s="185"/>
      <c r="K2812" s="185"/>
      <c r="L2812"/>
      <c r="M2812"/>
      <c r="N2812"/>
      <c r="O2812"/>
      <c r="P2812"/>
      <c r="Q2812"/>
    </row>
    <row r="2813" spans="9:17" s="1" customFormat="1">
      <c r="I2813" s="185"/>
      <c r="J2813" s="185"/>
      <c r="K2813" s="185"/>
      <c r="L2813"/>
      <c r="M2813"/>
      <c r="N2813"/>
      <c r="O2813"/>
      <c r="P2813"/>
      <c r="Q2813"/>
    </row>
    <row r="2814" spans="9:17" s="1" customFormat="1">
      <c r="I2814" s="185"/>
      <c r="J2814" s="185"/>
      <c r="K2814" s="185"/>
      <c r="L2814"/>
      <c r="M2814"/>
      <c r="N2814"/>
      <c r="O2814"/>
      <c r="P2814"/>
      <c r="Q2814"/>
    </row>
    <row r="2815" spans="9:17" s="1" customFormat="1">
      <c r="I2815" s="185"/>
      <c r="J2815" s="185"/>
      <c r="K2815" s="185"/>
      <c r="L2815"/>
      <c r="M2815"/>
      <c r="N2815"/>
      <c r="O2815"/>
      <c r="P2815"/>
      <c r="Q2815"/>
    </row>
    <row r="2816" spans="9:17" s="1" customFormat="1">
      <c r="I2816" s="185"/>
      <c r="J2816" s="185"/>
      <c r="K2816" s="185"/>
      <c r="L2816"/>
      <c r="M2816"/>
      <c r="N2816"/>
      <c r="O2816"/>
      <c r="P2816"/>
      <c r="Q2816"/>
    </row>
    <row r="2817" spans="9:17" s="1" customFormat="1">
      <c r="I2817" s="185"/>
      <c r="J2817" s="185"/>
      <c r="K2817" s="185"/>
      <c r="L2817"/>
      <c r="M2817"/>
      <c r="N2817"/>
      <c r="O2817"/>
      <c r="P2817"/>
      <c r="Q2817"/>
    </row>
    <row r="2818" spans="9:17" s="1" customFormat="1">
      <c r="I2818" s="185"/>
      <c r="J2818" s="185"/>
      <c r="K2818" s="185"/>
      <c r="L2818"/>
      <c r="M2818"/>
      <c r="N2818"/>
      <c r="O2818"/>
      <c r="P2818"/>
      <c r="Q2818"/>
    </row>
    <row r="2819" spans="9:17" s="1" customFormat="1">
      <c r="I2819" s="185"/>
      <c r="J2819" s="185"/>
      <c r="K2819" s="185"/>
      <c r="L2819"/>
      <c r="M2819"/>
      <c r="N2819"/>
      <c r="O2819"/>
      <c r="P2819"/>
      <c r="Q2819"/>
    </row>
    <row r="2820" spans="9:17" s="1" customFormat="1">
      <c r="I2820" s="185"/>
      <c r="J2820" s="185"/>
      <c r="K2820" s="185"/>
      <c r="L2820"/>
      <c r="M2820"/>
      <c r="N2820"/>
      <c r="O2820"/>
      <c r="P2820"/>
      <c r="Q2820"/>
    </row>
    <row r="2821" spans="9:17" s="1" customFormat="1">
      <c r="I2821" s="185"/>
      <c r="J2821" s="185"/>
      <c r="K2821" s="185"/>
      <c r="L2821"/>
      <c r="M2821"/>
      <c r="N2821"/>
      <c r="O2821"/>
      <c r="P2821"/>
      <c r="Q2821"/>
    </row>
    <row r="2822" spans="9:17" s="1" customFormat="1">
      <c r="I2822" s="185"/>
      <c r="J2822" s="185"/>
      <c r="K2822" s="185"/>
      <c r="L2822"/>
      <c r="M2822"/>
      <c r="N2822"/>
      <c r="O2822"/>
      <c r="P2822"/>
      <c r="Q2822"/>
    </row>
    <row r="2823" spans="9:17" s="1" customFormat="1">
      <c r="I2823" s="185"/>
      <c r="J2823" s="185"/>
      <c r="K2823" s="185"/>
      <c r="L2823"/>
      <c r="M2823"/>
      <c r="N2823"/>
      <c r="O2823"/>
      <c r="P2823"/>
      <c r="Q2823"/>
    </row>
    <row r="2824" spans="9:17" s="1" customFormat="1">
      <c r="I2824" s="185"/>
      <c r="J2824" s="185"/>
      <c r="K2824" s="185"/>
      <c r="L2824"/>
      <c r="M2824"/>
      <c r="N2824"/>
      <c r="O2824"/>
      <c r="P2824"/>
      <c r="Q2824"/>
    </row>
    <row r="2825" spans="9:17" s="1" customFormat="1">
      <c r="I2825" s="185"/>
      <c r="J2825" s="185"/>
      <c r="K2825" s="185"/>
      <c r="L2825"/>
      <c r="M2825"/>
      <c r="N2825"/>
      <c r="O2825"/>
      <c r="P2825"/>
      <c r="Q2825"/>
    </row>
    <row r="2826" spans="9:17" s="1" customFormat="1">
      <c r="I2826" s="185"/>
      <c r="J2826" s="185"/>
      <c r="K2826" s="185"/>
      <c r="L2826"/>
      <c r="M2826"/>
      <c r="N2826"/>
      <c r="O2826"/>
      <c r="P2826"/>
      <c r="Q2826"/>
    </row>
    <row r="2827" spans="9:17" s="1" customFormat="1">
      <c r="I2827" s="185"/>
      <c r="J2827" s="185"/>
      <c r="K2827" s="185"/>
      <c r="L2827"/>
      <c r="M2827"/>
      <c r="N2827"/>
      <c r="O2827"/>
      <c r="P2827"/>
      <c r="Q2827"/>
    </row>
    <row r="2828" spans="9:17" s="1" customFormat="1">
      <c r="I2828" s="185"/>
      <c r="J2828" s="185"/>
      <c r="K2828" s="185"/>
      <c r="L2828"/>
      <c r="M2828"/>
      <c r="N2828"/>
      <c r="O2828"/>
      <c r="P2828"/>
      <c r="Q2828"/>
    </row>
    <row r="2829" spans="9:17" s="1" customFormat="1">
      <c r="I2829" s="185"/>
      <c r="J2829" s="185"/>
      <c r="K2829" s="185"/>
      <c r="L2829"/>
      <c r="M2829"/>
      <c r="N2829"/>
      <c r="O2829"/>
      <c r="P2829"/>
      <c r="Q2829"/>
    </row>
    <row r="2830" spans="9:17" s="1" customFormat="1">
      <c r="I2830" s="185"/>
      <c r="J2830" s="185"/>
      <c r="K2830" s="185"/>
      <c r="L2830"/>
      <c r="M2830"/>
      <c r="N2830"/>
      <c r="O2830"/>
      <c r="P2830"/>
      <c r="Q2830"/>
    </row>
    <row r="2831" spans="9:17" s="1" customFormat="1">
      <c r="I2831" s="185"/>
      <c r="J2831" s="185"/>
      <c r="K2831" s="185"/>
      <c r="L2831"/>
      <c r="M2831"/>
      <c r="N2831"/>
      <c r="O2831"/>
      <c r="P2831"/>
      <c r="Q2831"/>
    </row>
    <row r="2832" spans="9:17" s="1" customFormat="1">
      <c r="I2832" s="185"/>
      <c r="J2832" s="185"/>
      <c r="K2832" s="185"/>
      <c r="L2832"/>
      <c r="M2832"/>
      <c r="N2832"/>
      <c r="O2832"/>
      <c r="P2832"/>
      <c r="Q2832"/>
    </row>
    <row r="2833" spans="9:17" s="1" customFormat="1">
      <c r="I2833" s="185"/>
      <c r="J2833" s="185"/>
      <c r="K2833" s="185"/>
      <c r="L2833"/>
      <c r="M2833"/>
      <c r="N2833"/>
      <c r="O2833"/>
      <c r="P2833"/>
      <c r="Q2833"/>
    </row>
    <row r="2834" spans="9:17" s="1" customFormat="1">
      <c r="I2834" s="185"/>
      <c r="J2834" s="185"/>
      <c r="K2834" s="185"/>
      <c r="L2834"/>
      <c r="M2834"/>
      <c r="N2834"/>
      <c r="O2834"/>
      <c r="P2834"/>
      <c r="Q2834"/>
    </row>
    <row r="2835" spans="9:17" s="1" customFormat="1">
      <c r="I2835" s="185"/>
      <c r="J2835" s="185"/>
      <c r="K2835" s="185"/>
      <c r="L2835"/>
      <c r="M2835"/>
      <c r="N2835"/>
      <c r="O2835"/>
      <c r="P2835"/>
      <c r="Q2835"/>
    </row>
    <row r="2836" spans="9:17" s="1" customFormat="1">
      <c r="I2836" s="185"/>
      <c r="J2836" s="185"/>
      <c r="K2836" s="185"/>
      <c r="L2836"/>
      <c r="M2836"/>
      <c r="N2836"/>
      <c r="O2836"/>
      <c r="P2836"/>
      <c r="Q2836"/>
    </row>
    <row r="2837" spans="9:17" s="1" customFormat="1">
      <c r="I2837" s="185"/>
      <c r="J2837" s="185"/>
      <c r="K2837" s="185"/>
      <c r="L2837"/>
      <c r="M2837"/>
      <c r="N2837"/>
      <c r="O2837"/>
      <c r="P2837"/>
      <c r="Q2837"/>
    </row>
    <row r="2838" spans="9:17" s="1" customFormat="1">
      <c r="I2838" s="185"/>
      <c r="J2838" s="185"/>
      <c r="K2838" s="185"/>
      <c r="L2838"/>
      <c r="M2838"/>
      <c r="N2838"/>
      <c r="O2838"/>
      <c r="P2838"/>
      <c r="Q2838"/>
    </row>
    <row r="2839" spans="9:17" s="1" customFormat="1">
      <c r="I2839" s="185"/>
      <c r="J2839" s="185"/>
      <c r="K2839" s="185"/>
      <c r="L2839"/>
      <c r="M2839"/>
      <c r="N2839"/>
      <c r="O2839"/>
      <c r="P2839"/>
      <c r="Q2839"/>
    </row>
    <row r="2840" spans="9:17" s="1" customFormat="1">
      <c r="I2840" s="185"/>
      <c r="J2840" s="185"/>
      <c r="K2840" s="185"/>
      <c r="L2840"/>
      <c r="M2840"/>
      <c r="N2840"/>
      <c r="O2840"/>
      <c r="P2840"/>
      <c r="Q2840"/>
    </row>
    <row r="2841" spans="9:17" s="1" customFormat="1">
      <c r="I2841" s="185"/>
      <c r="J2841" s="185"/>
      <c r="K2841" s="185"/>
      <c r="L2841"/>
      <c r="M2841"/>
      <c r="N2841"/>
      <c r="O2841"/>
      <c r="P2841"/>
      <c r="Q2841"/>
    </row>
    <row r="2842" spans="9:17" s="1" customFormat="1">
      <c r="I2842" s="185"/>
      <c r="J2842" s="185"/>
      <c r="K2842" s="185"/>
      <c r="L2842"/>
      <c r="M2842"/>
      <c r="N2842"/>
      <c r="O2842"/>
      <c r="P2842"/>
      <c r="Q2842"/>
    </row>
    <row r="2843" spans="9:17" s="1" customFormat="1">
      <c r="I2843" s="185"/>
      <c r="J2843" s="185"/>
      <c r="K2843" s="185"/>
      <c r="L2843"/>
      <c r="M2843"/>
      <c r="N2843"/>
      <c r="O2843"/>
      <c r="P2843"/>
      <c r="Q2843"/>
    </row>
    <row r="2844" spans="9:17" s="1" customFormat="1">
      <c r="I2844" s="185"/>
      <c r="J2844" s="185"/>
      <c r="K2844" s="185"/>
      <c r="L2844"/>
      <c r="M2844"/>
      <c r="N2844"/>
      <c r="O2844"/>
      <c r="P2844"/>
      <c r="Q2844"/>
    </row>
    <row r="2845" spans="9:17" s="1" customFormat="1">
      <c r="I2845" s="185"/>
      <c r="J2845" s="185"/>
      <c r="K2845" s="185"/>
      <c r="L2845"/>
      <c r="M2845"/>
      <c r="N2845"/>
      <c r="O2845"/>
      <c r="P2845"/>
      <c r="Q2845"/>
    </row>
    <row r="2846" spans="9:17" s="1" customFormat="1">
      <c r="I2846" s="185"/>
      <c r="J2846" s="185"/>
      <c r="K2846" s="185"/>
      <c r="L2846"/>
      <c r="M2846"/>
      <c r="N2846"/>
      <c r="O2846"/>
      <c r="P2846"/>
      <c r="Q2846"/>
    </row>
    <row r="2847" spans="9:17" s="1" customFormat="1">
      <c r="I2847" s="185"/>
      <c r="J2847" s="185"/>
      <c r="K2847" s="185"/>
      <c r="L2847"/>
      <c r="M2847"/>
      <c r="N2847"/>
      <c r="O2847"/>
      <c r="P2847"/>
      <c r="Q2847"/>
    </row>
    <row r="2848" spans="9:17" s="1" customFormat="1">
      <c r="I2848" s="185"/>
      <c r="J2848" s="185"/>
      <c r="K2848" s="185"/>
      <c r="L2848"/>
      <c r="M2848"/>
      <c r="N2848"/>
      <c r="O2848"/>
      <c r="P2848"/>
      <c r="Q2848"/>
    </row>
    <row r="2849" spans="9:17" s="1" customFormat="1">
      <c r="I2849" s="185"/>
      <c r="J2849" s="185"/>
      <c r="K2849" s="185"/>
      <c r="L2849"/>
      <c r="M2849"/>
      <c r="N2849"/>
      <c r="O2849"/>
      <c r="P2849"/>
      <c r="Q2849"/>
    </row>
    <row r="2850" spans="9:17" s="1" customFormat="1">
      <c r="I2850" s="185"/>
      <c r="J2850" s="185"/>
      <c r="K2850" s="185"/>
      <c r="L2850"/>
      <c r="M2850"/>
      <c r="N2850"/>
      <c r="O2850"/>
      <c r="P2850"/>
      <c r="Q2850"/>
    </row>
    <row r="2851" spans="9:17" s="1" customFormat="1">
      <c r="I2851" s="185"/>
      <c r="J2851" s="185"/>
      <c r="K2851" s="185"/>
      <c r="L2851"/>
      <c r="M2851"/>
      <c r="N2851"/>
      <c r="O2851"/>
      <c r="P2851"/>
      <c r="Q2851"/>
    </row>
    <row r="2852" spans="9:17" s="1" customFormat="1">
      <c r="I2852" s="185"/>
      <c r="J2852" s="185"/>
      <c r="K2852" s="185"/>
      <c r="L2852"/>
      <c r="M2852"/>
      <c r="N2852"/>
      <c r="O2852"/>
      <c r="P2852"/>
      <c r="Q2852"/>
    </row>
    <row r="2853" spans="9:17" s="1" customFormat="1">
      <c r="I2853" s="185"/>
      <c r="J2853" s="185"/>
      <c r="K2853" s="185"/>
      <c r="L2853"/>
      <c r="M2853"/>
      <c r="N2853"/>
      <c r="O2853"/>
      <c r="P2853"/>
      <c r="Q2853"/>
    </row>
    <row r="2854" spans="9:17" s="1" customFormat="1">
      <c r="I2854" s="185"/>
      <c r="J2854" s="185"/>
      <c r="K2854" s="185"/>
      <c r="L2854"/>
      <c r="M2854"/>
      <c r="N2854"/>
      <c r="O2854"/>
      <c r="P2854"/>
      <c r="Q2854"/>
    </row>
    <row r="2855" spans="9:17" s="1" customFormat="1">
      <c r="I2855" s="185"/>
      <c r="J2855" s="185"/>
      <c r="K2855" s="185"/>
      <c r="L2855"/>
      <c r="M2855"/>
      <c r="N2855"/>
      <c r="O2855"/>
      <c r="P2855"/>
      <c r="Q2855"/>
    </row>
    <row r="2856" spans="9:17" s="1" customFormat="1">
      <c r="I2856" s="185"/>
      <c r="J2856" s="185"/>
      <c r="K2856" s="185"/>
      <c r="L2856"/>
      <c r="M2856"/>
      <c r="N2856"/>
      <c r="O2856"/>
      <c r="P2856"/>
      <c r="Q2856"/>
    </row>
    <row r="2857" spans="9:17" s="1" customFormat="1">
      <c r="I2857" s="185"/>
      <c r="J2857" s="185"/>
      <c r="K2857" s="185"/>
      <c r="L2857"/>
      <c r="M2857"/>
      <c r="N2857"/>
      <c r="O2857"/>
      <c r="P2857"/>
      <c r="Q2857"/>
    </row>
    <row r="2858" spans="9:17" s="1" customFormat="1">
      <c r="I2858" s="185"/>
      <c r="J2858" s="185"/>
      <c r="K2858" s="185"/>
      <c r="L2858"/>
      <c r="M2858"/>
      <c r="N2858"/>
      <c r="O2858"/>
      <c r="P2858"/>
      <c r="Q2858"/>
    </row>
    <row r="2859" spans="9:17" s="1" customFormat="1">
      <c r="I2859" s="185"/>
      <c r="J2859" s="185"/>
      <c r="K2859" s="185"/>
      <c r="L2859"/>
      <c r="M2859"/>
      <c r="N2859"/>
      <c r="O2859"/>
      <c r="P2859"/>
      <c r="Q2859"/>
    </row>
    <row r="2860" spans="9:17" s="1" customFormat="1">
      <c r="I2860" s="185"/>
      <c r="J2860" s="185"/>
      <c r="K2860" s="185"/>
      <c r="L2860"/>
      <c r="M2860"/>
      <c r="N2860"/>
      <c r="O2860"/>
      <c r="P2860"/>
      <c r="Q2860"/>
    </row>
    <row r="2861" spans="9:17" s="1" customFormat="1">
      <c r="I2861" s="185"/>
      <c r="J2861" s="185"/>
      <c r="K2861" s="185"/>
      <c r="L2861"/>
      <c r="M2861"/>
      <c r="N2861"/>
      <c r="O2861"/>
      <c r="P2861"/>
      <c r="Q2861"/>
    </row>
    <row r="2862" spans="9:17" s="1" customFormat="1">
      <c r="I2862" s="185"/>
      <c r="J2862" s="185"/>
      <c r="K2862" s="185"/>
      <c r="L2862"/>
      <c r="M2862"/>
      <c r="N2862"/>
      <c r="O2862"/>
      <c r="P2862"/>
      <c r="Q2862"/>
    </row>
    <row r="2863" spans="9:17" s="1" customFormat="1">
      <c r="I2863" s="185"/>
      <c r="J2863" s="185"/>
      <c r="K2863" s="185"/>
      <c r="L2863"/>
      <c r="M2863"/>
      <c r="N2863"/>
      <c r="O2863"/>
      <c r="P2863"/>
      <c r="Q2863"/>
    </row>
    <row r="2864" spans="9:17" s="1" customFormat="1">
      <c r="I2864" s="185"/>
      <c r="J2864" s="185"/>
      <c r="K2864" s="185"/>
      <c r="L2864"/>
      <c r="M2864"/>
      <c r="N2864"/>
      <c r="O2864"/>
      <c r="P2864"/>
      <c r="Q2864"/>
    </row>
    <row r="2865" spans="9:17" s="1" customFormat="1">
      <c r="I2865" s="185"/>
      <c r="J2865" s="185"/>
      <c r="K2865" s="185"/>
      <c r="L2865"/>
      <c r="M2865"/>
      <c r="N2865"/>
      <c r="O2865"/>
      <c r="P2865"/>
      <c r="Q2865"/>
    </row>
    <row r="2866" spans="9:17" s="1" customFormat="1">
      <c r="I2866" s="185"/>
      <c r="J2866" s="185"/>
      <c r="K2866" s="185"/>
      <c r="L2866"/>
      <c r="M2866"/>
      <c r="N2866"/>
      <c r="O2866"/>
      <c r="P2866"/>
      <c r="Q2866"/>
    </row>
    <row r="2867" spans="9:17" s="1" customFormat="1">
      <c r="I2867" s="185"/>
      <c r="J2867" s="185"/>
      <c r="K2867" s="185"/>
      <c r="L2867"/>
      <c r="M2867"/>
      <c r="N2867"/>
      <c r="O2867"/>
      <c r="P2867"/>
      <c r="Q2867"/>
    </row>
    <row r="2868" spans="9:17" s="1" customFormat="1">
      <c r="I2868" s="185"/>
      <c r="J2868" s="185"/>
      <c r="K2868" s="185"/>
      <c r="L2868"/>
      <c r="M2868"/>
      <c r="N2868"/>
      <c r="O2868"/>
      <c r="P2868"/>
      <c r="Q2868"/>
    </row>
    <row r="2869" spans="9:17" s="1" customFormat="1">
      <c r="I2869" s="185"/>
      <c r="J2869" s="185"/>
      <c r="K2869" s="185"/>
      <c r="L2869"/>
      <c r="M2869"/>
      <c r="N2869"/>
      <c r="O2869"/>
      <c r="P2869"/>
      <c r="Q2869"/>
    </row>
    <row r="2870" spans="9:17" s="1" customFormat="1">
      <c r="I2870" s="185"/>
      <c r="J2870" s="185"/>
      <c r="K2870" s="185"/>
      <c r="L2870"/>
      <c r="M2870"/>
      <c r="N2870"/>
      <c r="O2870"/>
      <c r="P2870"/>
      <c r="Q2870"/>
    </row>
    <row r="2871" spans="9:17" s="1" customFormat="1">
      <c r="I2871" s="185"/>
      <c r="J2871" s="185"/>
      <c r="K2871" s="185"/>
      <c r="L2871"/>
      <c r="M2871"/>
      <c r="N2871"/>
      <c r="O2871"/>
      <c r="P2871"/>
      <c r="Q2871"/>
    </row>
    <row r="2872" spans="9:17" s="1" customFormat="1">
      <c r="I2872" s="185"/>
      <c r="J2872" s="185"/>
      <c r="K2872" s="185"/>
      <c r="L2872"/>
      <c r="M2872"/>
      <c r="N2872"/>
      <c r="O2872"/>
      <c r="P2872"/>
      <c r="Q2872"/>
    </row>
    <row r="2873" spans="9:17" s="1" customFormat="1">
      <c r="I2873" s="185"/>
      <c r="J2873" s="185"/>
      <c r="K2873" s="185"/>
      <c r="L2873"/>
      <c r="M2873"/>
      <c r="N2873"/>
      <c r="O2873"/>
      <c r="P2873"/>
      <c r="Q2873"/>
    </row>
    <row r="2874" spans="9:17" s="1" customFormat="1">
      <c r="I2874" s="185"/>
      <c r="J2874" s="185"/>
      <c r="K2874" s="185"/>
      <c r="L2874"/>
      <c r="M2874"/>
      <c r="N2874"/>
      <c r="O2874"/>
      <c r="P2874"/>
      <c r="Q2874"/>
    </row>
    <row r="2875" spans="9:17" s="1" customFormat="1">
      <c r="I2875" s="185"/>
      <c r="J2875" s="185"/>
      <c r="K2875" s="185"/>
      <c r="L2875"/>
      <c r="M2875"/>
      <c r="N2875"/>
      <c r="O2875"/>
      <c r="P2875"/>
      <c r="Q2875"/>
    </row>
    <row r="2876" spans="9:17" s="1" customFormat="1">
      <c r="I2876" s="185"/>
      <c r="J2876" s="185"/>
      <c r="K2876" s="185"/>
      <c r="L2876"/>
      <c r="M2876"/>
      <c r="N2876"/>
      <c r="O2876"/>
      <c r="P2876"/>
      <c r="Q2876"/>
    </row>
    <row r="2877" spans="9:17" s="1" customFormat="1">
      <c r="I2877" s="185"/>
      <c r="J2877" s="185"/>
      <c r="K2877" s="185"/>
      <c r="L2877"/>
      <c r="M2877"/>
      <c r="N2877"/>
      <c r="O2877"/>
      <c r="P2877"/>
      <c r="Q2877"/>
    </row>
    <row r="2878" spans="9:17" s="1" customFormat="1">
      <c r="I2878" s="185"/>
      <c r="J2878" s="185"/>
      <c r="K2878" s="185"/>
      <c r="L2878"/>
      <c r="M2878"/>
      <c r="N2878"/>
      <c r="O2878"/>
      <c r="P2878"/>
      <c r="Q2878"/>
    </row>
    <row r="2879" spans="9:17" s="1" customFormat="1">
      <c r="I2879" s="185"/>
      <c r="J2879" s="185"/>
      <c r="K2879" s="185"/>
      <c r="L2879"/>
      <c r="M2879"/>
      <c r="N2879"/>
      <c r="O2879"/>
      <c r="P2879"/>
      <c r="Q2879"/>
    </row>
    <row r="2880" spans="9:17" s="1" customFormat="1">
      <c r="I2880" s="185"/>
      <c r="J2880" s="185"/>
      <c r="K2880" s="185"/>
      <c r="L2880"/>
      <c r="M2880"/>
      <c r="N2880"/>
      <c r="O2880"/>
      <c r="P2880"/>
      <c r="Q2880"/>
    </row>
    <row r="2881" spans="9:17" s="1" customFormat="1">
      <c r="I2881" s="185"/>
      <c r="J2881" s="185"/>
      <c r="K2881" s="185"/>
      <c r="L2881"/>
      <c r="M2881"/>
      <c r="N2881"/>
      <c r="O2881"/>
      <c r="P2881"/>
      <c r="Q2881"/>
    </row>
    <row r="2882" spans="9:17" s="1" customFormat="1">
      <c r="I2882" s="185"/>
      <c r="J2882" s="185"/>
      <c r="K2882" s="185"/>
      <c r="L2882"/>
      <c r="M2882"/>
      <c r="N2882"/>
      <c r="O2882"/>
      <c r="P2882"/>
      <c r="Q2882"/>
    </row>
    <row r="2883" spans="9:17" s="1" customFormat="1">
      <c r="I2883" s="185"/>
      <c r="J2883" s="185"/>
      <c r="K2883" s="185"/>
      <c r="L2883"/>
      <c r="M2883"/>
      <c r="N2883"/>
      <c r="O2883"/>
      <c r="P2883"/>
      <c r="Q2883"/>
    </row>
    <row r="2884" spans="9:17" s="1" customFormat="1">
      <c r="I2884" s="185"/>
      <c r="J2884" s="185"/>
      <c r="K2884" s="185"/>
      <c r="L2884"/>
      <c r="M2884"/>
      <c r="N2884"/>
      <c r="O2884"/>
      <c r="P2884"/>
      <c r="Q2884"/>
    </row>
    <row r="2885" spans="9:17" s="1" customFormat="1">
      <c r="I2885" s="185"/>
      <c r="J2885" s="185"/>
      <c r="K2885" s="185"/>
      <c r="L2885"/>
      <c r="M2885"/>
      <c r="N2885"/>
      <c r="O2885"/>
      <c r="P2885"/>
      <c r="Q2885"/>
    </row>
    <row r="2886" spans="9:17" s="1" customFormat="1">
      <c r="I2886" s="185"/>
      <c r="J2886" s="185"/>
      <c r="K2886" s="185"/>
      <c r="L2886"/>
      <c r="M2886"/>
      <c r="N2886"/>
      <c r="O2886"/>
      <c r="P2886"/>
      <c r="Q2886"/>
    </row>
    <row r="2887" spans="9:17" s="1" customFormat="1">
      <c r="I2887" s="185"/>
      <c r="J2887" s="185"/>
      <c r="K2887" s="185"/>
      <c r="L2887"/>
      <c r="M2887"/>
      <c r="N2887"/>
      <c r="O2887"/>
      <c r="P2887"/>
      <c r="Q2887"/>
    </row>
    <row r="2888" spans="9:17" s="1" customFormat="1">
      <c r="I2888" s="185"/>
      <c r="J2888" s="185"/>
      <c r="K2888" s="185"/>
      <c r="L2888"/>
      <c r="M2888"/>
      <c r="N2888"/>
      <c r="O2888"/>
      <c r="P2888"/>
      <c r="Q2888"/>
    </row>
    <row r="2889" spans="9:17" s="1" customFormat="1">
      <c r="I2889" s="185"/>
      <c r="J2889" s="185"/>
      <c r="K2889" s="185"/>
      <c r="L2889"/>
      <c r="M2889"/>
      <c r="N2889"/>
      <c r="O2889"/>
      <c r="P2889"/>
      <c r="Q2889"/>
    </row>
    <row r="2890" spans="9:17" s="1" customFormat="1">
      <c r="I2890" s="185"/>
      <c r="J2890" s="185"/>
      <c r="K2890" s="185"/>
      <c r="L2890"/>
      <c r="M2890"/>
      <c r="N2890"/>
      <c r="O2890"/>
      <c r="P2890"/>
      <c r="Q2890"/>
    </row>
    <row r="2891" spans="9:17" s="1" customFormat="1">
      <c r="I2891" s="185"/>
      <c r="J2891" s="185"/>
      <c r="K2891" s="185"/>
      <c r="L2891"/>
      <c r="M2891"/>
      <c r="N2891"/>
      <c r="O2891"/>
      <c r="P2891"/>
      <c r="Q2891"/>
    </row>
    <row r="2892" spans="9:17" s="1" customFormat="1">
      <c r="I2892" s="185"/>
      <c r="J2892" s="185"/>
      <c r="K2892" s="185"/>
      <c r="L2892"/>
      <c r="M2892"/>
      <c r="N2892"/>
      <c r="O2892"/>
      <c r="P2892"/>
      <c r="Q2892"/>
    </row>
    <row r="2893" spans="9:17" s="1" customFormat="1">
      <c r="I2893" s="185"/>
      <c r="J2893" s="185"/>
      <c r="K2893" s="185"/>
      <c r="L2893"/>
      <c r="M2893"/>
      <c r="N2893"/>
      <c r="O2893"/>
      <c r="P2893"/>
      <c r="Q2893"/>
    </row>
    <row r="2894" spans="9:17" s="1" customFormat="1">
      <c r="I2894" s="185"/>
      <c r="J2894" s="185"/>
      <c r="K2894" s="185"/>
      <c r="L2894"/>
      <c r="M2894"/>
      <c r="N2894"/>
      <c r="O2894"/>
      <c r="P2894"/>
      <c r="Q2894"/>
    </row>
    <row r="2895" spans="9:17" s="1" customFormat="1">
      <c r="I2895" s="185"/>
      <c r="J2895" s="185"/>
      <c r="K2895" s="185"/>
      <c r="L2895"/>
      <c r="M2895"/>
      <c r="N2895"/>
      <c r="O2895"/>
      <c r="P2895"/>
      <c r="Q2895"/>
    </row>
    <row r="2896" spans="9:17" s="1" customFormat="1">
      <c r="I2896" s="185"/>
      <c r="J2896" s="185"/>
      <c r="K2896" s="185"/>
      <c r="L2896"/>
      <c r="M2896"/>
      <c r="N2896"/>
      <c r="O2896"/>
      <c r="P2896"/>
      <c r="Q2896"/>
    </row>
    <row r="2897" spans="9:17" s="1" customFormat="1">
      <c r="I2897" s="185"/>
      <c r="J2897" s="185"/>
      <c r="K2897" s="185"/>
      <c r="L2897"/>
      <c r="M2897"/>
      <c r="N2897"/>
      <c r="O2897"/>
      <c r="P2897"/>
      <c r="Q2897"/>
    </row>
    <row r="2898" spans="9:17" s="1" customFormat="1">
      <c r="I2898" s="185"/>
      <c r="J2898" s="185"/>
      <c r="K2898" s="185"/>
      <c r="L2898"/>
      <c r="M2898"/>
      <c r="N2898"/>
      <c r="O2898"/>
      <c r="P2898"/>
      <c r="Q2898"/>
    </row>
    <row r="2899" spans="9:17" s="1" customFormat="1">
      <c r="I2899" s="185"/>
      <c r="J2899" s="185"/>
      <c r="K2899" s="185"/>
      <c r="L2899"/>
      <c r="M2899"/>
      <c r="N2899"/>
      <c r="O2899"/>
      <c r="P2899"/>
      <c r="Q2899"/>
    </row>
    <row r="2900" spans="9:17" s="1" customFormat="1">
      <c r="I2900" s="185"/>
      <c r="J2900" s="185"/>
      <c r="K2900" s="185"/>
      <c r="L2900"/>
      <c r="M2900"/>
      <c r="N2900"/>
      <c r="O2900"/>
      <c r="P2900"/>
      <c r="Q2900"/>
    </row>
    <row r="2901" spans="9:17" s="1" customFormat="1">
      <c r="I2901" s="185"/>
      <c r="J2901" s="185"/>
      <c r="K2901" s="185"/>
      <c r="L2901"/>
      <c r="M2901"/>
      <c r="N2901"/>
      <c r="O2901"/>
      <c r="P2901"/>
      <c r="Q2901"/>
    </row>
    <row r="2902" spans="9:17" s="1" customFormat="1">
      <c r="I2902" s="185"/>
      <c r="J2902" s="185"/>
      <c r="K2902" s="185"/>
      <c r="L2902"/>
      <c r="M2902"/>
      <c r="N2902"/>
      <c r="O2902"/>
      <c r="P2902"/>
      <c r="Q2902"/>
    </row>
    <row r="2903" spans="9:17" s="1" customFormat="1">
      <c r="I2903" s="185"/>
      <c r="J2903" s="185"/>
      <c r="K2903" s="185"/>
      <c r="L2903"/>
      <c r="M2903"/>
      <c r="N2903"/>
      <c r="O2903"/>
      <c r="P2903"/>
      <c r="Q2903"/>
    </row>
    <row r="2904" spans="9:17" s="1" customFormat="1">
      <c r="I2904" s="185"/>
      <c r="J2904" s="185"/>
      <c r="K2904" s="185"/>
      <c r="L2904"/>
      <c r="M2904"/>
      <c r="N2904"/>
      <c r="O2904"/>
      <c r="P2904"/>
      <c r="Q2904"/>
    </row>
    <row r="2905" spans="9:17" s="1" customFormat="1">
      <c r="I2905" s="185"/>
      <c r="J2905" s="185"/>
      <c r="K2905" s="185"/>
      <c r="L2905"/>
      <c r="M2905"/>
      <c r="N2905"/>
      <c r="O2905"/>
      <c r="P2905"/>
      <c r="Q2905"/>
    </row>
    <row r="2906" spans="9:17" s="1" customFormat="1">
      <c r="I2906" s="185"/>
      <c r="J2906" s="185"/>
      <c r="K2906" s="185"/>
      <c r="L2906"/>
      <c r="M2906"/>
      <c r="N2906"/>
      <c r="O2906"/>
      <c r="P2906"/>
      <c r="Q2906"/>
    </row>
    <row r="2907" spans="9:17" s="1" customFormat="1">
      <c r="I2907" s="185"/>
      <c r="J2907" s="185"/>
      <c r="K2907" s="185"/>
      <c r="L2907"/>
      <c r="M2907"/>
      <c r="N2907"/>
      <c r="O2907"/>
      <c r="P2907"/>
      <c r="Q2907"/>
    </row>
    <row r="2908" spans="9:17" s="1" customFormat="1">
      <c r="I2908" s="185"/>
      <c r="J2908" s="185"/>
      <c r="K2908" s="185"/>
      <c r="L2908"/>
      <c r="M2908"/>
      <c r="N2908"/>
      <c r="O2908"/>
      <c r="P2908"/>
      <c r="Q2908"/>
    </row>
    <row r="2909" spans="9:17" s="1" customFormat="1">
      <c r="I2909" s="185"/>
      <c r="J2909" s="185"/>
      <c r="K2909" s="185"/>
      <c r="L2909"/>
      <c r="M2909"/>
      <c r="N2909"/>
      <c r="O2909"/>
      <c r="P2909"/>
      <c r="Q2909"/>
    </row>
    <row r="2910" spans="9:17" s="1" customFormat="1">
      <c r="I2910" s="185"/>
      <c r="J2910" s="185"/>
      <c r="K2910" s="185"/>
      <c r="L2910"/>
      <c r="M2910"/>
      <c r="N2910"/>
      <c r="O2910"/>
      <c r="P2910"/>
      <c r="Q2910"/>
    </row>
    <row r="2911" spans="9:17" s="1" customFormat="1">
      <c r="I2911" s="185"/>
      <c r="J2911" s="185"/>
      <c r="K2911" s="185"/>
      <c r="L2911"/>
      <c r="M2911"/>
      <c r="N2911"/>
      <c r="O2911"/>
      <c r="P2911"/>
      <c r="Q2911"/>
    </row>
    <row r="2912" spans="9:17" s="1" customFormat="1">
      <c r="I2912" s="185"/>
      <c r="J2912" s="185"/>
      <c r="K2912" s="185"/>
      <c r="L2912"/>
      <c r="M2912"/>
      <c r="N2912"/>
      <c r="O2912"/>
      <c r="P2912"/>
      <c r="Q2912"/>
    </row>
    <row r="2913" spans="9:17" s="1" customFormat="1">
      <c r="I2913" s="185"/>
      <c r="J2913" s="185"/>
      <c r="K2913" s="185"/>
      <c r="L2913"/>
      <c r="M2913"/>
      <c r="N2913"/>
      <c r="O2913"/>
      <c r="P2913"/>
      <c r="Q2913"/>
    </row>
    <row r="2914" spans="9:17" s="1" customFormat="1">
      <c r="I2914" s="185"/>
      <c r="J2914" s="185"/>
      <c r="K2914" s="185"/>
      <c r="L2914"/>
      <c r="M2914"/>
      <c r="N2914"/>
      <c r="O2914"/>
      <c r="P2914"/>
      <c r="Q2914"/>
    </row>
    <row r="2915" spans="9:17" s="1" customFormat="1">
      <c r="I2915" s="185"/>
      <c r="J2915" s="185"/>
      <c r="K2915" s="185"/>
      <c r="L2915"/>
      <c r="M2915"/>
      <c r="N2915"/>
      <c r="O2915"/>
      <c r="P2915"/>
      <c r="Q2915"/>
    </row>
    <row r="2916" spans="9:17" s="1" customFormat="1">
      <c r="I2916" s="185"/>
      <c r="J2916" s="185"/>
      <c r="K2916" s="185"/>
      <c r="L2916"/>
      <c r="M2916"/>
      <c r="N2916"/>
      <c r="O2916"/>
      <c r="P2916"/>
      <c r="Q2916"/>
    </row>
    <row r="2917" spans="9:17" s="1" customFormat="1">
      <c r="I2917" s="185"/>
      <c r="J2917" s="185"/>
      <c r="K2917" s="185"/>
      <c r="L2917"/>
      <c r="M2917"/>
      <c r="N2917"/>
      <c r="O2917"/>
      <c r="P2917"/>
      <c r="Q2917"/>
    </row>
    <row r="2918" spans="9:17" s="1" customFormat="1">
      <c r="I2918" s="185"/>
      <c r="J2918" s="185"/>
      <c r="K2918" s="185"/>
      <c r="L2918"/>
      <c r="M2918"/>
      <c r="N2918"/>
      <c r="O2918"/>
      <c r="P2918"/>
      <c r="Q2918"/>
    </row>
    <row r="2919" spans="9:17" s="1" customFormat="1">
      <c r="I2919" s="185"/>
      <c r="J2919" s="185"/>
      <c r="K2919" s="185"/>
      <c r="L2919"/>
      <c r="M2919"/>
      <c r="N2919"/>
      <c r="O2919"/>
      <c r="P2919"/>
      <c r="Q2919"/>
    </row>
    <row r="2920" spans="9:17" s="1" customFormat="1">
      <c r="I2920" s="185"/>
      <c r="J2920" s="185"/>
      <c r="K2920" s="185"/>
      <c r="L2920"/>
      <c r="M2920"/>
      <c r="N2920"/>
      <c r="O2920"/>
      <c r="P2920"/>
      <c r="Q2920"/>
    </row>
    <row r="2921" spans="9:17" s="1" customFormat="1">
      <c r="I2921" s="185"/>
      <c r="J2921" s="185"/>
      <c r="K2921" s="185"/>
      <c r="L2921"/>
      <c r="M2921"/>
      <c r="N2921"/>
      <c r="O2921"/>
      <c r="P2921"/>
      <c r="Q2921"/>
    </row>
    <row r="2922" spans="9:17" s="1" customFormat="1">
      <c r="I2922" s="185"/>
      <c r="J2922" s="185"/>
      <c r="K2922" s="185"/>
      <c r="L2922"/>
      <c r="M2922"/>
      <c r="N2922"/>
      <c r="O2922"/>
      <c r="P2922"/>
      <c r="Q2922"/>
    </row>
    <row r="2923" spans="9:17" s="1" customFormat="1">
      <c r="I2923" s="185"/>
      <c r="J2923" s="185"/>
      <c r="K2923" s="185"/>
      <c r="L2923"/>
      <c r="M2923"/>
      <c r="N2923"/>
      <c r="O2923"/>
      <c r="P2923"/>
      <c r="Q2923"/>
    </row>
    <row r="2924" spans="9:17" s="1" customFormat="1">
      <c r="I2924" s="185"/>
      <c r="J2924" s="185"/>
      <c r="K2924" s="185"/>
      <c r="L2924"/>
      <c r="M2924"/>
      <c r="N2924"/>
      <c r="O2924"/>
      <c r="P2924"/>
      <c r="Q2924"/>
    </row>
    <row r="2925" spans="9:17" s="1" customFormat="1">
      <c r="I2925" s="185"/>
      <c r="J2925" s="185"/>
      <c r="K2925" s="185"/>
      <c r="L2925"/>
      <c r="M2925"/>
      <c r="N2925"/>
      <c r="O2925"/>
      <c r="P2925"/>
      <c r="Q2925"/>
    </row>
    <row r="2926" spans="9:17" s="1" customFormat="1">
      <c r="I2926" s="185"/>
      <c r="J2926" s="185"/>
      <c r="K2926" s="185"/>
      <c r="L2926"/>
      <c r="M2926"/>
      <c r="N2926"/>
      <c r="O2926"/>
      <c r="P2926"/>
      <c r="Q2926"/>
    </row>
    <row r="2927" spans="9:17" s="1" customFormat="1">
      <c r="I2927" s="185"/>
      <c r="J2927" s="185"/>
      <c r="K2927" s="185"/>
      <c r="L2927"/>
      <c r="M2927"/>
      <c r="N2927"/>
      <c r="O2927"/>
      <c r="P2927"/>
      <c r="Q2927"/>
    </row>
    <row r="2928" spans="9:17" s="1" customFormat="1">
      <c r="I2928" s="185"/>
      <c r="J2928" s="185"/>
      <c r="K2928" s="185"/>
      <c r="L2928"/>
      <c r="M2928"/>
      <c r="N2928"/>
      <c r="O2928"/>
      <c r="P2928"/>
      <c r="Q2928"/>
    </row>
    <row r="2929" spans="9:17" s="1" customFormat="1">
      <c r="I2929" s="185"/>
      <c r="J2929" s="185"/>
      <c r="K2929" s="185"/>
      <c r="L2929"/>
      <c r="M2929"/>
      <c r="N2929"/>
      <c r="O2929"/>
      <c r="P2929"/>
      <c r="Q2929"/>
    </row>
    <row r="2930" spans="9:17" s="1" customFormat="1">
      <c r="I2930" s="185"/>
      <c r="J2930" s="185"/>
      <c r="K2930" s="185"/>
      <c r="L2930"/>
      <c r="M2930"/>
      <c r="N2930"/>
      <c r="O2930"/>
      <c r="P2930"/>
      <c r="Q2930"/>
    </row>
    <row r="2931" spans="9:17" s="1" customFormat="1">
      <c r="I2931" s="185"/>
      <c r="J2931" s="185"/>
      <c r="K2931" s="185"/>
      <c r="L2931"/>
      <c r="M2931"/>
      <c r="N2931"/>
      <c r="O2931"/>
      <c r="P2931"/>
      <c r="Q2931"/>
    </row>
    <row r="2932" spans="9:17" s="1" customFormat="1">
      <c r="I2932" s="185"/>
      <c r="J2932" s="185"/>
      <c r="K2932" s="185"/>
      <c r="L2932"/>
      <c r="M2932"/>
      <c r="N2932"/>
      <c r="O2932"/>
      <c r="P2932"/>
      <c r="Q2932"/>
    </row>
    <row r="2933" spans="9:17" s="1" customFormat="1">
      <c r="I2933" s="185"/>
      <c r="J2933" s="185"/>
      <c r="K2933" s="185"/>
      <c r="L2933"/>
      <c r="M2933"/>
      <c r="N2933"/>
      <c r="O2933"/>
      <c r="P2933"/>
      <c r="Q2933"/>
    </row>
    <row r="2934" spans="9:17" s="1" customFormat="1">
      <c r="I2934" s="185"/>
      <c r="J2934" s="185"/>
      <c r="K2934" s="185"/>
      <c r="L2934"/>
      <c r="M2934"/>
      <c r="N2934"/>
      <c r="O2934"/>
      <c r="P2934"/>
      <c r="Q2934"/>
    </row>
    <row r="2935" spans="9:17" s="1" customFormat="1">
      <c r="I2935" s="185"/>
      <c r="J2935" s="185"/>
      <c r="K2935" s="185"/>
      <c r="L2935"/>
      <c r="M2935"/>
      <c r="N2935"/>
      <c r="O2935"/>
      <c r="P2935"/>
      <c r="Q2935"/>
    </row>
    <row r="2936" spans="9:17" s="1" customFormat="1">
      <c r="I2936" s="185"/>
      <c r="J2936" s="185"/>
      <c r="K2936" s="185"/>
      <c r="L2936"/>
      <c r="M2936"/>
      <c r="N2936"/>
      <c r="O2936"/>
      <c r="P2936"/>
      <c r="Q2936"/>
    </row>
    <row r="2937" spans="9:17" s="1" customFormat="1">
      <c r="I2937" s="185"/>
      <c r="J2937" s="185"/>
      <c r="K2937" s="185"/>
      <c r="L2937"/>
      <c r="M2937"/>
      <c r="N2937"/>
      <c r="O2937"/>
      <c r="P2937"/>
      <c r="Q2937"/>
    </row>
    <row r="2938" spans="9:17" s="1" customFormat="1">
      <c r="I2938" s="185"/>
      <c r="J2938" s="185"/>
      <c r="K2938" s="185"/>
      <c r="L2938"/>
      <c r="M2938"/>
      <c r="N2938"/>
      <c r="O2938"/>
      <c r="P2938"/>
      <c r="Q2938"/>
    </row>
    <row r="2939" spans="9:17" s="1" customFormat="1">
      <c r="I2939" s="185"/>
      <c r="J2939" s="185"/>
      <c r="K2939" s="185"/>
      <c r="L2939"/>
      <c r="M2939"/>
      <c r="N2939"/>
      <c r="O2939"/>
      <c r="P2939"/>
      <c r="Q2939"/>
    </row>
    <row r="2940" spans="9:17" s="1" customFormat="1">
      <c r="I2940" s="185"/>
      <c r="J2940" s="185"/>
      <c r="K2940" s="185"/>
      <c r="L2940"/>
      <c r="M2940"/>
      <c r="N2940"/>
      <c r="O2940"/>
      <c r="P2940"/>
      <c r="Q2940"/>
    </row>
    <row r="2941" spans="9:17" s="1" customFormat="1">
      <c r="I2941" s="185"/>
      <c r="J2941" s="185"/>
      <c r="K2941" s="185"/>
      <c r="L2941"/>
      <c r="M2941"/>
      <c r="N2941"/>
      <c r="O2941"/>
      <c r="P2941"/>
      <c r="Q2941"/>
    </row>
    <row r="2942" spans="9:17" s="1" customFormat="1">
      <c r="I2942" s="185"/>
      <c r="J2942" s="185"/>
      <c r="K2942" s="185"/>
      <c r="L2942"/>
      <c r="M2942"/>
      <c r="N2942"/>
      <c r="O2942"/>
      <c r="P2942"/>
      <c r="Q2942"/>
    </row>
    <row r="2943" spans="9:17" s="1" customFormat="1">
      <c r="I2943" s="185"/>
      <c r="J2943" s="185"/>
      <c r="K2943" s="185"/>
      <c r="L2943"/>
      <c r="M2943"/>
      <c r="N2943"/>
      <c r="O2943"/>
      <c r="P2943"/>
      <c r="Q2943"/>
    </row>
    <row r="2944" spans="9:17" s="1" customFormat="1">
      <c r="I2944" s="185"/>
      <c r="J2944" s="185"/>
      <c r="K2944" s="185"/>
      <c r="L2944"/>
      <c r="M2944"/>
      <c r="N2944"/>
      <c r="O2944"/>
      <c r="P2944"/>
      <c r="Q2944"/>
    </row>
    <row r="2945" spans="9:17" s="1" customFormat="1">
      <c r="I2945" s="185"/>
      <c r="J2945" s="185"/>
      <c r="K2945" s="185"/>
      <c r="L2945"/>
      <c r="M2945"/>
      <c r="N2945"/>
      <c r="O2945"/>
      <c r="P2945"/>
      <c r="Q2945"/>
    </row>
    <row r="2946" spans="9:17" s="1" customFormat="1">
      <c r="I2946" s="185"/>
      <c r="J2946" s="185"/>
      <c r="K2946" s="185"/>
      <c r="L2946"/>
      <c r="M2946"/>
      <c r="N2946"/>
      <c r="O2946"/>
      <c r="P2946"/>
      <c r="Q2946"/>
    </row>
    <row r="2947" spans="9:17" s="1" customFormat="1">
      <c r="I2947" s="185"/>
      <c r="J2947" s="185"/>
      <c r="K2947" s="185"/>
      <c r="L2947"/>
      <c r="M2947"/>
      <c r="N2947"/>
      <c r="O2947"/>
      <c r="P2947"/>
      <c r="Q2947"/>
    </row>
    <row r="2948" spans="9:17" s="1" customFormat="1">
      <c r="I2948" s="185"/>
      <c r="J2948" s="185"/>
      <c r="K2948" s="185"/>
      <c r="L2948"/>
      <c r="M2948"/>
      <c r="N2948"/>
      <c r="O2948"/>
      <c r="P2948"/>
      <c r="Q2948"/>
    </row>
    <row r="2949" spans="9:17" s="1" customFormat="1">
      <c r="I2949" s="185"/>
      <c r="J2949" s="185"/>
      <c r="K2949" s="185"/>
      <c r="L2949"/>
      <c r="M2949"/>
      <c r="N2949"/>
      <c r="O2949"/>
      <c r="P2949"/>
      <c r="Q2949"/>
    </row>
    <row r="2950" spans="9:17" s="1" customFormat="1">
      <c r="I2950" s="185"/>
      <c r="J2950" s="185"/>
      <c r="K2950" s="185"/>
      <c r="L2950"/>
      <c r="M2950"/>
      <c r="N2950"/>
      <c r="O2950"/>
      <c r="P2950"/>
      <c r="Q2950"/>
    </row>
    <row r="2951" spans="9:17" s="1" customFormat="1">
      <c r="I2951" s="185"/>
      <c r="J2951" s="185"/>
      <c r="K2951" s="185"/>
      <c r="L2951"/>
      <c r="M2951"/>
      <c r="N2951"/>
      <c r="O2951"/>
      <c r="P2951"/>
      <c r="Q2951"/>
    </row>
    <row r="2952" spans="9:17" s="1" customFormat="1">
      <c r="I2952" s="185"/>
      <c r="J2952" s="185"/>
      <c r="K2952" s="185"/>
      <c r="L2952"/>
      <c r="M2952"/>
      <c r="N2952"/>
      <c r="O2952"/>
      <c r="P2952"/>
      <c r="Q2952"/>
    </row>
    <row r="2953" spans="9:17" s="1" customFormat="1">
      <c r="I2953" s="185"/>
      <c r="J2953" s="185"/>
      <c r="K2953" s="185"/>
      <c r="L2953"/>
      <c r="M2953"/>
      <c r="N2953"/>
      <c r="O2953"/>
      <c r="P2953"/>
      <c r="Q2953"/>
    </row>
    <row r="2954" spans="9:17" s="1" customFormat="1">
      <c r="I2954" s="185"/>
      <c r="J2954" s="185"/>
      <c r="K2954" s="185"/>
      <c r="L2954"/>
      <c r="M2954"/>
      <c r="N2954"/>
      <c r="O2954"/>
      <c r="P2954"/>
      <c r="Q2954"/>
    </row>
    <row r="2955" spans="9:17" s="1" customFormat="1">
      <c r="I2955" s="185"/>
      <c r="J2955" s="185"/>
      <c r="K2955" s="185"/>
      <c r="L2955"/>
      <c r="M2955"/>
      <c r="N2955"/>
      <c r="O2955"/>
      <c r="P2955"/>
      <c r="Q2955"/>
    </row>
    <row r="2956" spans="9:17" s="1" customFormat="1">
      <c r="I2956" s="185"/>
      <c r="J2956" s="185"/>
      <c r="K2956" s="185"/>
      <c r="L2956"/>
      <c r="M2956"/>
      <c r="N2956"/>
      <c r="O2956"/>
      <c r="P2956"/>
      <c r="Q2956"/>
    </row>
    <row r="2957" spans="9:17" s="1" customFormat="1">
      <c r="I2957" s="185"/>
      <c r="J2957" s="185"/>
      <c r="K2957" s="185"/>
      <c r="L2957"/>
      <c r="M2957"/>
      <c r="N2957"/>
      <c r="O2957"/>
      <c r="P2957"/>
      <c r="Q2957"/>
    </row>
    <row r="2958" spans="9:17" s="1" customFormat="1">
      <c r="I2958" s="185"/>
      <c r="J2958" s="185"/>
      <c r="K2958" s="185"/>
      <c r="L2958"/>
      <c r="M2958"/>
      <c r="N2958"/>
      <c r="O2958"/>
      <c r="P2958"/>
      <c r="Q2958"/>
    </row>
    <row r="2959" spans="9:17" s="1" customFormat="1">
      <c r="I2959" s="185"/>
      <c r="J2959" s="185"/>
      <c r="K2959" s="185"/>
      <c r="L2959"/>
      <c r="M2959"/>
      <c r="N2959"/>
      <c r="O2959"/>
      <c r="P2959"/>
      <c r="Q2959"/>
    </row>
    <row r="2960" spans="9:17" s="1" customFormat="1">
      <c r="I2960" s="185"/>
      <c r="J2960" s="185"/>
      <c r="K2960" s="185"/>
      <c r="L2960"/>
      <c r="M2960"/>
      <c r="N2960"/>
      <c r="O2960"/>
      <c r="P2960"/>
      <c r="Q2960"/>
    </row>
    <row r="2961" spans="9:17" s="1" customFormat="1">
      <c r="I2961" s="185"/>
      <c r="J2961" s="185"/>
      <c r="K2961" s="185"/>
      <c r="L2961"/>
      <c r="M2961"/>
      <c r="N2961"/>
      <c r="O2961"/>
      <c r="P2961"/>
      <c r="Q2961"/>
    </row>
    <row r="2962" spans="9:17" s="1" customFormat="1">
      <c r="I2962" s="185"/>
      <c r="J2962" s="185"/>
      <c r="K2962" s="185"/>
      <c r="L2962"/>
      <c r="M2962"/>
      <c r="N2962"/>
      <c r="O2962"/>
      <c r="P2962"/>
      <c r="Q2962"/>
    </row>
    <row r="2963" spans="9:17" s="1" customFormat="1">
      <c r="I2963" s="185"/>
      <c r="J2963" s="185"/>
      <c r="K2963" s="185"/>
      <c r="L2963"/>
      <c r="M2963"/>
      <c r="N2963"/>
      <c r="O2963"/>
      <c r="P2963"/>
      <c r="Q2963"/>
    </row>
    <row r="2964" spans="9:17" s="1" customFormat="1">
      <c r="I2964" s="185"/>
      <c r="J2964" s="185"/>
      <c r="K2964" s="185"/>
      <c r="L2964"/>
      <c r="M2964"/>
      <c r="N2964"/>
      <c r="O2964"/>
      <c r="P2964"/>
      <c r="Q2964"/>
    </row>
    <row r="2965" spans="9:17" s="1" customFormat="1">
      <c r="I2965" s="185"/>
      <c r="J2965" s="185"/>
      <c r="K2965" s="185"/>
      <c r="L2965"/>
      <c r="M2965"/>
      <c r="N2965"/>
      <c r="O2965"/>
      <c r="P2965"/>
      <c r="Q2965"/>
    </row>
    <row r="2966" spans="9:17" s="1" customFormat="1">
      <c r="I2966" s="185"/>
      <c r="J2966" s="185"/>
      <c r="K2966" s="185"/>
      <c r="L2966"/>
      <c r="M2966"/>
      <c r="N2966"/>
      <c r="O2966"/>
      <c r="P2966"/>
      <c r="Q2966"/>
    </row>
    <row r="2967" spans="9:17" s="1" customFormat="1">
      <c r="I2967" s="185"/>
      <c r="J2967" s="185"/>
      <c r="K2967" s="185"/>
      <c r="L2967"/>
      <c r="M2967"/>
      <c r="N2967"/>
      <c r="O2967"/>
      <c r="P2967"/>
      <c r="Q2967"/>
    </row>
    <row r="2968" spans="9:17" s="1" customFormat="1">
      <c r="I2968" s="185"/>
      <c r="J2968" s="185"/>
      <c r="K2968" s="185"/>
      <c r="L2968"/>
      <c r="M2968"/>
      <c r="N2968"/>
      <c r="O2968"/>
      <c r="P2968"/>
      <c r="Q2968"/>
    </row>
    <row r="2969" spans="9:17" s="1" customFormat="1">
      <c r="I2969" s="185"/>
      <c r="J2969" s="185"/>
      <c r="K2969" s="185"/>
      <c r="L2969"/>
      <c r="M2969"/>
      <c r="N2969"/>
      <c r="O2969"/>
      <c r="P2969"/>
      <c r="Q2969"/>
    </row>
    <row r="2970" spans="9:17" s="1" customFormat="1">
      <c r="I2970" s="185"/>
      <c r="J2970" s="185"/>
      <c r="K2970" s="185"/>
      <c r="L2970"/>
      <c r="M2970"/>
      <c r="N2970"/>
      <c r="O2970"/>
      <c r="P2970"/>
      <c r="Q2970"/>
    </row>
    <row r="2971" spans="9:17" s="1" customFormat="1">
      <c r="I2971" s="185"/>
      <c r="J2971" s="185"/>
      <c r="K2971" s="185"/>
      <c r="L2971"/>
      <c r="M2971"/>
      <c r="N2971"/>
      <c r="O2971"/>
      <c r="P2971"/>
      <c r="Q2971"/>
    </row>
    <row r="2972" spans="9:17" s="1" customFormat="1">
      <c r="I2972" s="185"/>
      <c r="J2972" s="185"/>
      <c r="K2972" s="185"/>
      <c r="L2972"/>
      <c r="M2972"/>
      <c r="N2972"/>
      <c r="O2972"/>
      <c r="P2972"/>
      <c r="Q2972"/>
    </row>
    <row r="2973" spans="9:17" s="1" customFormat="1">
      <c r="I2973" s="185"/>
      <c r="J2973" s="185"/>
      <c r="K2973" s="185"/>
      <c r="L2973"/>
      <c r="M2973"/>
      <c r="N2973"/>
      <c r="O2973"/>
      <c r="P2973"/>
      <c r="Q2973"/>
    </row>
    <row r="2974" spans="9:17" s="1" customFormat="1">
      <c r="I2974" s="185"/>
      <c r="J2974" s="185"/>
      <c r="K2974" s="185"/>
      <c r="L2974"/>
      <c r="M2974"/>
      <c r="N2974"/>
      <c r="O2974"/>
      <c r="P2974"/>
      <c r="Q2974"/>
    </row>
    <row r="2975" spans="9:17" s="1" customFormat="1">
      <c r="I2975" s="185"/>
      <c r="J2975" s="185"/>
      <c r="K2975" s="185"/>
      <c r="L2975"/>
      <c r="M2975"/>
      <c r="N2975"/>
      <c r="O2975"/>
      <c r="P2975"/>
      <c r="Q2975"/>
    </row>
    <row r="2976" spans="9:17" s="1" customFormat="1">
      <c r="I2976" s="185"/>
      <c r="J2976" s="185"/>
      <c r="K2976" s="185"/>
      <c r="L2976"/>
      <c r="M2976"/>
      <c r="N2976"/>
      <c r="O2976"/>
      <c r="P2976"/>
      <c r="Q2976"/>
    </row>
    <row r="2977" spans="9:17" s="1" customFormat="1">
      <c r="I2977" s="185"/>
      <c r="J2977" s="185"/>
      <c r="K2977" s="185"/>
      <c r="L2977"/>
      <c r="M2977"/>
      <c r="N2977"/>
      <c r="O2977"/>
      <c r="P2977"/>
      <c r="Q2977"/>
    </row>
    <row r="2978" spans="9:17" s="1" customFormat="1">
      <c r="I2978" s="185"/>
      <c r="J2978" s="185"/>
      <c r="K2978" s="185"/>
      <c r="L2978"/>
      <c r="M2978"/>
      <c r="N2978"/>
      <c r="O2978"/>
      <c r="P2978"/>
      <c r="Q2978"/>
    </row>
    <row r="2979" spans="9:17" s="1" customFormat="1">
      <c r="I2979" s="185"/>
      <c r="J2979" s="185"/>
      <c r="K2979" s="185"/>
      <c r="L2979"/>
      <c r="M2979"/>
      <c r="N2979"/>
      <c r="O2979"/>
      <c r="P2979"/>
      <c r="Q2979"/>
    </row>
    <row r="2980" spans="9:17" s="1" customFormat="1">
      <c r="I2980" s="185"/>
      <c r="J2980" s="185"/>
      <c r="K2980" s="185"/>
      <c r="L2980"/>
      <c r="M2980"/>
      <c r="N2980"/>
      <c r="O2980"/>
      <c r="P2980"/>
      <c r="Q2980"/>
    </row>
    <row r="2981" spans="9:17" s="1" customFormat="1">
      <c r="I2981" s="185"/>
      <c r="J2981" s="185"/>
      <c r="K2981" s="185"/>
      <c r="L2981"/>
      <c r="M2981"/>
      <c r="N2981"/>
      <c r="O2981"/>
      <c r="P2981"/>
      <c r="Q2981"/>
    </row>
    <row r="2982" spans="9:17" s="1" customFormat="1">
      <c r="I2982" s="185"/>
      <c r="J2982" s="185"/>
      <c r="K2982" s="185"/>
      <c r="L2982"/>
      <c r="M2982"/>
      <c r="N2982"/>
      <c r="O2982"/>
      <c r="P2982"/>
      <c r="Q2982"/>
    </row>
    <row r="2983" spans="9:17" s="1" customFormat="1">
      <c r="I2983" s="185"/>
      <c r="J2983" s="185"/>
      <c r="K2983" s="185"/>
      <c r="L2983"/>
      <c r="M2983"/>
      <c r="N2983"/>
      <c r="O2983"/>
      <c r="P2983"/>
      <c r="Q2983"/>
    </row>
    <row r="2984" spans="9:17" s="1" customFormat="1">
      <c r="I2984" s="185"/>
      <c r="J2984" s="185"/>
      <c r="K2984" s="185"/>
      <c r="L2984"/>
      <c r="M2984"/>
      <c r="N2984"/>
      <c r="O2984"/>
      <c r="P2984"/>
      <c r="Q2984"/>
    </row>
    <row r="2985" spans="9:17" s="1" customFormat="1">
      <c r="I2985" s="185"/>
      <c r="J2985" s="185"/>
      <c r="K2985" s="185"/>
      <c r="L2985"/>
      <c r="M2985"/>
      <c r="N2985"/>
      <c r="O2985"/>
      <c r="P2985"/>
      <c r="Q2985"/>
    </row>
    <row r="2986" spans="9:17" s="1" customFormat="1">
      <c r="I2986" s="185"/>
      <c r="J2986" s="185"/>
      <c r="K2986" s="185"/>
      <c r="L2986"/>
      <c r="M2986"/>
      <c r="N2986"/>
      <c r="O2986"/>
      <c r="P2986"/>
      <c r="Q2986"/>
    </row>
    <row r="2987" spans="9:17" s="1" customFormat="1">
      <c r="I2987" s="185"/>
      <c r="J2987" s="185"/>
      <c r="K2987" s="185"/>
      <c r="L2987"/>
      <c r="M2987"/>
      <c r="N2987"/>
      <c r="O2987"/>
      <c r="P2987"/>
      <c r="Q2987"/>
    </row>
    <row r="2988" spans="9:17" s="1" customFormat="1">
      <c r="I2988" s="185"/>
      <c r="J2988" s="185"/>
      <c r="K2988" s="185"/>
      <c r="L2988"/>
      <c r="M2988"/>
      <c r="N2988"/>
      <c r="O2988"/>
      <c r="P2988"/>
      <c r="Q2988"/>
    </row>
    <row r="2989" spans="9:17" s="1" customFormat="1">
      <c r="I2989" s="185"/>
      <c r="J2989" s="185"/>
      <c r="K2989" s="185"/>
      <c r="L2989"/>
      <c r="M2989"/>
      <c r="N2989"/>
      <c r="O2989"/>
      <c r="P2989"/>
      <c r="Q2989"/>
    </row>
    <row r="2990" spans="9:17" s="1" customFormat="1">
      <c r="I2990" s="185"/>
      <c r="J2990" s="185"/>
      <c r="K2990" s="185"/>
      <c r="L2990"/>
      <c r="M2990"/>
      <c r="N2990"/>
      <c r="O2990"/>
      <c r="P2990"/>
      <c r="Q2990"/>
    </row>
    <row r="2991" spans="9:17" s="1" customFormat="1">
      <c r="I2991" s="185"/>
      <c r="J2991" s="185"/>
      <c r="K2991" s="185"/>
      <c r="L2991"/>
      <c r="M2991"/>
      <c r="N2991"/>
      <c r="O2991"/>
      <c r="P2991"/>
      <c r="Q2991"/>
    </row>
    <row r="2992" spans="9:17" s="1" customFormat="1">
      <c r="I2992" s="185"/>
      <c r="J2992" s="185"/>
      <c r="K2992" s="185"/>
      <c r="L2992"/>
      <c r="M2992"/>
      <c r="N2992"/>
      <c r="O2992"/>
      <c r="P2992"/>
      <c r="Q2992"/>
    </row>
    <row r="2993" spans="9:17" s="1" customFormat="1">
      <c r="I2993" s="185"/>
      <c r="J2993" s="185"/>
      <c r="K2993" s="185"/>
      <c r="L2993"/>
      <c r="M2993"/>
      <c r="N2993"/>
      <c r="O2993"/>
      <c r="P2993"/>
      <c r="Q2993"/>
    </row>
    <row r="2994" spans="9:17" s="1" customFormat="1">
      <c r="I2994" s="185"/>
      <c r="J2994" s="185"/>
      <c r="K2994" s="185"/>
      <c r="L2994"/>
      <c r="M2994"/>
      <c r="N2994"/>
      <c r="O2994"/>
      <c r="P2994"/>
      <c r="Q2994"/>
    </row>
    <row r="2995" spans="9:17" s="1" customFormat="1">
      <c r="I2995" s="185"/>
      <c r="J2995" s="185"/>
      <c r="K2995" s="185"/>
      <c r="L2995"/>
      <c r="M2995"/>
      <c r="N2995"/>
      <c r="O2995"/>
      <c r="P2995"/>
      <c r="Q2995"/>
    </row>
    <row r="2996" spans="9:17" s="1" customFormat="1">
      <c r="I2996" s="185"/>
      <c r="J2996" s="185"/>
      <c r="K2996" s="185"/>
      <c r="L2996"/>
      <c r="M2996"/>
      <c r="N2996"/>
      <c r="O2996"/>
      <c r="P2996"/>
      <c r="Q2996"/>
    </row>
    <row r="2997" spans="9:17" s="1" customFormat="1">
      <c r="I2997" s="185"/>
      <c r="J2997" s="185"/>
      <c r="K2997" s="185"/>
      <c r="L2997"/>
      <c r="M2997"/>
      <c r="N2997"/>
      <c r="O2997"/>
      <c r="P2997"/>
      <c r="Q2997"/>
    </row>
    <row r="2998" spans="9:17" s="1" customFormat="1">
      <c r="I2998" s="185"/>
      <c r="J2998" s="185"/>
      <c r="K2998" s="185"/>
      <c r="L2998"/>
      <c r="M2998"/>
      <c r="N2998"/>
      <c r="O2998"/>
      <c r="P2998"/>
      <c r="Q2998"/>
    </row>
    <row r="2999" spans="9:17" s="1" customFormat="1">
      <c r="I2999" s="185"/>
      <c r="J2999" s="185"/>
      <c r="K2999" s="185"/>
      <c r="L2999"/>
      <c r="M2999"/>
      <c r="N2999"/>
      <c r="O2999"/>
      <c r="P2999"/>
      <c r="Q2999"/>
    </row>
    <row r="3000" spans="9:17" s="1" customFormat="1">
      <c r="I3000" s="185"/>
      <c r="J3000" s="185"/>
      <c r="K3000" s="185"/>
      <c r="L3000"/>
      <c r="M3000"/>
      <c r="N3000"/>
      <c r="O3000"/>
      <c r="P3000"/>
      <c r="Q3000"/>
    </row>
    <row r="3001" spans="9:17" s="1" customFormat="1">
      <c r="I3001" s="185"/>
      <c r="J3001" s="185"/>
      <c r="K3001" s="185"/>
      <c r="L3001"/>
      <c r="M3001"/>
      <c r="N3001"/>
      <c r="O3001"/>
      <c r="P3001"/>
      <c r="Q3001"/>
    </row>
    <row r="3002" spans="9:17" s="1" customFormat="1">
      <c r="I3002" s="185"/>
      <c r="J3002" s="185"/>
      <c r="K3002" s="185"/>
      <c r="L3002"/>
      <c r="M3002"/>
      <c r="N3002"/>
      <c r="O3002"/>
      <c r="P3002"/>
      <c r="Q3002"/>
    </row>
    <row r="3003" spans="9:17" s="1" customFormat="1">
      <c r="I3003" s="185"/>
      <c r="J3003" s="185"/>
      <c r="K3003" s="185"/>
      <c r="L3003"/>
      <c r="M3003"/>
      <c r="N3003"/>
      <c r="O3003"/>
      <c r="P3003"/>
      <c r="Q3003"/>
    </row>
    <row r="3004" spans="9:17" s="1" customFormat="1">
      <c r="I3004" s="185"/>
      <c r="J3004" s="185"/>
      <c r="K3004" s="185"/>
      <c r="L3004"/>
      <c r="M3004"/>
      <c r="N3004"/>
      <c r="O3004"/>
      <c r="P3004"/>
      <c r="Q3004"/>
    </row>
    <row r="3005" spans="9:17" s="1" customFormat="1">
      <c r="I3005" s="185"/>
      <c r="J3005" s="185"/>
      <c r="K3005" s="185"/>
      <c r="L3005"/>
      <c r="M3005"/>
      <c r="N3005"/>
      <c r="O3005"/>
      <c r="P3005"/>
      <c r="Q3005"/>
    </row>
    <row r="3006" spans="9:17" s="1" customFormat="1">
      <c r="I3006" s="185"/>
      <c r="J3006" s="185"/>
      <c r="K3006" s="185"/>
      <c r="L3006"/>
      <c r="M3006"/>
      <c r="N3006"/>
      <c r="O3006"/>
      <c r="P3006"/>
      <c r="Q3006"/>
    </row>
    <row r="3007" spans="9:17" s="1" customFormat="1">
      <c r="I3007" s="185"/>
      <c r="J3007" s="185"/>
      <c r="K3007" s="185"/>
      <c r="L3007"/>
      <c r="M3007"/>
      <c r="N3007"/>
      <c r="O3007"/>
      <c r="P3007"/>
      <c r="Q3007"/>
    </row>
    <row r="3008" spans="9:17" s="1" customFormat="1">
      <c r="I3008" s="185"/>
      <c r="J3008" s="185"/>
      <c r="K3008" s="185"/>
      <c r="L3008"/>
      <c r="M3008"/>
      <c r="N3008"/>
      <c r="O3008"/>
      <c r="P3008"/>
      <c r="Q3008"/>
    </row>
    <row r="3009" spans="9:17" s="1" customFormat="1">
      <c r="I3009" s="185"/>
      <c r="J3009" s="185"/>
      <c r="K3009" s="185"/>
      <c r="L3009"/>
      <c r="M3009"/>
      <c r="N3009"/>
      <c r="O3009"/>
      <c r="P3009"/>
      <c r="Q3009"/>
    </row>
    <row r="3010" spans="9:17" s="1" customFormat="1">
      <c r="I3010" s="185"/>
      <c r="J3010" s="185"/>
      <c r="K3010" s="185"/>
      <c r="L3010"/>
      <c r="M3010"/>
      <c r="N3010"/>
      <c r="O3010"/>
      <c r="P3010"/>
      <c r="Q3010"/>
    </row>
    <row r="3011" spans="9:17" s="1" customFormat="1">
      <c r="I3011" s="185"/>
      <c r="J3011" s="185"/>
      <c r="K3011" s="185"/>
      <c r="L3011"/>
      <c r="M3011"/>
      <c r="N3011"/>
      <c r="O3011"/>
      <c r="P3011"/>
      <c r="Q3011"/>
    </row>
    <row r="3012" spans="9:17" s="1" customFormat="1">
      <c r="I3012" s="185"/>
      <c r="J3012" s="185"/>
      <c r="K3012" s="185"/>
      <c r="L3012"/>
      <c r="M3012"/>
      <c r="N3012"/>
      <c r="O3012"/>
      <c r="P3012"/>
      <c r="Q3012"/>
    </row>
    <row r="3013" spans="9:17" s="1" customFormat="1">
      <c r="I3013" s="185"/>
      <c r="J3013" s="185"/>
      <c r="K3013" s="185"/>
      <c r="L3013"/>
      <c r="M3013"/>
      <c r="N3013"/>
      <c r="O3013"/>
      <c r="P3013"/>
      <c r="Q3013"/>
    </row>
    <row r="3014" spans="9:17" s="1" customFormat="1">
      <c r="I3014" s="185"/>
      <c r="J3014" s="185"/>
      <c r="K3014" s="185"/>
      <c r="L3014"/>
      <c r="M3014"/>
      <c r="N3014"/>
      <c r="O3014"/>
      <c r="P3014"/>
      <c r="Q3014"/>
    </row>
    <row r="3015" spans="9:17" s="1" customFormat="1">
      <c r="I3015" s="185"/>
      <c r="J3015" s="185"/>
      <c r="K3015" s="185"/>
      <c r="L3015"/>
      <c r="M3015"/>
      <c r="N3015"/>
      <c r="O3015"/>
      <c r="P3015"/>
      <c r="Q3015"/>
    </row>
    <row r="3016" spans="9:17" s="1" customFormat="1">
      <c r="I3016" s="185"/>
      <c r="J3016" s="185"/>
      <c r="K3016" s="185"/>
      <c r="L3016"/>
      <c r="M3016"/>
      <c r="N3016"/>
      <c r="O3016"/>
      <c r="P3016"/>
      <c r="Q3016"/>
    </row>
    <row r="3017" spans="9:17" s="1" customFormat="1">
      <c r="I3017" s="185"/>
      <c r="J3017" s="185"/>
      <c r="K3017" s="185"/>
      <c r="L3017"/>
      <c r="M3017"/>
      <c r="N3017"/>
      <c r="O3017"/>
      <c r="P3017"/>
      <c r="Q3017"/>
    </row>
    <row r="3018" spans="9:17" s="1" customFormat="1">
      <c r="I3018" s="185"/>
      <c r="J3018" s="185"/>
      <c r="K3018" s="185"/>
      <c r="L3018"/>
      <c r="M3018"/>
      <c r="N3018"/>
      <c r="O3018"/>
      <c r="P3018"/>
      <c r="Q3018"/>
    </row>
    <row r="3019" spans="9:17" s="1" customFormat="1">
      <c r="I3019" s="185"/>
      <c r="J3019" s="185"/>
      <c r="K3019" s="185"/>
      <c r="L3019"/>
      <c r="M3019"/>
      <c r="N3019"/>
      <c r="O3019"/>
      <c r="P3019"/>
      <c r="Q3019"/>
    </row>
    <row r="3020" spans="9:17" s="1" customFormat="1">
      <c r="I3020" s="185"/>
      <c r="J3020" s="185"/>
      <c r="K3020" s="185"/>
      <c r="L3020"/>
      <c r="M3020"/>
      <c r="N3020"/>
      <c r="O3020"/>
      <c r="P3020"/>
      <c r="Q3020"/>
    </row>
    <row r="3021" spans="9:17" s="1" customFormat="1">
      <c r="I3021" s="185"/>
      <c r="J3021" s="185"/>
      <c r="K3021" s="185"/>
      <c r="L3021"/>
      <c r="M3021"/>
      <c r="N3021"/>
      <c r="O3021"/>
      <c r="P3021"/>
      <c r="Q3021"/>
    </row>
    <row r="3022" spans="9:17" s="1" customFormat="1">
      <c r="I3022" s="185"/>
      <c r="J3022" s="185"/>
      <c r="K3022" s="185"/>
      <c r="L3022"/>
      <c r="M3022"/>
      <c r="N3022"/>
      <c r="O3022"/>
      <c r="P3022"/>
      <c r="Q3022"/>
    </row>
    <row r="3023" spans="9:17" s="1" customFormat="1">
      <c r="I3023" s="185"/>
      <c r="J3023" s="185"/>
      <c r="K3023" s="185"/>
      <c r="L3023"/>
      <c r="M3023"/>
      <c r="N3023"/>
      <c r="O3023"/>
      <c r="P3023"/>
      <c r="Q3023"/>
    </row>
    <row r="3024" spans="9:17" s="1" customFormat="1">
      <c r="I3024" s="185"/>
      <c r="J3024" s="185"/>
      <c r="K3024" s="185"/>
      <c r="L3024"/>
      <c r="M3024"/>
      <c r="N3024"/>
      <c r="O3024"/>
      <c r="P3024"/>
      <c r="Q3024"/>
    </row>
    <row r="3025" spans="9:17" s="1" customFormat="1">
      <c r="I3025" s="185"/>
      <c r="J3025" s="185"/>
      <c r="K3025" s="185"/>
      <c r="L3025"/>
      <c r="M3025"/>
      <c r="N3025"/>
      <c r="O3025"/>
      <c r="P3025"/>
      <c r="Q3025"/>
    </row>
    <row r="3026" spans="9:17" s="1" customFormat="1">
      <c r="I3026" s="185"/>
      <c r="J3026" s="185"/>
      <c r="K3026" s="185"/>
      <c r="L3026"/>
      <c r="M3026"/>
      <c r="N3026"/>
      <c r="O3026"/>
      <c r="P3026"/>
      <c r="Q3026"/>
    </row>
    <row r="3027" spans="9:17" s="1" customFormat="1">
      <c r="I3027" s="185"/>
      <c r="J3027" s="185"/>
      <c r="K3027" s="185"/>
      <c r="L3027"/>
      <c r="M3027"/>
      <c r="N3027"/>
      <c r="O3027"/>
      <c r="P3027"/>
      <c r="Q3027"/>
    </row>
    <row r="3028" spans="9:17" s="1" customFormat="1">
      <c r="I3028" s="185"/>
      <c r="J3028" s="185"/>
      <c r="K3028" s="185"/>
      <c r="L3028"/>
      <c r="M3028"/>
      <c r="N3028"/>
      <c r="O3028"/>
      <c r="P3028"/>
      <c r="Q3028"/>
    </row>
    <row r="3029" spans="9:17" s="1" customFormat="1">
      <c r="I3029" s="185"/>
      <c r="J3029" s="185"/>
      <c r="K3029" s="185"/>
      <c r="L3029"/>
      <c r="M3029"/>
      <c r="N3029"/>
      <c r="O3029"/>
      <c r="P3029"/>
      <c r="Q3029"/>
    </row>
    <row r="3030" spans="9:17" s="1" customFormat="1">
      <c r="I3030" s="185"/>
      <c r="J3030" s="185"/>
      <c r="K3030" s="185"/>
      <c r="L3030"/>
      <c r="M3030"/>
      <c r="N3030"/>
      <c r="O3030"/>
      <c r="P3030"/>
      <c r="Q3030"/>
    </row>
    <row r="3031" spans="9:17" s="1" customFormat="1">
      <c r="I3031" s="185"/>
      <c r="J3031" s="185"/>
      <c r="K3031" s="185"/>
      <c r="L3031"/>
      <c r="M3031"/>
      <c r="N3031"/>
      <c r="O3031"/>
      <c r="P3031"/>
      <c r="Q3031"/>
    </row>
    <row r="3032" spans="9:17" s="1" customFormat="1">
      <c r="I3032" s="185"/>
      <c r="J3032" s="185"/>
      <c r="K3032" s="185"/>
      <c r="L3032"/>
      <c r="M3032"/>
      <c r="N3032"/>
      <c r="O3032"/>
      <c r="P3032"/>
      <c r="Q3032"/>
    </row>
    <row r="3033" spans="9:17" s="1" customFormat="1">
      <c r="I3033" s="185"/>
      <c r="J3033" s="185"/>
      <c r="K3033" s="185"/>
      <c r="L3033"/>
      <c r="M3033"/>
      <c r="N3033"/>
      <c r="O3033"/>
      <c r="P3033"/>
      <c r="Q3033"/>
    </row>
    <row r="3034" spans="9:17" s="1" customFormat="1">
      <c r="I3034" s="185"/>
      <c r="J3034" s="185"/>
      <c r="K3034" s="185"/>
      <c r="L3034"/>
      <c r="M3034"/>
      <c r="N3034"/>
      <c r="O3034"/>
      <c r="P3034"/>
      <c r="Q3034"/>
    </row>
    <row r="3035" spans="9:17" s="1" customFormat="1">
      <c r="I3035" s="185"/>
      <c r="J3035" s="185"/>
      <c r="K3035" s="185"/>
      <c r="L3035"/>
      <c r="M3035"/>
      <c r="N3035"/>
      <c r="O3035"/>
      <c r="P3035"/>
      <c r="Q3035"/>
    </row>
    <row r="3036" spans="9:17" s="1" customFormat="1">
      <c r="I3036" s="185"/>
      <c r="J3036" s="185"/>
      <c r="K3036" s="185"/>
      <c r="L3036"/>
      <c r="M3036"/>
      <c r="N3036"/>
      <c r="O3036"/>
      <c r="P3036"/>
      <c r="Q3036"/>
    </row>
    <row r="3037" spans="9:17" s="1" customFormat="1">
      <c r="I3037" s="185"/>
      <c r="J3037" s="185"/>
      <c r="K3037" s="185"/>
      <c r="L3037"/>
      <c r="M3037"/>
      <c r="N3037"/>
      <c r="O3037"/>
      <c r="P3037"/>
      <c r="Q3037"/>
    </row>
    <row r="3038" spans="9:17" s="1" customFormat="1">
      <c r="I3038" s="185"/>
      <c r="J3038" s="185"/>
      <c r="K3038" s="185"/>
      <c r="L3038"/>
      <c r="M3038"/>
      <c r="N3038"/>
      <c r="O3038"/>
      <c r="P3038"/>
      <c r="Q3038"/>
    </row>
    <row r="3039" spans="9:17" s="1" customFormat="1">
      <c r="I3039" s="185"/>
      <c r="J3039" s="185"/>
      <c r="K3039" s="185"/>
      <c r="L3039"/>
      <c r="M3039"/>
      <c r="N3039"/>
      <c r="O3039"/>
      <c r="P3039"/>
      <c r="Q3039"/>
    </row>
    <row r="3040" spans="9:17" s="1" customFormat="1">
      <c r="I3040" s="185"/>
      <c r="J3040" s="185"/>
      <c r="K3040" s="185"/>
      <c r="L3040"/>
      <c r="M3040"/>
      <c r="N3040"/>
      <c r="O3040"/>
      <c r="P3040"/>
      <c r="Q3040"/>
    </row>
    <row r="3041" spans="9:17" s="1" customFormat="1">
      <c r="I3041" s="185"/>
      <c r="J3041" s="185"/>
      <c r="K3041" s="185"/>
      <c r="L3041"/>
      <c r="M3041"/>
      <c r="N3041"/>
      <c r="O3041"/>
      <c r="P3041"/>
      <c r="Q3041"/>
    </row>
    <row r="3042" spans="9:17" s="1" customFormat="1">
      <c r="I3042" s="185"/>
      <c r="J3042" s="185"/>
      <c r="K3042" s="185"/>
      <c r="L3042"/>
      <c r="M3042"/>
      <c r="N3042"/>
      <c r="O3042"/>
      <c r="P3042"/>
      <c r="Q3042"/>
    </row>
    <row r="3043" spans="9:17" s="1" customFormat="1">
      <c r="I3043" s="185"/>
      <c r="J3043" s="185"/>
      <c r="K3043" s="185"/>
      <c r="L3043"/>
      <c r="M3043"/>
      <c r="N3043"/>
      <c r="O3043"/>
      <c r="P3043"/>
      <c r="Q3043"/>
    </row>
    <row r="3044" spans="9:17" s="1" customFormat="1">
      <c r="I3044" s="185"/>
      <c r="J3044" s="185"/>
      <c r="K3044" s="185"/>
      <c r="L3044"/>
      <c r="M3044"/>
      <c r="N3044"/>
      <c r="O3044"/>
      <c r="P3044"/>
      <c r="Q3044"/>
    </row>
    <row r="3045" spans="9:17" s="1" customFormat="1">
      <c r="I3045" s="185"/>
      <c r="J3045" s="185"/>
      <c r="K3045" s="185"/>
      <c r="L3045"/>
      <c r="M3045"/>
      <c r="N3045"/>
      <c r="O3045"/>
      <c r="P3045"/>
      <c r="Q3045"/>
    </row>
    <row r="3046" spans="9:17" s="1" customFormat="1">
      <c r="I3046" s="185"/>
      <c r="J3046" s="185"/>
      <c r="K3046" s="185"/>
      <c r="L3046"/>
      <c r="M3046"/>
      <c r="N3046"/>
      <c r="O3046"/>
      <c r="P3046"/>
      <c r="Q3046"/>
    </row>
    <row r="3047" spans="9:17" s="1" customFormat="1">
      <c r="I3047" s="185"/>
      <c r="J3047" s="185"/>
      <c r="K3047" s="185"/>
      <c r="L3047"/>
      <c r="M3047"/>
      <c r="N3047"/>
      <c r="O3047"/>
      <c r="P3047"/>
      <c r="Q3047"/>
    </row>
    <row r="3048" spans="9:17" s="1" customFormat="1">
      <c r="I3048" s="185"/>
      <c r="J3048" s="185"/>
      <c r="K3048" s="185"/>
      <c r="L3048"/>
      <c r="M3048"/>
      <c r="N3048"/>
      <c r="O3048"/>
      <c r="P3048"/>
      <c r="Q3048"/>
    </row>
    <row r="3049" spans="9:17" s="1" customFormat="1">
      <c r="I3049" s="185"/>
      <c r="J3049" s="185"/>
      <c r="K3049" s="185"/>
      <c r="L3049"/>
      <c r="M3049"/>
      <c r="N3049"/>
      <c r="O3049"/>
      <c r="P3049"/>
      <c r="Q3049"/>
    </row>
    <row r="3050" spans="9:17" s="1" customFormat="1">
      <c r="I3050" s="185"/>
      <c r="J3050" s="185"/>
      <c r="K3050" s="185"/>
      <c r="L3050"/>
      <c r="M3050"/>
      <c r="N3050"/>
      <c r="O3050"/>
      <c r="P3050"/>
      <c r="Q3050"/>
    </row>
    <row r="3051" spans="9:17" s="1" customFormat="1">
      <c r="I3051" s="185"/>
      <c r="J3051" s="185"/>
      <c r="K3051" s="185"/>
      <c r="L3051"/>
      <c r="M3051"/>
      <c r="N3051"/>
      <c r="O3051"/>
      <c r="P3051"/>
      <c r="Q3051"/>
    </row>
    <row r="3052" spans="9:17" s="1" customFormat="1">
      <c r="I3052" s="185"/>
      <c r="J3052" s="185"/>
      <c r="K3052" s="185"/>
      <c r="L3052"/>
      <c r="M3052"/>
      <c r="N3052"/>
      <c r="O3052"/>
      <c r="P3052"/>
      <c r="Q3052"/>
    </row>
    <row r="3053" spans="9:17" s="1" customFormat="1">
      <c r="I3053" s="185"/>
      <c r="J3053" s="185"/>
      <c r="K3053" s="185"/>
      <c r="L3053"/>
      <c r="M3053"/>
      <c r="N3053"/>
      <c r="O3053"/>
      <c r="P3053"/>
      <c r="Q3053"/>
    </row>
    <row r="3054" spans="9:17" s="1" customFormat="1">
      <c r="I3054" s="185"/>
      <c r="J3054" s="185"/>
      <c r="K3054" s="185"/>
      <c r="L3054"/>
      <c r="M3054"/>
      <c r="N3054"/>
      <c r="O3054"/>
      <c r="P3054"/>
      <c r="Q3054"/>
    </row>
    <row r="3055" spans="9:17" s="1" customFormat="1">
      <c r="I3055" s="185"/>
      <c r="J3055" s="185"/>
      <c r="K3055" s="185"/>
      <c r="L3055"/>
      <c r="M3055"/>
      <c r="N3055"/>
      <c r="O3055"/>
      <c r="P3055"/>
      <c r="Q3055"/>
    </row>
    <row r="3056" spans="9:17" s="1" customFormat="1">
      <c r="I3056" s="185"/>
      <c r="J3056" s="185"/>
      <c r="K3056" s="185"/>
      <c r="L3056"/>
      <c r="M3056"/>
      <c r="N3056"/>
      <c r="O3056"/>
      <c r="P3056"/>
      <c r="Q3056"/>
    </row>
    <row r="3057" spans="9:17" s="1" customFormat="1">
      <c r="I3057" s="185"/>
      <c r="J3057" s="185"/>
      <c r="K3057" s="185"/>
      <c r="L3057"/>
      <c r="M3057"/>
      <c r="N3057"/>
      <c r="O3057"/>
      <c r="P3057"/>
      <c r="Q3057"/>
    </row>
    <row r="3058" spans="9:17" s="1" customFormat="1">
      <c r="I3058" s="185"/>
      <c r="J3058" s="185"/>
      <c r="K3058" s="185"/>
      <c r="L3058"/>
      <c r="M3058"/>
      <c r="N3058"/>
      <c r="O3058"/>
      <c r="P3058"/>
      <c r="Q3058"/>
    </row>
    <row r="3059" spans="9:17" s="1" customFormat="1">
      <c r="I3059" s="185"/>
      <c r="J3059" s="185"/>
      <c r="K3059" s="185"/>
      <c r="L3059"/>
      <c r="M3059"/>
      <c r="N3059"/>
      <c r="O3059"/>
      <c r="P3059"/>
      <c r="Q3059"/>
    </row>
    <row r="3060" spans="9:17" s="1" customFormat="1">
      <c r="I3060" s="185"/>
      <c r="J3060" s="185"/>
      <c r="K3060" s="185"/>
      <c r="L3060"/>
      <c r="M3060"/>
      <c r="N3060"/>
      <c r="O3060"/>
      <c r="P3060"/>
      <c r="Q3060"/>
    </row>
    <row r="3061" spans="9:17" s="1" customFormat="1">
      <c r="I3061" s="185"/>
      <c r="J3061" s="185"/>
      <c r="K3061" s="185"/>
      <c r="L3061"/>
      <c r="M3061"/>
      <c r="N3061"/>
      <c r="O3061"/>
      <c r="P3061"/>
      <c r="Q3061"/>
    </row>
    <row r="3062" spans="9:17" s="1" customFormat="1">
      <c r="I3062" s="185"/>
      <c r="J3062" s="185"/>
      <c r="K3062" s="185"/>
      <c r="L3062"/>
      <c r="M3062"/>
      <c r="N3062"/>
      <c r="O3062"/>
      <c r="P3062"/>
      <c r="Q3062"/>
    </row>
    <row r="3063" spans="9:17" s="1" customFormat="1">
      <c r="I3063" s="185"/>
      <c r="J3063" s="185"/>
      <c r="K3063" s="185"/>
      <c r="L3063"/>
      <c r="M3063"/>
      <c r="N3063"/>
      <c r="O3063"/>
      <c r="P3063"/>
      <c r="Q3063"/>
    </row>
    <row r="3064" spans="9:17" s="1" customFormat="1">
      <c r="I3064" s="185"/>
      <c r="J3064" s="185"/>
      <c r="K3064" s="185"/>
      <c r="L3064"/>
      <c r="M3064"/>
      <c r="N3064"/>
      <c r="O3064"/>
      <c r="P3064"/>
      <c r="Q3064"/>
    </row>
    <row r="3065" spans="9:17" s="1" customFormat="1">
      <c r="I3065" s="185"/>
      <c r="J3065" s="185"/>
      <c r="K3065" s="185"/>
      <c r="L3065"/>
      <c r="M3065"/>
      <c r="N3065"/>
      <c r="O3065"/>
      <c r="P3065"/>
      <c r="Q3065"/>
    </row>
    <row r="3066" spans="9:17" s="1" customFormat="1">
      <c r="I3066" s="185"/>
      <c r="J3066" s="185"/>
      <c r="K3066" s="185"/>
      <c r="L3066"/>
      <c r="M3066"/>
      <c r="N3066"/>
      <c r="O3066"/>
      <c r="P3066"/>
      <c r="Q3066"/>
    </row>
    <row r="3067" spans="9:17" s="1" customFormat="1">
      <c r="I3067" s="185"/>
      <c r="J3067" s="185"/>
      <c r="K3067" s="185"/>
      <c r="L3067"/>
      <c r="M3067"/>
      <c r="N3067"/>
      <c r="O3067"/>
      <c r="P3067"/>
      <c r="Q3067"/>
    </row>
    <row r="3068" spans="9:17" s="1" customFormat="1">
      <c r="I3068" s="185"/>
      <c r="J3068" s="185"/>
      <c r="K3068" s="185"/>
      <c r="L3068"/>
      <c r="M3068"/>
      <c r="N3068"/>
      <c r="O3068"/>
      <c r="P3068"/>
      <c r="Q3068"/>
    </row>
    <row r="3069" spans="9:17" s="1" customFormat="1">
      <c r="I3069" s="185"/>
      <c r="J3069" s="185"/>
      <c r="K3069" s="185"/>
      <c r="L3069"/>
      <c r="M3069"/>
      <c r="N3069"/>
      <c r="O3069"/>
      <c r="P3069"/>
      <c r="Q3069"/>
    </row>
    <row r="3070" spans="9:17" s="1" customFormat="1">
      <c r="I3070" s="185"/>
      <c r="J3070" s="185"/>
      <c r="K3070" s="185"/>
      <c r="L3070"/>
      <c r="M3070"/>
      <c r="N3070"/>
      <c r="O3070"/>
      <c r="P3070"/>
      <c r="Q3070"/>
    </row>
    <row r="3071" spans="9:17" s="1" customFormat="1">
      <c r="I3071" s="185"/>
      <c r="J3071" s="185"/>
      <c r="K3071" s="185"/>
      <c r="L3071"/>
      <c r="M3071"/>
      <c r="N3071"/>
      <c r="O3071"/>
      <c r="P3071"/>
      <c r="Q3071"/>
    </row>
    <row r="3072" spans="9:17" s="1" customFormat="1">
      <c r="I3072" s="185"/>
      <c r="J3072" s="185"/>
      <c r="K3072" s="185"/>
      <c r="L3072"/>
      <c r="M3072"/>
      <c r="N3072"/>
      <c r="O3072"/>
      <c r="P3072"/>
      <c r="Q3072"/>
    </row>
    <row r="3073" spans="9:17" s="1" customFormat="1">
      <c r="I3073" s="185"/>
      <c r="J3073" s="185"/>
      <c r="K3073" s="185"/>
      <c r="L3073"/>
      <c r="M3073"/>
      <c r="N3073"/>
      <c r="O3073"/>
      <c r="P3073"/>
      <c r="Q3073"/>
    </row>
    <row r="3074" spans="9:17" s="1" customFormat="1">
      <c r="I3074" s="185"/>
      <c r="J3074" s="185"/>
      <c r="K3074" s="185"/>
      <c r="L3074"/>
      <c r="M3074"/>
      <c r="N3074"/>
      <c r="O3074"/>
      <c r="P3074"/>
      <c r="Q3074"/>
    </row>
    <row r="3075" spans="9:17" s="1" customFormat="1">
      <c r="I3075" s="185"/>
      <c r="J3075" s="185"/>
      <c r="K3075" s="185"/>
      <c r="L3075"/>
      <c r="M3075"/>
      <c r="N3075"/>
      <c r="O3075"/>
      <c r="P3075"/>
      <c r="Q3075"/>
    </row>
    <row r="3076" spans="9:17" s="1" customFormat="1">
      <c r="I3076" s="185"/>
      <c r="J3076" s="185"/>
      <c r="K3076" s="185"/>
      <c r="L3076"/>
      <c r="M3076"/>
      <c r="N3076"/>
      <c r="O3076"/>
      <c r="P3076"/>
      <c r="Q3076"/>
    </row>
    <row r="3077" spans="9:17" s="1" customFormat="1">
      <c r="I3077" s="185"/>
      <c r="J3077" s="185"/>
      <c r="K3077" s="185"/>
      <c r="L3077"/>
      <c r="M3077"/>
      <c r="N3077"/>
      <c r="O3077"/>
      <c r="P3077"/>
      <c r="Q3077"/>
    </row>
    <row r="3078" spans="9:17" s="1" customFormat="1">
      <c r="I3078" s="185"/>
      <c r="J3078" s="185"/>
      <c r="K3078" s="185"/>
      <c r="L3078"/>
      <c r="M3078"/>
      <c r="N3078"/>
      <c r="O3078"/>
      <c r="P3078"/>
      <c r="Q3078"/>
    </row>
    <row r="3079" spans="9:17" s="1" customFormat="1">
      <c r="I3079" s="185"/>
      <c r="J3079" s="185"/>
      <c r="K3079" s="185"/>
      <c r="L3079"/>
      <c r="M3079"/>
      <c r="N3079"/>
      <c r="O3079"/>
      <c r="P3079"/>
      <c r="Q3079"/>
    </row>
    <row r="3080" spans="9:17" s="1" customFormat="1">
      <c r="I3080" s="185"/>
      <c r="J3080" s="185"/>
      <c r="K3080" s="185"/>
      <c r="L3080"/>
      <c r="M3080"/>
      <c r="N3080"/>
      <c r="O3080"/>
      <c r="P3080"/>
      <c r="Q3080"/>
    </row>
    <row r="3081" spans="9:17" s="1" customFormat="1">
      <c r="I3081" s="185"/>
      <c r="J3081" s="185"/>
      <c r="K3081" s="185"/>
      <c r="L3081"/>
      <c r="M3081"/>
      <c r="N3081"/>
      <c r="O3081"/>
      <c r="P3081"/>
      <c r="Q3081"/>
    </row>
    <row r="3082" spans="9:17" s="1" customFormat="1">
      <c r="I3082" s="185"/>
      <c r="J3082" s="185"/>
      <c r="K3082" s="185"/>
      <c r="L3082"/>
      <c r="M3082"/>
      <c r="N3082"/>
      <c r="O3082"/>
      <c r="P3082"/>
      <c r="Q3082"/>
    </row>
    <row r="3083" spans="9:17" s="1" customFormat="1">
      <c r="I3083" s="185"/>
      <c r="J3083" s="185"/>
      <c r="K3083" s="185"/>
      <c r="L3083"/>
      <c r="M3083"/>
      <c r="N3083"/>
      <c r="O3083"/>
      <c r="P3083"/>
      <c r="Q3083"/>
    </row>
    <row r="3084" spans="9:17" s="1" customFormat="1">
      <c r="I3084" s="185"/>
      <c r="J3084" s="185"/>
      <c r="K3084" s="185"/>
      <c r="L3084"/>
      <c r="M3084"/>
      <c r="N3084"/>
      <c r="O3084"/>
      <c r="P3084"/>
      <c r="Q3084"/>
    </row>
    <row r="3085" spans="9:17" s="1" customFormat="1">
      <c r="I3085" s="185"/>
      <c r="J3085" s="185"/>
      <c r="K3085" s="185"/>
      <c r="L3085"/>
      <c r="M3085"/>
      <c r="N3085"/>
      <c r="O3085"/>
      <c r="P3085"/>
      <c r="Q3085"/>
    </row>
    <row r="3086" spans="9:17" s="1" customFormat="1">
      <c r="I3086" s="185"/>
      <c r="J3086" s="185"/>
      <c r="K3086" s="185"/>
      <c r="L3086"/>
      <c r="M3086"/>
      <c r="N3086"/>
      <c r="O3086"/>
      <c r="P3086"/>
      <c r="Q3086"/>
    </row>
    <row r="3087" spans="9:17" s="1" customFormat="1">
      <c r="I3087" s="185"/>
      <c r="J3087" s="185"/>
      <c r="K3087" s="185"/>
      <c r="L3087"/>
      <c r="M3087"/>
      <c r="N3087"/>
      <c r="O3087"/>
      <c r="P3087"/>
      <c r="Q3087"/>
    </row>
    <row r="3088" spans="9:17" s="1" customFormat="1">
      <c r="I3088" s="185"/>
      <c r="J3088" s="185"/>
      <c r="K3088" s="185"/>
      <c r="L3088"/>
      <c r="M3088"/>
      <c r="N3088"/>
      <c r="O3088"/>
      <c r="P3088"/>
      <c r="Q3088"/>
    </row>
    <row r="3089" spans="9:17" s="1" customFormat="1">
      <c r="I3089" s="185"/>
      <c r="J3089" s="185"/>
      <c r="K3089" s="185"/>
      <c r="L3089"/>
      <c r="M3089"/>
      <c r="N3089"/>
      <c r="O3089"/>
      <c r="P3089"/>
      <c r="Q3089"/>
    </row>
    <row r="3090" spans="9:17" s="1" customFormat="1">
      <c r="I3090" s="185"/>
      <c r="J3090" s="185"/>
      <c r="K3090" s="185"/>
      <c r="L3090"/>
      <c r="M3090"/>
      <c r="N3090"/>
      <c r="O3090"/>
      <c r="P3090"/>
      <c r="Q3090"/>
    </row>
    <row r="3091" spans="9:17" s="1" customFormat="1">
      <c r="I3091" s="185"/>
      <c r="J3091" s="185"/>
      <c r="K3091" s="185"/>
      <c r="L3091"/>
      <c r="M3091"/>
      <c r="N3091"/>
      <c r="O3091"/>
      <c r="P3091"/>
      <c r="Q3091"/>
    </row>
    <row r="3092" spans="9:17" s="1" customFormat="1">
      <c r="I3092" s="185"/>
      <c r="J3092" s="185"/>
      <c r="K3092" s="185"/>
      <c r="L3092"/>
      <c r="M3092"/>
      <c r="N3092"/>
      <c r="O3092"/>
      <c r="P3092"/>
      <c r="Q3092"/>
    </row>
    <row r="3093" spans="9:17" s="1" customFormat="1">
      <c r="I3093" s="185"/>
      <c r="J3093" s="185"/>
      <c r="K3093" s="185"/>
      <c r="L3093"/>
      <c r="M3093"/>
      <c r="N3093"/>
      <c r="O3093"/>
      <c r="P3093"/>
      <c r="Q3093"/>
    </row>
    <row r="3094" spans="9:17" s="1" customFormat="1">
      <c r="I3094" s="185"/>
      <c r="J3094" s="185"/>
      <c r="K3094" s="185"/>
      <c r="L3094"/>
      <c r="M3094"/>
      <c r="N3094"/>
      <c r="O3094"/>
      <c r="P3094"/>
      <c r="Q3094"/>
    </row>
    <row r="3095" spans="9:17" s="1" customFormat="1">
      <c r="I3095" s="185"/>
      <c r="J3095" s="185"/>
      <c r="K3095" s="185"/>
      <c r="L3095"/>
      <c r="M3095"/>
      <c r="N3095"/>
      <c r="O3095"/>
      <c r="P3095"/>
      <c r="Q3095"/>
    </row>
    <row r="3096" spans="9:17" s="1" customFormat="1">
      <c r="I3096" s="185"/>
      <c r="J3096" s="185"/>
      <c r="K3096" s="185"/>
      <c r="L3096"/>
      <c r="M3096"/>
      <c r="N3096"/>
      <c r="O3096"/>
      <c r="P3096"/>
      <c r="Q3096"/>
    </row>
    <row r="3097" spans="9:17" s="1" customFormat="1">
      <c r="I3097" s="185"/>
      <c r="J3097" s="185"/>
      <c r="K3097" s="185"/>
      <c r="L3097"/>
      <c r="M3097"/>
      <c r="N3097"/>
      <c r="O3097"/>
      <c r="P3097"/>
      <c r="Q3097"/>
    </row>
    <row r="3098" spans="9:17" s="1" customFormat="1">
      <c r="I3098" s="185"/>
      <c r="J3098" s="185"/>
      <c r="K3098" s="185"/>
      <c r="L3098"/>
      <c r="M3098"/>
      <c r="N3098"/>
      <c r="O3098"/>
      <c r="P3098"/>
      <c r="Q3098"/>
    </row>
    <row r="3099" spans="9:17" s="1" customFormat="1">
      <c r="I3099" s="185"/>
      <c r="J3099" s="185"/>
      <c r="K3099" s="185"/>
      <c r="L3099"/>
      <c r="M3099"/>
      <c r="N3099"/>
      <c r="O3099"/>
      <c r="P3099"/>
      <c r="Q3099"/>
    </row>
    <row r="3100" spans="9:17" s="1" customFormat="1">
      <c r="I3100" s="185"/>
      <c r="J3100" s="185"/>
      <c r="K3100" s="185"/>
      <c r="L3100"/>
      <c r="M3100"/>
      <c r="N3100"/>
      <c r="O3100"/>
      <c r="P3100"/>
      <c r="Q3100"/>
    </row>
    <row r="3101" spans="9:17" s="1" customFormat="1">
      <c r="I3101" s="185"/>
      <c r="J3101" s="185"/>
      <c r="K3101" s="185"/>
      <c r="L3101"/>
      <c r="M3101"/>
      <c r="N3101"/>
      <c r="O3101"/>
      <c r="P3101"/>
      <c r="Q3101"/>
    </row>
    <row r="3102" spans="9:17" s="1" customFormat="1">
      <c r="I3102" s="185"/>
      <c r="J3102" s="185"/>
      <c r="K3102" s="185"/>
      <c r="L3102"/>
      <c r="M3102"/>
      <c r="N3102"/>
      <c r="O3102"/>
      <c r="P3102"/>
      <c r="Q3102"/>
    </row>
    <row r="3103" spans="9:17" s="1" customFormat="1">
      <c r="I3103" s="185"/>
      <c r="J3103" s="185"/>
      <c r="K3103" s="185"/>
      <c r="L3103"/>
      <c r="M3103"/>
      <c r="N3103"/>
      <c r="O3103"/>
      <c r="P3103"/>
      <c r="Q3103"/>
    </row>
    <row r="3104" spans="9:17" s="1" customFormat="1">
      <c r="I3104" s="185"/>
      <c r="J3104" s="185"/>
      <c r="K3104" s="185"/>
      <c r="L3104"/>
      <c r="M3104"/>
      <c r="N3104"/>
      <c r="O3104"/>
      <c r="P3104"/>
      <c r="Q3104"/>
    </row>
    <row r="3105" spans="9:17" s="1" customFormat="1">
      <c r="I3105" s="185"/>
      <c r="J3105" s="185"/>
      <c r="K3105" s="185"/>
      <c r="L3105"/>
      <c r="M3105"/>
      <c r="N3105"/>
      <c r="O3105"/>
      <c r="P3105"/>
      <c r="Q3105"/>
    </row>
    <row r="3106" spans="9:17" s="1" customFormat="1">
      <c r="I3106" s="185"/>
      <c r="J3106" s="185"/>
      <c r="K3106" s="185"/>
      <c r="L3106"/>
      <c r="M3106"/>
      <c r="N3106"/>
      <c r="O3106"/>
      <c r="P3106"/>
      <c r="Q3106"/>
    </row>
    <row r="3107" spans="9:17" s="1" customFormat="1">
      <c r="I3107" s="185"/>
      <c r="J3107" s="185"/>
      <c r="K3107" s="185"/>
      <c r="L3107"/>
      <c r="M3107"/>
      <c r="N3107"/>
      <c r="O3107"/>
      <c r="P3107"/>
      <c r="Q3107"/>
    </row>
    <row r="3108" spans="9:17" s="1" customFormat="1">
      <c r="I3108" s="185"/>
      <c r="J3108" s="185"/>
      <c r="K3108" s="185"/>
      <c r="L3108"/>
      <c r="M3108"/>
      <c r="N3108"/>
      <c r="O3108"/>
      <c r="P3108"/>
      <c r="Q3108"/>
    </row>
    <row r="3109" spans="9:17" s="1" customFormat="1">
      <c r="I3109" s="185"/>
      <c r="J3109" s="185"/>
      <c r="K3109" s="185"/>
      <c r="L3109"/>
      <c r="M3109"/>
      <c r="N3109"/>
      <c r="O3109"/>
      <c r="P3109"/>
      <c r="Q3109"/>
    </row>
    <row r="3110" spans="9:17" s="1" customFormat="1">
      <c r="I3110" s="185"/>
      <c r="J3110" s="185"/>
      <c r="K3110" s="185"/>
      <c r="L3110"/>
      <c r="M3110"/>
      <c r="N3110"/>
      <c r="O3110"/>
      <c r="P3110"/>
      <c r="Q3110"/>
    </row>
    <row r="3111" spans="9:17" s="1" customFormat="1">
      <c r="I3111" s="185"/>
      <c r="J3111" s="185"/>
      <c r="K3111" s="185"/>
      <c r="L3111"/>
      <c r="M3111"/>
      <c r="N3111"/>
      <c r="O3111"/>
      <c r="P3111"/>
      <c r="Q3111"/>
    </row>
    <row r="3112" spans="9:17" s="1" customFormat="1">
      <c r="I3112" s="185"/>
      <c r="J3112" s="185"/>
      <c r="K3112" s="185"/>
      <c r="L3112"/>
      <c r="M3112"/>
      <c r="N3112"/>
      <c r="O3112"/>
      <c r="P3112"/>
      <c r="Q3112"/>
    </row>
    <row r="3113" spans="9:17" s="1" customFormat="1">
      <c r="I3113" s="185"/>
      <c r="J3113" s="185"/>
      <c r="K3113" s="185"/>
      <c r="L3113"/>
      <c r="M3113"/>
      <c r="N3113"/>
      <c r="O3113"/>
      <c r="P3113"/>
      <c r="Q3113"/>
    </row>
    <row r="3114" spans="9:17" s="1" customFormat="1">
      <c r="I3114" s="185"/>
      <c r="J3114" s="185"/>
      <c r="K3114" s="185"/>
      <c r="L3114"/>
      <c r="M3114"/>
      <c r="N3114"/>
      <c r="O3114"/>
      <c r="P3114"/>
      <c r="Q3114"/>
    </row>
    <row r="3115" spans="9:17" s="1" customFormat="1">
      <c r="I3115" s="185"/>
      <c r="J3115" s="185"/>
      <c r="K3115" s="185"/>
      <c r="L3115"/>
      <c r="M3115"/>
      <c r="N3115"/>
      <c r="O3115"/>
      <c r="P3115"/>
      <c r="Q3115"/>
    </row>
    <row r="3116" spans="9:17" s="1" customFormat="1">
      <c r="I3116" s="185"/>
      <c r="J3116" s="185"/>
      <c r="K3116" s="185"/>
      <c r="L3116"/>
      <c r="M3116"/>
      <c r="N3116"/>
      <c r="O3116"/>
      <c r="P3116"/>
      <c r="Q3116"/>
    </row>
    <row r="3117" spans="9:17" s="1" customFormat="1">
      <c r="I3117" s="185"/>
      <c r="J3117" s="185"/>
      <c r="K3117" s="185"/>
      <c r="L3117"/>
      <c r="M3117"/>
      <c r="N3117"/>
      <c r="O3117"/>
      <c r="P3117"/>
      <c r="Q3117"/>
    </row>
    <row r="3118" spans="9:17" s="1" customFormat="1">
      <c r="I3118" s="185"/>
      <c r="J3118" s="185"/>
      <c r="K3118" s="185"/>
      <c r="L3118"/>
      <c r="M3118"/>
      <c r="N3118"/>
      <c r="O3118"/>
      <c r="P3118"/>
      <c r="Q3118"/>
    </row>
    <row r="3119" spans="9:17" s="1" customFormat="1">
      <c r="I3119" s="185"/>
      <c r="J3119" s="185"/>
      <c r="K3119" s="185"/>
      <c r="L3119"/>
      <c r="M3119"/>
      <c r="N3119"/>
      <c r="O3119"/>
      <c r="P3119"/>
      <c r="Q3119"/>
    </row>
    <row r="3120" spans="9:17" s="1" customFormat="1">
      <c r="I3120" s="185"/>
      <c r="J3120" s="185"/>
      <c r="K3120" s="185"/>
      <c r="L3120"/>
      <c r="M3120"/>
      <c r="N3120"/>
      <c r="O3120"/>
      <c r="P3120"/>
      <c r="Q3120"/>
    </row>
    <row r="3121" spans="9:17" s="1" customFormat="1">
      <c r="I3121" s="185"/>
      <c r="J3121" s="185"/>
      <c r="K3121" s="185"/>
      <c r="L3121"/>
      <c r="M3121"/>
      <c r="N3121"/>
      <c r="O3121"/>
      <c r="P3121"/>
      <c r="Q3121"/>
    </row>
    <row r="3122" spans="9:17" s="1" customFormat="1">
      <c r="I3122" s="185"/>
      <c r="J3122" s="185"/>
      <c r="K3122" s="185"/>
      <c r="L3122"/>
      <c r="M3122"/>
      <c r="N3122"/>
      <c r="O3122"/>
      <c r="P3122"/>
      <c r="Q3122"/>
    </row>
    <row r="3123" spans="9:17" s="1" customFormat="1">
      <c r="I3123" s="185"/>
      <c r="J3123" s="185"/>
      <c r="K3123" s="185"/>
      <c r="L3123"/>
      <c r="M3123"/>
      <c r="N3123"/>
      <c r="O3123"/>
      <c r="P3123"/>
      <c r="Q3123"/>
    </row>
    <row r="3124" spans="9:17" s="1" customFormat="1">
      <c r="I3124" s="185"/>
      <c r="J3124" s="185"/>
      <c r="K3124" s="185"/>
      <c r="L3124"/>
      <c r="M3124"/>
      <c r="N3124"/>
      <c r="O3124"/>
      <c r="P3124"/>
      <c r="Q3124"/>
    </row>
    <row r="3125" spans="9:17" s="1" customFormat="1">
      <c r="I3125" s="185"/>
      <c r="J3125" s="185"/>
      <c r="K3125" s="185"/>
      <c r="L3125"/>
      <c r="M3125"/>
      <c r="N3125"/>
      <c r="O3125"/>
      <c r="P3125"/>
      <c r="Q3125"/>
    </row>
    <row r="3126" spans="9:17" s="1" customFormat="1">
      <c r="I3126" s="185"/>
      <c r="J3126" s="185"/>
      <c r="K3126" s="185"/>
      <c r="L3126"/>
      <c r="M3126"/>
      <c r="N3126"/>
      <c r="O3126"/>
      <c r="P3126"/>
      <c r="Q3126"/>
    </row>
    <row r="3127" spans="9:17" s="1" customFormat="1">
      <c r="I3127" s="185"/>
      <c r="J3127" s="185"/>
      <c r="K3127" s="185"/>
      <c r="L3127"/>
      <c r="M3127"/>
      <c r="N3127"/>
      <c r="O3127"/>
      <c r="P3127"/>
      <c r="Q3127"/>
    </row>
    <row r="3128" spans="9:17" s="1" customFormat="1">
      <c r="I3128" s="185"/>
      <c r="J3128" s="185"/>
      <c r="K3128" s="185"/>
      <c r="L3128"/>
      <c r="M3128"/>
      <c r="N3128"/>
      <c r="O3128"/>
      <c r="P3128"/>
      <c r="Q3128"/>
    </row>
    <row r="3129" spans="9:17" s="1" customFormat="1">
      <c r="I3129" s="185"/>
      <c r="J3129" s="185"/>
      <c r="K3129" s="185"/>
      <c r="L3129"/>
      <c r="M3129"/>
      <c r="N3129"/>
      <c r="O3129"/>
      <c r="P3129"/>
      <c r="Q3129"/>
    </row>
    <row r="3130" spans="9:17" s="1" customFormat="1">
      <c r="I3130" s="185"/>
      <c r="J3130" s="185"/>
      <c r="K3130" s="185"/>
      <c r="L3130"/>
      <c r="M3130"/>
      <c r="N3130"/>
      <c r="O3130"/>
      <c r="P3130"/>
      <c r="Q3130"/>
    </row>
    <row r="3131" spans="9:17" s="1" customFormat="1">
      <c r="I3131" s="185"/>
      <c r="J3131" s="185"/>
      <c r="K3131" s="185"/>
      <c r="L3131"/>
      <c r="M3131"/>
      <c r="N3131"/>
      <c r="O3131"/>
      <c r="P3131"/>
      <c r="Q3131"/>
    </row>
    <row r="3132" spans="9:17" s="1" customFormat="1">
      <c r="I3132" s="185"/>
      <c r="J3132" s="185"/>
      <c r="K3132" s="185"/>
      <c r="L3132"/>
      <c r="M3132"/>
      <c r="N3132"/>
      <c r="O3132"/>
      <c r="P3132"/>
      <c r="Q3132"/>
    </row>
    <row r="3133" spans="9:17" s="1" customFormat="1">
      <c r="I3133" s="185"/>
      <c r="J3133" s="185"/>
      <c r="K3133" s="185"/>
      <c r="L3133"/>
      <c r="M3133"/>
      <c r="N3133"/>
      <c r="O3133"/>
      <c r="P3133"/>
      <c r="Q3133"/>
    </row>
    <row r="3134" spans="9:17" s="1" customFormat="1">
      <c r="I3134" s="185"/>
      <c r="J3134" s="185"/>
      <c r="K3134" s="185"/>
      <c r="L3134"/>
      <c r="M3134"/>
      <c r="N3134"/>
      <c r="O3134"/>
      <c r="P3134"/>
      <c r="Q3134"/>
    </row>
    <row r="3135" spans="9:17" s="1" customFormat="1">
      <c r="I3135" s="185"/>
      <c r="J3135" s="185"/>
      <c r="K3135" s="185"/>
      <c r="L3135"/>
      <c r="M3135"/>
      <c r="N3135"/>
      <c r="O3135"/>
      <c r="P3135"/>
      <c r="Q3135"/>
    </row>
    <row r="3136" spans="9:17" s="1" customFormat="1">
      <c r="I3136" s="185"/>
      <c r="J3136" s="185"/>
      <c r="K3136" s="185"/>
      <c r="L3136"/>
      <c r="M3136"/>
      <c r="N3136"/>
      <c r="O3136"/>
      <c r="P3136"/>
      <c r="Q3136"/>
    </row>
    <row r="3137" spans="9:17" s="1" customFormat="1">
      <c r="I3137" s="185"/>
      <c r="J3137" s="185"/>
      <c r="K3137" s="185"/>
      <c r="L3137"/>
      <c r="M3137"/>
      <c r="N3137"/>
      <c r="O3137"/>
      <c r="P3137"/>
      <c r="Q3137"/>
    </row>
    <row r="3138" spans="9:17" s="1" customFormat="1">
      <c r="I3138" s="185"/>
      <c r="J3138" s="185"/>
      <c r="K3138" s="185"/>
      <c r="L3138"/>
      <c r="M3138"/>
      <c r="N3138"/>
      <c r="O3138"/>
      <c r="P3138"/>
      <c r="Q3138"/>
    </row>
    <row r="3139" spans="9:17" s="1" customFormat="1">
      <c r="I3139" s="185"/>
      <c r="J3139" s="185"/>
      <c r="K3139" s="185"/>
      <c r="L3139"/>
      <c r="M3139"/>
      <c r="N3139"/>
      <c r="O3139"/>
      <c r="P3139"/>
      <c r="Q3139"/>
    </row>
    <row r="3140" spans="9:17" s="1" customFormat="1">
      <c r="I3140" s="185"/>
      <c r="J3140" s="185"/>
      <c r="K3140" s="185"/>
      <c r="L3140"/>
      <c r="M3140"/>
      <c r="N3140"/>
      <c r="O3140"/>
      <c r="P3140"/>
      <c r="Q3140"/>
    </row>
    <row r="3141" spans="9:17" s="1" customFormat="1">
      <c r="I3141" s="185"/>
      <c r="J3141" s="185"/>
      <c r="K3141" s="185"/>
      <c r="L3141"/>
      <c r="M3141"/>
      <c r="N3141"/>
      <c r="O3141"/>
      <c r="P3141"/>
      <c r="Q3141"/>
    </row>
    <row r="3142" spans="9:17" s="1" customFormat="1">
      <c r="I3142" s="185"/>
      <c r="J3142" s="185"/>
      <c r="K3142" s="185"/>
      <c r="L3142"/>
      <c r="M3142"/>
      <c r="N3142"/>
      <c r="O3142"/>
      <c r="P3142"/>
      <c r="Q3142"/>
    </row>
    <row r="3143" spans="9:17" s="1" customFormat="1">
      <c r="I3143" s="185"/>
      <c r="J3143" s="185"/>
      <c r="K3143" s="185"/>
      <c r="L3143"/>
      <c r="M3143"/>
      <c r="N3143"/>
      <c r="O3143"/>
      <c r="P3143"/>
      <c r="Q3143"/>
    </row>
    <row r="3144" spans="9:17" s="1" customFormat="1">
      <c r="I3144" s="185"/>
      <c r="J3144" s="185"/>
      <c r="K3144" s="185"/>
      <c r="L3144"/>
      <c r="M3144"/>
      <c r="N3144"/>
      <c r="O3144"/>
      <c r="P3144"/>
      <c r="Q3144"/>
    </row>
    <row r="3145" spans="9:17" s="1" customFormat="1">
      <c r="I3145" s="185"/>
      <c r="J3145" s="185"/>
      <c r="K3145" s="185"/>
      <c r="L3145"/>
      <c r="M3145"/>
      <c r="N3145"/>
      <c r="O3145"/>
      <c r="P3145"/>
      <c r="Q3145"/>
    </row>
    <row r="3146" spans="9:17" s="1" customFormat="1">
      <c r="I3146" s="185"/>
      <c r="J3146" s="185"/>
      <c r="K3146" s="185"/>
      <c r="L3146"/>
      <c r="M3146"/>
      <c r="N3146"/>
      <c r="O3146"/>
      <c r="P3146"/>
      <c r="Q3146"/>
    </row>
    <row r="3147" spans="9:17" s="1" customFormat="1">
      <c r="I3147" s="185"/>
      <c r="J3147" s="185"/>
      <c r="K3147" s="185"/>
      <c r="L3147"/>
      <c r="M3147"/>
      <c r="N3147"/>
      <c r="O3147"/>
      <c r="P3147"/>
      <c r="Q3147"/>
    </row>
    <row r="3148" spans="9:17" s="1" customFormat="1">
      <c r="I3148" s="185"/>
      <c r="J3148" s="185"/>
      <c r="K3148" s="185"/>
      <c r="L3148"/>
      <c r="M3148"/>
      <c r="N3148"/>
      <c r="O3148"/>
      <c r="P3148"/>
      <c r="Q3148"/>
    </row>
    <row r="3149" spans="9:17" s="1" customFormat="1">
      <c r="I3149" s="185"/>
      <c r="J3149" s="185"/>
      <c r="K3149" s="185"/>
      <c r="L3149"/>
      <c r="M3149"/>
      <c r="N3149"/>
      <c r="O3149"/>
      <c r="P3149"/>
      <c r="Q3149"/>
    </row>
    <row r="3150" spans="9:17" s="1" customFormat="1">
      <c r="I3150" s="185"/>
      <c r="J3150" s="185"/>
      <c r="K3150" s="185"/>
      <c r="L3150"/>
      <c r="M3150"/>
      <c r="N3150"/>
      <c r="O3150"/>
      <c r="P3150"/>
      <c r="Q3150"/>
    </row>
    <row r="3151" spans="9:17" s="1" customFormat="1">
      <c r="I3151" s="185"/>
      <c r="J3151" s="185"/>
      <c r="K3151" s="185"/>
      <c r="L3151"/>
      <c r="M3151"/>
      <c r="N3151"/>
      <c r="O3151"/>
      <c r="P3151"/>
      <c r="Q3151"/>
    </row>
    <row r="3152" spans="9:17" s="1" customFormat="1">
      <c r="I3152" s="185"/>
      <c r="J3152" s="185"/>
      <c r="K3152" s="185"/>
      <c r="L3152"/>
      <c r="M3152"/>
      <c r="N3152"/>
      <c r="O3152"/>
      <c r="P3152"/>
      <c r="Q3152"/>
    </row>
    <row r="3153" spans="9:17" s="1" customFormat="1">
      <c r="I3153" s="185"/>
      <c r="J3153" s="185"/>
      <c r="K3153" s="185"/>
      <c r="L3153"/>
      <c r="M3153"/>
      <c r="N3153"/>
      <c r="O3153"/>
      <c r="P3153"/>
      <c r="Q3153"/>
    </row>
    <row r="3154" spans="9:17" s="1" customFormat="1">
      <c r="I3154" s="185"/>
      <c r="J3154" s="185"/>
      <c r="K3154" s="185"/>
      <c r="L3154"/>
      <c r="M3154"/>
      <c r="N3154"/>
      <c r="O3154"/>
      <c r="P3154"/>
      <c r="Q3154"/>
    </row>
    <row r="3155" spans="9:17" s="1" customFormat="1">
      <c r="I3155" s="185"/>
      <c r="J3155" s="185"/>
      <c r="K3155" s="185"/>
      <c r="L3155"/>
      <c r="M3155"/>
      <c r="N3155"/>
      <c r="O3155"/>
      <c r="P3155"/>
      <c r="Q3155"/>
    </row>
    <row r="3156" spans="9:17" s="1" customFormat="1">
      <c r="I3156" s="185"/>
      <c r="J3156" s="185"/>
      <c r="K3156" s="185"/>
      <c r="L3156"/>
      <c r="M3156"/>
      <c r="N3156"/>
      <c r="O3156"/>
      <c r="P3156"/>
      <c r="Q3156"/>
    </row>
    <row r="3157" spans="9:17" s="1" customFormat="1">
      <c r="I3157" s="185"/>
      <c r="J3157" s="185"/>
      <c r="K3157" s="185"/>
      <c r="L3157"/>
      <c r="M3157"/>
      <c r="N3157"/>
      <c r="O3157"/>
      <c r="P3157"/>
      <c r="Q3157"/>
    </row>
    <row r="3158" spans="9:17" s="1" customFormat="1">
      <c r="I3158" s="185"/>
      <c r="J3158" s="185"/>
      <c r="K3158" s="185"/>
      <c r="L3158"/>
      <c r="M3158"/>
      <c r="N3158"/>
      <c r="O3158"/>
      <c r="P3158"/>
      <c r="Q3158"/>
    </row>
    <row r="3159" spans="9:17" s="1" customFormat="1">
      <c r="I3159" s="185"/>
      <c r="J3159" s="185"/>
      <c r="K3159" s="185"/>
      <c r="L3159"/>
      <c r="M3159"/>
      <c r="N3159"/>
      <c r="O3159"/>
      <c r="P3159"/>
      <c r="Q3159"/>
    </row>
    <row r="3160" spans="9:17" s="1" customFormat="1">
      <c r="I3160" s="185"/>
      <c r="J3160" s="185"/>
      <c r="K3160" s="185"/>
      <c r="L3160"/>
      <c r="M3160"/>
      <c r="N3160"/>
      <c r="O3160"/>
      <c r="P3160"/>
      <c r="Q3160"/>
    </row>
    <row r="3161" spans="9:17" s="1" customFormat="1">
      <c r="I3161" s="185"/>
      <c r="J3161" s="185"/>
      <c r="K3161" s="185"/>
      <c r="L3161"/>
      <c r="M3161"/>
      <c r="N3161"/>
      <c r="O3161"/>
      <c r="P3161"/>
      <c r="Q3161"/>
    </row>
    <row r="3162" spans="9:17" s="1" customFormat="1">
      <c r="I3162" s="185"/>
      <c r="J3162" s="185"/>
      <c r="K3162" s="185"/>
      <c r="L3162"/>
      <c r="M3162"/>
      <c r="N3162"/>
      <c r="O3162"/>
      <c r="P3162"/>
      <c r="Q3162"/>
    </row>
    <row r="3163" spans="9:17" s="1" customFormat="1">
      <c r="I3163" s="185"/>
      <c r="J3163" s="185"/>
      <c r="K3163" s="185"/>
      <c r="L3163"/>
      <c r="M3163"/>
      <c r="N3163"/>
      <c r="O3163"/>
      <c r="P3163"/>
      <c r="Q3163"/>
    </row>
    <row r="3164" spans="9:17" s="1" customFormat="1">
      <c r="I3164" s="185"/>
      <c r="J3164" s="185"/>
      <c r="K3164" s="185"/>
      <c r="L3164"/>
      <c r="M3164"/>
      <c r="N3164"/>
      <c r="O3164"/>
      <c r="P3164"/>
      <c r="Q3164"/>
    </row>
    <row r="3165" spans="9:17" s="1" customFormat="1">
      <c r="I3165" s="185"/>
      <c r="J3165" s="185"/>
      <c r="K3165" s="185"/>
      <c r="L3165"/>
      <c r="M3165"/>
      <c r="N3165"/>
      <c r="O3165"/>
      <c r="P3165"/>
      <c r="Q3165"/>
    </row>
    <row r="3166" spans="9:17" s="1" customFormat="1">
      <c r="I3166" s="185"/>
      <c r="J3166" s="185"/>
      <c r="K3166" s="185"/>
      <c r="L3166"/>
      <c r="M3166"/>
      <c r="N3166"/>
      <c r="O3166"/>
      <c r="P3166"/>
      <c r="Q3166"/>
    </row>
    <row r="3167" spans="9:17" s="1" customFormat="1">
      <c r="I3167" s="185"/>
      <c r="J3167" s="185"/>
      <c r="K3167" s="185"/>
      <c r="L3167"/>
      <c r="M3167"/>
      <c r="N3167"/>
      <c r="O3167"/>
      <c r="P3167"/>
      <c r="Q3167"/>
    </row>
    <row r="3168" spans="9:17" s="1" customFormat="1">
      <c r="I3168" s="185"/>
      <c r="J3168" s="185"/>
      <c r="K3168" s="185"/>
      <c r="L3168"/>
      <c r="M3168"/>
      <c r="N3168"/>
      <c r="O3168"/>
      <c r="P3168"/>
      <c r="Q3168"/>
    </row>
    <row r="3169" spans="9:17" s="1" customFormat="1">
      <c r="I3169" s="185"/>
      <c r="J3169" s="185"/>
      <c r="K3169" s="185"/>
      <c r="L3169"/>
      <c r="M3169"/>
      <c r="N3169"/>
      <c r="O3169"/>
      <c r="P3169"/>
      <c r="Q3169"/>
    </row>
    <row r="3170" spans="9:17" s="1" customFormat="1">
      <c r="I3170" s="185"/>
      <c r="J3170" s="185"/>
      <c r="K3170" s="185"/>
      <c r="L3170"/>
      <c r="M3170"/>
      <c r="N3170"/>
      <c r="O3170"/>
      <c r="P3170"/>
      <c r="Q3170"/>
    </row>
    <row r="3171" spans="9:17" s="1" customFormat="1">
      <c r="I3171" s="185"/>
      <c r="J3171" s="185"/>
      <c r="K3171" s="185"/>
      <c r="L3171"/>
      <c r="M3171"/>
      <c r="N3171"/>
      <c r="O3171"/>
      <c r="P3171"/>
      <c r="Q3171"/>
    </row>
    <row r="3172" spans="9:17" s="1" customFormat="1">
      <c r="I3172" s="185"/>
      <c r="J3172" s="185"/>
      <c r="K3172" s="185"/>
      <c r="L3172"/>
      <c r="M3172"/>
      <c r="N3172"/>
      <c r="O3172"/>
      <c r="P3172"/>
      <c r="Q3172"/>
    </row>
    <row r="3173" spans="9:17" s="1" customFormat="1">
      <c r="I3173" s="185"/>
      <c r="J3173" s="185"/>
      <c r="K3173" s="185"/>
      <c r="L3173"/>
      <c r="M3173"/>
      <c r="N3173"/>
      <c r="O3173"/>
      <c r="P3173"/>
      <c r="Q3173"/>
    </row>
    <row r="3174" spans="9:17" s="1" customFormat="1">
      <c r="I3174" s="185"/>
      <c r="J3174" s="185"/>
      <c r="K3174" s="185"/>
      <c r="L3174"/>
      <c r="M3174"/>
      <c r="N3174"/>
      <c r="O3174"/>
      <c r="P3174"/>
      <c r="Q3174"/>
    </row>
    <row r="3175" spans="9:17" s="1" customFormat="1">
      <c r="I3175" s="185"/>
      <c r="J3175" s="185"/>
      <c r="K3175" s="185"/>
      <c r="L3175"/>
      <c r="M3175"/>
      <c r="N3175"/>
      <c r="O3175"/>
      <c r="P3175"/>
      <c r="Q3175"/>
    </row>
    <row r="3176" spans="9:17" s="1" customFormat="1">
      <c r="I3176" s="185"/>
      <c r="J3176" s="185"/>
      <c r="K3176" s="185"/>
      <c r="L3176"/>
      <c r="M3176"/>
      <c r="N3176"/>
      <c r="O3176"/>
      <c r="P3176"/>
      <c r="Q3176"/>
    </row>
    <row r="3177" spans="9:17" s="1" customFormat="1">
      <c r="I3177" s="185"/>
      <c r="J3177" s="185"/>
      <c r="K3177" s="185"/>
      <c r="L3177"/>
      <c r="M3177"/>
      <c r="N3177"/>
      <c r="O3177"/>
      <c r="P3177"/>
      <c r="Q3177"/>
    </row>
    <row r="3178" spans="9:17" s="1" customFormat="1">
      <c r="I3178" s="185"/>
      <c r="J3178" s="185"/>
      <c r="K3178" s="185"/>
      <c r="L3178"/>
      <c r="M3178"/>
      <c r="N3178"/>
      <c r="O3178"/>
      <c r="P3178"/>
      <c r="Q3178"/>
    </row>
    <row r="3179" spans="9:17" s="1" customFormat="1">
      <c r="I3179" s="185"/>
      <c r="J3179" s="185"/>
      <c r="K3179" s="185"/>
      <c r="L3179"/>
      <c r="M3179"/>
      <c r="N3179"/>
      <c r="O3179"/>
      <c r="P3179"/>
      <c r="Q3179"/>
    </row>
    <row r="3180" spans="9:17" s="1" customFormat="1">
      <c r="I3180" s="185"/>
      <c r="J3180" s="185"/>
      <c r="K3180" s="185"/>
      <c r="L3180"/>
      <c r="M3180"/>
      <c r="N3180"/>
      <c r="O3180"/>
      <c r="P3180"/>
      <c r="Q3180"/>
    </row>
    <row r="3181" spans="9:17" s="1" customFormat="1">
      <c r="I3181" s="185"/>
      <c r="J3181" s="185"/>
      <c r="K3181" s="185"/>
      <c r="L3181"/>
      <c r="M3181"/>
      <c r="N3181"/>
      <c r="O3181"/>
      <c r="P3181"/>
      <c r="Q3181"/>
    </row>
    <row r="3182" spans="9:17" s="1" customFormat="1">
      <c r="I3182" s="185"/>
      <c r="J3182" s="185"/>
      <c r="K3182" s="185"/>
      <c r="L3182"/>
      <c r="M3182"/>
      <c r="N3182"/>
      <c r="O3182"/>
      <c r="P3182"/>
      <c r="Q3182"/>
    </row>
    <row r="3183" spans="9:17" s="1" customFormat="1">
      <c r="I3183" s="185"/>
      <c r="J3183" s="185"/>
      <c r="K3183" s="185"/>
      <c r="L3183"/>
      <c r="M3183"/>
      <c r="N3183"/>
      <c r="O3183"/>
      <c r="P3183"/>
      <c r="Q3183"/>
    </row>
    <row r="3184" spans="9:17" s="1" customFormat="1">
      <c r="I3184" s="185"/>
      <c r="J3184" s="185"/>
      <c r="K3184" s="185"/>
      <c r="L3184"/>
      <c r="M3184"/>
      <c r="N3184"/>
      <c r="O3184"/>
      <c r="P3184"/>
      <c r="Q3184"/>
    </row>
    <row r="3185" spans="9:17" s="1" customFormat="1">
      <c r="I3185" s="185"/>
      <c r="J3185" s="185"/>
      <c r="K3185" s="185"/>
      <c r="L3185"/>
      <c r="M3185"/>
      <c r="N3185"/>
      <c r="O3185"/>
      <c r="P3185"/>
      <c r="Q3185"/>
    </row>
    <row r="3186" spans="9:17" s="1" customFormat="1">
      <c r="I3186" s="185"/>
      <c r="J3186" s="185"/>
      <c r="K3186" s="185"/>
      <c r="L3186"/>
      <c r="M3186"/>
      <c r="N3186"/>
      <c r="O3186"/>
      <c r="P3186"/>
      <c r="Q3186"/>
    </row>
    <row r="3187" spans="9:17" s="1" customFormat="1">
      <c r="I3187" s="185"/>
      <c r="J3187" s="185"/>
      <c r="K3187" s="185"/>
      <c r="L3187"/>
      <c r="M3187"/>
      <c r="N3187"/>
      <c r="O3187"/>
      <c r="P3187"/>
      <c r="Q3187"/>
    </row>
    <row r="3188" spans="9:17" s="1" customFormat="1">
      <c r="I3188" s="185"/>
      <c r="J3188" s="185"/>
      <c r="K3188" s="185"/>
      <c r="L3188"/>
      <c r="M3188"/>
      <c r="N3188"/>
      <c r="O3188"/>
      <c r="P3188"/>
      <c r="Q3188"/>
    </row>
    <row r="3189" spans="9:17" s="1" customFormat="1">
      <c r="I3189" s="185"/>
      <c r="J3189" s="185"/>
      <c r="K3189" s="185"/>
      <c r="L3189"/>
      <c r="M3189"/>
      <c r="N3189"/>
      <c r="O3189"/>
      <c r="P3189"/>
      <c r="Q3189"/>
    </row>
    <row r="3190" spans="9:17" s="1" customFormat="1">
      <c r="I3190" s="185"/>
      <c r="J3190" s="185"/>
      <c r="K3190" s="185"/>
      <c r="L3190"/>
      <c r="M3190"/>
      <c r="N3190"/>
      <c r="O3190"/>
      <c r="P3190"/>
      <c r="Q3190"/>
    </row>
    <row r="3191" spans="9:17" s="1" customFormat="1">
      <c r="I3191" s="185"/>
      <c r="J3191" s="185"/>
      <c r="K3191" s="185"/>
      <c r="L3191"/>
      <c r="M3191"/>
      <c r="N3191"/>
      <c r="O3191"/>
      <c r="P3191"/>
      <c r="Q3191"/>
    </row>
    <row r="3192" spans="9:17" s="1" customFormat="1">
      <c r="I3192" s="185"/>
      <c r="J3192" s="185"/>
      <c r="K3192" s="185"/>
      <c r="L3192"/>
      <c r="M3192"/>
      <c r="N3192"/>
      <c r="O3192"/>
      <c r="P3192"/>
      <c r="Q3192"/>
    </row>
    <row r="3193" spans="9:17" s="1" customFormat="1">
      <c r="I3193" s="185"/>
      <c r="J3193" s="185"/>
      <c r="K3193" s="185"/>
      <c r="L3193"/>
      <c r="M3193"/>
      <c r="N3193"/>
      <c r="O3193"/>
      <c r="P3193"/>
      <c r="Q3193"/>
    </row>
    <row r="3194" spans="9:17" s="1" customFormat="1">
      <c r="I3194" s="185"/>
      <c r="J3194" s="185"/>
      <c r="K3194" s="185"/>
      <c r="L3194"/>
      <c r="M3194"/>
      <c r="N3194"/>
      <c r="O3194"/>
      <c r="P3194"/>
      <c r="Q3194"/>
    </row>
    <row r="3195" spans="9:17" s="1" customFormat="1">
      <c r="I3195" s="185"/>
      <c r="J3195" s="185"/>
      <c r="K3195" s="185"/>
      <c r="L3195"/>
      <c r="M3195"/>
      <c r="N3195"/>
      <c r="O3195"/>
      <c r="P3195"/>
      <c r="Q3195"/>
    </row>
    <row r="3196" spans="9:17" s="1" customFormat="1">
      <c r="I3196" s="185"/>
      <c r="J3196" s="185"/>
      <c r="K3196" s="185"/>
      <c r="L3196"/>
      <c r="M3196"/>
      <c r="N3196"/>
      <c r="O3196"/>
      <c r="P3196"/>
      <c r="Q3196"/>
    </row>
    <row r="3197" spans="9:17" s="1" customFormat="1">
      <c r="I3197" s="185"/>
      <c r="J3197" s="185"/>
      <c r="K3197" s="185"/>
      <c r="L3197"/>
      <c r="M3197"/>
      <c r="N3197"/>
      <c r="O3197"/>
      <c r="P3197"/>
      <c r="Q3197"/>
    </row>
    <row r="3198" spans="9:17" s="1" customFormat="1">
      <c r="I3198" s="185"/>
      <c r="J3198" s="185"/>
      <c r="K3198" s="185"/>
      <c r="L3198"/>
      <c r="M3198"/>
      <c r="N3198"/>
      <c r="O3198"/>
      <c r="P3198"/>
      <c r="Q3198"/>
    </row>
    <row r="3199" spans="9:17" s="1" customFormat="1">
      <c r="I3199" s="185"/>
      <c r="J3199" s="185"/>
      <c r="K3199" s="185"/>
      <c r="L3199"/>
      <c r="M3199"/>
      <c r="N3199"/>
      <c r="O3199"/>
      <c r="P3199"/>
      <c r="Q3199"/>
    </row>
    <row r="3200" spans="9:17" s="1" customFormat="1">
      <c r="I3200" s="185"/>
      <c r="J3200" s="185"/>
      <c r="K3200" s="185"/>
      <c r="L3200"/>
      <c r="M3200"/>
      <c r="N3200"/>
      <c r="O3200"/>
      <c r="P3200"/>
      <c r="Q3200"/>
    </row>
    <row r="3201" spans="9:17" s="1" customFormat="1">
      <c r="I3201" s="185"/>
      <c r="J3201" s="185"/>
      <c r="K3201" s="185"/>
      <c r="L3201"/>
      <c r="M3201"/>
      <c r="N3201"/>
      <c r="O3201"/>
      <c r="P3201"/>
      <c r="Q3201"/>
    </row>
    <row r="3202" spans="9:17" s="1" customFormat="1">
      <c r="I3202" s="185"/>
      <c r="J3202" s="185"/>
      <c r="K3202" s="185"/>
      <c r="L3202"/>
      <c r="M3202"/>
      <c r="N3202"/>
      <c r="O3202"/>
      <c r="P3202"/>
      <c r="Q3202"/>
    </row>
    <row r="3203" spans="9:17" s="1" customFormat="1">
      <c r="I3203" s="185"/>
      <c r="J3203" s="185"/>
      <c r="K3203" s="185"/>
      <c r="L3203"/>
      <c r="M3203"/>
      <c r="N3203"/>
      <c r="O3203"/>
      <c r="P3203"/>
      <c r="Q3203"/>
    </row>
    <row r="3204" spans="9:17" s="1" customFormat="1">
      <c r="I3204" s="185"/>
      <c r="J3204" s="185"/>
      <c r="K3204" s="185"/>
      <c r="L3204"/>
      <c r="M3204"/>
      <c r="N3204"/>
      <c r="O3204"/>
      <c r="P3204"/>
      <c r="Q3204"/>
    </row>
    <row r="3205" spans="9:17" s="1" customFormat="1">
      <c r="I3205" s="185"/>
      <c r="J3205" s="185"/>
      <c r="K3205" s="185"/>
      <c r="L3205"/>
      <c r="M3205"/>
      <c r="N3205"/>
      <c r="O3205"/>
      <c r="P3205"/>
      <c r="Q3205"/>
    </row>
    <row r="3206" spans="9:17" s="1" customFormat="1">
      <c r="I3206" s="185"/>
      <c r="J3206" s="185"/>
      <c r="K3206" s="185"/>
      <c r="L3206"/>
      <c r="M3206"/>
      <c r="N3206"/>
      <c r="O3206"/>
      <c r="P3206"/>
      <c r="Q3206"/>
    </row>
    <row r="3207" spans="9:17" s="1" customFormat="1">
      <c r="I3207" s="185"/>
      <c r="J3207" s="185"/>
      <c r="K3207" s="185"/>
      <c r="L3207"/>
      <c r="M3207"/>
      <c r="N3207"/>
      <c r="O3207"/>
      <c r="P3207"/>
      <c r="Q3207"/>
    </row>
    <row r="3208" spans="9:17" s="1" customFormat="1">
      <c r="I3208" s="185"/>
      <c r="J3208" s="185"/>
      <c r="K3208" s="185"/>
      <c r="L3208"/>
      <c r="M3208"/>
      <c r="N3208"/>
      <c r="O3208"/>
      <c r="P3208"/>
      <c r="Q3208"/>
    </row>
    <row r="3209" spans="9:17" s="1" customFormat="1">
      <c r="I3209" s="185"/>
      <c r="J3209" s="185"/>
      <c r="K3209" s="185"/>
      <c r="L3209"/>
      <c r="M3209"/>
      <c r="N3209"/>
      <c r="O3209"/>
      <c r="P3209"/>
      <c r="Q3209"/>
    </row>
    <row r="3210" spans="9:17" s="1" customFormat="1">
      <c r="I3210" s="185"/>
      <c r="J3210" s="185"/>
      <c r="K3210" s="185"/>
      <c r="L3210"/>
      <c r="M3210"/>
      <c r="N3210"/>
      <c r="O3210"/>
      <c r="P3210"/>
      <c r="Q3210"/>
    </row>
    <row r="3211" spans="9:17" s="1" customFormat="1">
      <c r="I3211" s="185"/>
      <c r="J3211" s="185"/>
      <c r="K3211" s="185"/>
      <c r="L3211"/>
      <c r="M3211"/>
      <c r="N3211"/>
      <c r="O3211"/>
      <c r="P3211"/>
      <c r="Q3211"/>
    </row>
    <row r="3212" spans="9:17" s="1" customFormat="1">
      <c r="I3212" s="185"/>
      <c r="J3212" s="185"/>
      <c r="K3212" s="185"/>
      <c r="L3212"/>
      <c r="M3212"/>
      <c r="N3212"/>
      <c r="O3212"/>
      <c r="P3212"/>
      <c r="Q3212"/>
    </row>
    <row r="3213" spans="9:17" s="1" customFormat="1">
      <c r="I3213" s="185"/>
      <c r="J3213" s="185"/>
      <c r="K3213" s="185"/>
      <c r="L3213"/>
      <c r="M3213"/>
      <c r="N3213"/>
      <c r="O3213"/>
      <c r="P3213"/>
      <c r="Q3213"/>
    </row>
    <row r="3214" spans="9:17" s="1" customFormat="1">
      <c r="I3214" s="185"/>
      <c r="J3214" s="185"/>
      <c r="K3214" s="185"/>
      <c r="L3214"/>
      <c r="M3214"/>
      <c r="N3214"/>
      <c r="O3214"/>
      <c r="P3214"/>
      <c r="Q3214"/>
    </row>
    <row r="3215" spans="9:17" s="1" customFormat="1">
      <c r="I3215" s="185"/>
      <c r="J3215" s="185"/>
      <c r="K3215" s="185"/>
      <c r="L3215"/>
      <c r="M3215"/>
      <c r="N3215"/>
      <c r="O3215"/>
      <c r="P3215"/>
      <c r="Q3215"/>
    </row>
    <row r="3216" spans="9:17" s="1" customFormat="1">
      <c r="I3216" s="185"/>
      <c r="J3216" s="185"/>
      <c r="K3216" s="185"/>
      <c r="L3216"/>
      <c r="M3216"/>
      <c r="N3216"/>
      <c r="O3216"/>
      <c r="P3216"/>
      <c r="Q3216"/>
    </row>
    <row r="3217" spans="9:17" s="1" customFormat="1">
      <c r="I3217" s="185"/>
      <c r="J3217" s="185"/>
      <c r="K3217" s="185"/>
      <c r="L3217"/>
      <c r="M3217"/>
      <c r="N3217"/>
      <c r="O3217"/>
      <c r="P3217"/>
      <c r="Q3217"/>
    </row>
    <row r="3218" spans="9:17" s="1" customFormat="1">
      <c r="I3218" s="185"/>
      <c r="J3218" s="185"/>
      <c r="K3218" s="185"/>
      <c r="L3218"/>
      <c r="M3218"/>
      <c r="N3218"/>
      <c r="O3218"/>
      <c r="P3218"/>
      <c r="Q3218"/>
    </row>
    <row r="3219" spans="9:17" s="1" customFormat="1">
      <c r="I3219" s="185"/>
      <c r="J3219" s="185"/>
      <c r="K3219" s="185"/>
      <c r="L3219"/>
      <c r="M3219"/>
      <c r="N3219"/>
      <c r="O3219"/>
      <c r="P3219"/>
      <c r="Q3219"/>
    </row>
    <row r="3220" spans="9:17" s="1" customFormat="1">
      <c r="I3220" s="185"/>
      <c r="J3220" s="185"/>
      <c r="K3220" s="185"/>
      <c r="L3220"/>
      <c r="M3220"/>
      <c r="N3220"/>
      <c r="O3220"/>
      <c r="P3220"/>
      <c r="Q3220"/>
    </row>
    <row r="3221" spans="9:17" s="1" customFormat="1">
      <c r="I3221" s="185"/>
      <c r="J3221" s="185"/>
      <c r="K3221" s="185"/>
      <c r="L3221"/>
      <c r="M3221"/>
      <c r="N3221"/>
      <c r="O3221"/>
      <c r="P3221"/>
      <c r="Q3221"/>
    </row>
    <row r="3222" spans="9:17" s="1" customFormat="1">
      <c r="I3222" s="185"/>
      <c r="J3222" s="185"/>
      <c r="K3222" s="185"/>
      <c r="L3222"/>
      <c r="M3222"/>
      <c r="N3222"/>
      <c r="O3222"/>
      <c r="P3222"/>
      <c r="Q3222"/>
    </row>
    <row r="3223" spans="9:17" s="1" customFormat="1">
      <c r="I3223" s="185"/>
      <c r="J3223" s="185"/>
      <c r="K3223" s="185"/>
      <c r="L3223"/>
      <c r="M3223"/>
      <c r="N3223"/>
      <c r="O3223"/>
      <c r="P3223"/>
      <c r="Q3223"/>
    </row>
    <row r="3224" spans="9:17" s="1" customFormat="1">
      <c r="I3224" s="185"/>
      <c r="J3224" s="185"/>
      <c r="K3224" s="185"/>
      <c r="L3224"/>
      <c r="M3224"/>
      <c r="N3224"/>
      <c r="O3224"/>
      <c r="P3224"/>
      <c r="Q3224"/>
    </row>
    <row r="3225" spans="9:17" s="1" customFormat="1">
      <c r="I3225" s="185"/>
      <c r="J3225" s="185"/>
      <c r="K3225" s="185"/>
      <c r="L3225"/>
      <c r="M3225"/>
      <c r="N3225"/>
      <c r="O3225"/>
      <c r="P3225"/>
      <c r="Q3225"/>
    </row>
    <row r="3226" spans="9:17" s="1" customFormat="1">
      <c r="I3226" s="185"/>
      <c r="J3226" s="185"/>
      <c r="K3226" s="185"/>
      <c r="L3226"/>
      <c r="M3226"/>
      <c r="N3226"/>
      <c r="O3226"/>
      <c r="P3226"/>
      <c r="Q3226"/>
    </row>
    <row r="3227" spans="9:17" s="1" customFormat="1">
      <c r="I3227" s="185"/>
      <c r="J3227" s="185"/>
      <c r="K3227" s="185"/>
      <c r="L3227"/>
      <c r="M3227"/>
      <c r="N3227"/>
      <c r="O3227"/>
      <c r="P3227"/>
      <c r="Q3227"/>
    </row>
    <row r="3228" spans="9:17" s="1" customFormat="1">
      <c r="I3228" s="185"/>
      <c r="J3228" s="185"/>
      <c r="K3228" s="185"/>
      <c r="L3228"/>
      <c r="M3228"/>
      <c r="N3228"/>
      <c r="O3228"/>
      <c r="P3228"/>
      <c r="Q3228"/>
    </row>
    <row r="3229" spans="9:17" s="1" customFormat="1">
      <c r="I3229" s="185"/>
      <c r="J3229" s="185"/>
      <c r="K3229" s="185"/>
      <c r="L3229"/>
      <c r="M3229"/>
      <c r="N3229"/>
      <c r="O3229"/>
      <c r="P3229"/>
      <c r="Q3229"/>
    </row>
    <row r="3230" spans="9:17" s="1" customFormat="1">
      <c r="I3230" s="185"/>
      <c r="J3230" s="185"/>
      <c r="K3230" s="185"/>
      <c r="L3230"/>
      <c r="M3230"/>
      <c r="N3230"/>
      <c r="O3230"/>
      <c r="P3230"/>
      <c r="Q3230"/>
    </row>
    <row r="3231" spans="9:17" s="1" customFormat="1">
      <c r="I3231" s="185"/>
      <c r="J3231" s="185"/>
      <c r="K3231" s="185"/>
      <c r="L3231"/>
      <c r="M3231"/>
      <c r="N3231"/>
      <c r="O3231"/>
      <c r="P3231"/>
      <c r="Q3231"/>
    </row>
    <row r="3232" spans="9:17" s="1" customFormat="1">
      <c r="I3232" s="185"/>
      <c r="J3232" s="185"/>
      <c r="K3232" s="185"/>
      <c r="L3232"/>
      <c r="M3232"/>
      <c r="N3232"/>
      <c r="O3232"/>
      <c r="P3232"/>
      <c r="Q3232"/>
    </row>
    <row r="3233" spans="9:17" s="1" customFormat="1">
      <c r="I3233" s="185"/>
      <c r="J3233" s="185"/>
      <c r="K3233" s="185"/>
      <c r="L3233"/>
      <c r="M3233"/>
      <c r="N3233"/>
      <c r="O3233"/>
      <c r="P3233"/>
      <c r="Q3233"/>
    </row>
    <row r="3234" spans="9:17" s="1" customFormat="1">
      <c r="I3234" s="185"/>
      <c r="J3234" s="185"/>
      <c r="K3234" s="185"/>
      <c r="L3234"/>
      <c r="M3234"/>
      <c r="N3234"/>
      <c r="O3234"/>
      <c r="P3234"/>
      <c r="Q3234"/>
    </row>
    <row r="3235" spans="9:17" s="1" customFormat="1">
      <c r="I3235" s="185"/>
      <c r="J3235" s="185"/>
      <c r="K3235" s="185"/>
      <c r="L3235"/>
      <c r="M3235"/>
      <c r="N3235"/>
      <c r="O3235"/>
      <c r="P3235"/>
      <c r="Q3235"/>
    </row>
    <row r="3236" spans="9:17" s="1" customFormat="1">
      <c r="I3236" s="185"/>
      <c r="J3236" s="185"/>
      <c r="K3236" s="185"/>
      <c r="L3236"/>
      <c r="M3236"/>
      <c r="N3236"/>
      <c r="O3236"/>
      <c r="P3236"/>
      <c r="Q3236"/>
    </row>
    <row r="3237" spans="9:17" s="1" customFormat="1">
      <c r="I3237" s="185"/>
      <c r="J3237" s="185"/>
      <c r="K3237" s="185"/>
      <c r="L3237"/>
      <c r="M3237"/>
      <c r="N3237"/>
      <c r="O3237"/>
      <c r="P3237"/>
      <c r="Q3237"/>
    </row>
    <row r="3238" spans="9:17" s="1" customFormat="1">
      <c r="I3238" s="185"/>
      <c r="J3238" s="185"/>
      <c r="K3238" s="185"/>
      <c r="L3238"/>
      <c r="M3238"/>
      <c r="N3238"/>
      <c r="O3238"/>
      <c r="P3238"/>
      <c r="Q3238"/>
    </row>
    <row r="3239" spans="9:17" s="1" customFormat="1">
      <c r="I3239" s="185"/>
      <c r="J3239" s="185"/>
      <c r="K3239" s="185"/>
      <c r="L3239"/>
      <c r="M3239"/>
      <c r="N3239"/>
      <c r="O3239"/>
      <c r="P3239"/>
      <c r="Q3239"/>
    </row>
    <row r="3240" spans="9:17" s="1" customFormat="1">
      <c r="I3240" s="185"/>
      <c r="J3240" s="185"/>
      <c r="K3240" s="185"/>
      <c r="L3240"/>
      <c r="M3240"/>
      <c r="N3240"/>
      <c r="O3240"/>
      <c r="P3240"/>
      <c r="Q3240"/>
    </row>
    <row r="3241" spans="9:17" s="1" customFormat="1">
      <c r="I3241" s="185"/>
      <c r="J3241" s="185"/>
      <c r="K3241" s="185"/>
      <c r="L3241"/>
      <c r="M3241"/>
      <c r="N3241"/>
      <c r="O3241"/>
      <c r="P3241"/>
      <c r="Q3241"/>
    </row>
    <row r="3242" spans="9:17" s="1" customFormat="1">
      <c r="I3242" s="185"/>
      <c r="J3242" s="185"/>
      <c r="K3242" s="185"/>
      <c r="L3242"/>
      <c r="M3242"/>
      <c r="N3242"/>
      <c r="O3242"/>
      <c r="P3242"/>
      <c r="Q3242"/>
    </row>
    <row r="3243" spans="9:17" s="1" customFormat="1">
      <c r="I3243" s="185"/>
      <c r="J3243" s="185"/>
      <c r="K3243" s="185"/>
      <c r="L3243"/>
      <c r="M3243"/>
      <c r="N3243"/>
      <c r="O3243"/>
      <c r="P3243"/>
      <c r="Q3243"/>
    </row>
    <row r="3244" spans="9:17" s="1" customFormat="1">
      <c r="I3244" s="185"/>
      <c r="J3244" s="185"/>
      <c r="K3244" s="185"/>
      <c r="L3244"/>
      <c r="M3244"/>
      <c r="N3244"/>
      <c r="O3244"/>
      <c r="P3244"/>
      <c r="Q3244"/>
    </row>
    <row r="3245" spans="9:17" s="1" customFormat="1">
      <c r="I3245" s="185"/>
      <c r="J3245" s="185"/>
      <c r="K3245" s="185"/>
      <c r="L3245"/>
      <c r="M3245"/>
      <c r="N3245"/>
      <c r="O3245"/>
      <c r="P3245"/>
      <c r="Q3245"/>
    </row>
    <row r="3246" spans="9:17" s="1" customFormat="1">
      <c r="I3246" s="185"/>
      <c r="J3246" s="185"/>
      <c r="K3246" s="185"/>
      <c r="L3246"/>
      <c r="M3246"/>
      <c r="N3246"/>
      <c r="O3246"/>
      <c r="P3246"/>
      <c r="Q3246"/>
    </row>
    <row r="3247" spans="9:17" s="1" customFormat="1">
      <c r="I3247" s="185"/>
      <c r="J3247" s="185"/>
      <c r="K3247" s="185"/>
      <c r="L3247"/>
      <c r="M3247"/>
      <c r="N3247"/>
      <c r="O3247"/>
      <c r="P3247"/>
      <c r="Q3247"/>
    </row>
    <row r="3248" spans="9:17" s="1" customFormat="1">
      <c r="I3248" s="185"/>
      <c r="J3248" s="185"/>
      <c r="K3248" s="185"/>
      <c r="L3248"/>
      <c r="M3248"/>
      <c r="N3248"/>
      <c r="O3248"/>
      <c r="P3248"/>
      <c r="Q3248"/>
    </row>
    <row r="3249" spans="9:17" s="1" customFormat="1">
      <c r="I3249" s="185"/>
      <c r="J3249" s="185"/>
      <c r="K3249" s="185"/>
      <c r="L3249"/>
      <c r="M3249"/>
      <c r="N3249"/>
      <c r="O3249"/>
      <c r="P3249"/>
      <c r="Q3249"/>
    </row>
    <row r="3250" spans="9:17" s="1" customFormat="1">
      <c r="I3250" s="185"/>
      <c r="J3250" s="185"/>
      <c r="K3250" s="185"/>
      <c r="L3250"/>
      <c r="M3250"/>
      <c r="N3250"/>
      <c r="O3250"/>
      <c r="P3250"/>
      <c r="Q3250"/>
    </row>
    <row r="3251" spans="9:17" s="1" customFormat="1">
      <c r="I3251" s="185"/>
      <c r="J3251" s="185"/>
      <c r="K3251" s="185"/>
      <c r="L3251"/>
      <c r="M3251"/>
      <c r="N3251"/>
      <c r="O3251"/>
      <c r="P3251"/>
      <c r="Q3251"/>
    </row>
    <row r="3252" spans="9:17" s="1" customFormat="1">
      <c r="I3252" s="185"/>
      <c r="J3252" s="185"/>
      <c r="K3252" s="185"/>
      <c r="L3252"/>
      <c r="M3252"/>
      <c r="N3252"/>
      <c r="O3252"/>
      <c r="P3252"/>
      <c r="Q3252"/>
    </row>
    <row r="3253" spans="9:17" s="1" customFormat="1">
      <c r="I3253" s="185"/>
      <c r="J3253" s="185"/>
      <c r="K3253" s="185"/>
      <c r="L3253"/>
      <c r="M3253"/>
      <c r="N3253"/>
      <c r="O3253"/>
      <c r="P3253"/>
      <c r="Q3253"/>
    </row>
    <row r="3254" spans="9:17" s="1" customFormat="1">
      <c r="I3254" s="185"/>
      <c r="J3254" s="185"/>
      <c r="K3254" s="185"/>
      <c r="L3254"/>
      <c r="M3254"/>
      <c r="N3254"/>
      <c r="O3254"/>
      <c r="P3254"/>
      <c r="Q3254"/>
    </row>
    <row r="3255" spans="9:17" s="1" customFormat="1">
      <c r="I3255" s="185"/>
      <c r="J3255" s="185"/>
      <c r="K3255" s="185"/>
      <c r="L3255"/>
      <c r="M3255"/>
      <c r="N3255"/>
      <c r="O3255"/>
      <c r="P3255"/>
      <c r="Q3255"/>
    </row>
    <row r="3256" spans="9:17" s="1" customFormat="1">
      <c r="I3256" s="185"/>
      <c r="J3256" s="185"/>
      <c r="K3256" s="185"/>
      <c r="L3256"/>
      <c r="M3256"/>
      <c r="N3256"/>
      <c r="O3256"/>
      <c r="P3256"/>
      <c r="Q3256"/>
    </row>
    <row r="3257" spans="9:17" s="1" customFormat="1">
      <c r="I3257" s="185"/>
      <c r="J3257" s="185"/>
      <c r="K3257" s="185"/>
      <c r="L3257"/>
      <c r="M3257"/>
      <c r="N3257"/>
      <c r="O3257"/>
      <c r="P3257"/>
      <c r="Q3257"/>
    </row>
    <row r="3258" spans="9:17" s="1" customFormat="1">
      <c r="I3258" s="185"/>
      <c r="J3258" s="185"/>
      <c r="K3258" s="185"/>
      <c r="L3258"/>
      <c r="M3258"/>
      <c r="N3258"/>
      <c r="O3258"/>
      <c r="P3258"/>
      <c r="Q3258"/>
    </row>
    <row r="3259" spans="9:17" s="1" customFormat="1">
      <c r="I3259" s="185"/>
      <c r="J3259" s="185"/>
      <c r="K3259" s="185"/>
      <c r="L3259"/>
      <c r="M3259"/>
      <c r="N3259"/>
      <c r="O3259"/>
      <c r="P3259"/>
      <c r="Q3259"/>
    </row>
    <row r="3260" spans="9:17" s="1" customFormat="1">
      <c r="I3260" s="185"/>
      <c r="J3260" s="185"/>
      <c r="K3260" s="185"/>
      <c r="L3260"/>
      <c r="M3260"/>
      <c r="N3260"/>
      <c r="O3260"/>
      <c r="P3260"/>
      <c r="Q3260"/>
    </row>
    <row r="3261" spans="9:17" s="1" customFormat="1">
      <c r="I3261" s="185"/>
      <c r="J3261" s="185"/>
      <c r="K3261" s="185"/>
      <c r="L3261"/>
      <c r="M3261"/>
      <c r="N3261"/>
      <c r="O3261"/>
      <c r="P3261"/>
      <c r="Q3261"/>
    </row>
    <row r="3262" spans="9:17" s="1" customFormat="1">
      <c r="I3262" s="185"/>
      <c r="J3262" s="185"/>
      <c r="K3262" s="185"/>
      <c r="L3262"/>
      <c r="M3262"/>
      <c r="N3262"/>
      <c r="O3262"/>
      <c r="P3262"/>
      <c r="Q3262"/>
    </row>
    <row r="3263" spans="9:17" s="1" customFormat="1">
      <c r="I3263" s="185"/>
      <c r="J3263" s="185"/>
      <c r="K3263" s="185"/>
      <c r="L3263"/>
      <c r="M3263"/>
      <c r="N3263"/>
      <c r="O3263"/>
      <c r="P3263"/>
      <c r="Q3263"/>
    </row>
    <row r="3264" spans="9:17" s="1" customFormat="1">
      <c r="I3264" s="185"/>
      <c r="J3264" s="185"/>
      <c r="K3264" s="185"/>
      <c r="L3264"/>
      <c r="M3264"/>
      <c r="N3264"/>
      <c r="O3264"/>
      <c r="P3264"/>
      <c r="Q3264"/>
    </row>
    <row r="3265" spans="9:17" s="1" customFormat="1">
      <c r="I3265" s="185"/>
      <c r="J3265" s="185"/>
      <c r="K3265" s="185"/>
      <c r="L3265"/>
      <c r="M3265"/>
      <c r="N3265"/>
      <c r="O3265"/>
      <c r="P3265"/>
      <c r="Q3265"/>
    </row>
    <row r="3266" spans="9:17" s="1" customFormat="1">
      <c r="I3266" s="185"/>
      <c r="J3266" s="185"/>
      <c r="K3266" s="185"/>
      <c r="L3266"/>
      <c r="M3266"/>
      <c r="N3266"/>
      <c r="O3266"/>
      <c r="P3266"/>
      <c r="Q3266"/>
    </row>
    <row r="3267" spans="9:17" s="1" customFormat="1">
      <c r="I3267" s="185"/>
      <c r="J3267" s="185"/>
      <c r="K3267" s="185"/>
      <c r="L3267"/>
      <c r="M3267"/>
      <c r="N3267"/>
      <c r="O3267"/>
      <c r="P3267"/>
      <c r="Q3267"/>
    </row>
    <row r="3268" spans="9:17" s="1" customFormat="1">
      <c r="I3268" s="185"/>
      <c r="J3268" s="185"/>
      <c r="K3268" s="185"/>
      <c r="L3268"/>
      <c r="M3268"/>
      <c r="N3268"/>
      <c r="O3268"/>
      <c r="P3268"/>
      <c r="Q3268"/>
    </row>
    <row r="3269" spans="9:17" s="1" customFormat="1">
      <c r="I3269" s="185"/>
      <c r="J3269" s="185"/>
      <c r="K3269" s="185"/>
      <c r="L3269"/>
      <c r="M3269"/>
      <c r="N3269"/>
      <c r="O3269"/>
      <c r="P3269"/>
      <c r="Q3269"/>
    </row>
    <row r="3270" spans="9:17" s="1" customFormat="1">
      <c r="I3270" s="185"/>
      <c r="J3270" s="185"/>
      <c r="K3270" s="185"/>
      <c r="L3270"/>
      <c r="M3270"/>
      <c r="N3270"/>
      <c r="O3270"/>
      <c r="P3270"/>
      <c r="Q3270"/>
    </row>
    <row r="3271" spans="9:17" s="1" customFormat="1">
      <c r="I3271" s="185"/>
      <c r="J3271" s="185"/>
      <c r="K3271" s="185"/>
      <c r="L3271"/>
      <c r="M3271"/>
      <c r="N3271"/>
      <c r="O3271"/>
      <c r="P3271"/>
      <c r="Q3271"/>
    </row>
    <row r="3272" spans="9:17" s="1" customFormat="1">
      <c r="I3272" s="185"/>
      <c r="J3272" s="185"/>
      <c r="K3272" s="185"/>
      <c r="L3272"/>
      <c r="M3272"/>
      <c r="N3272"/>
      <c r="O3272"/>
      <c r="P3272"/>
      <c r="Q3272"/>
    </row>
    <row r="3273" spans="9:17" s="1" customFormat="1">
      <c r="I3273" s="185"/>
      <c r="J3273" s="185"/>
      <c r="K3273" s="185"/>
      <c r="L3273"/>
      <c r="M3273"/>
      <c r="N3273"/>
      <c r="O3273"/>
      <c r="P3273"/>
      <c r="Q3273"/>
    </row>
    <row r="3274" spans="9:17" s="1" customFormat="1">
      <c r="I3274" s="185"/>
      <c r="J3274" s="185"/>
      <c r="K3274" s="185"/>
      <c r="L3274"/>
      <c r="M3274"/>
      <c r="N3274"/>
      <c r="O3274"/>
      <c r="P3274"/>
      <c r="Q3274"/>
    </row>
    <row r="3275" spans="9:17" s="1" customFormat="1">
      <c r="I3275" s="185"/>
      <c r="J3275" s="185"/>
      <c r="K3275" s="185"/>
      <c r="L3275"/>
      <c r="M3275"/>
      <c r="N3275"/>
      <c r="O3275"/>
      <c r="P3275"/>
      <c r="Q3275"/>
    </row>
    <row r="3276" spans="9:17" s="1" customFormat="1">
      <c r="I3276" s="185"/>
      <c r="J3276" s="185"/>
      <c r="K3276" s="185"/>
      <c r="L3276"/>
      <c r="M3276"/>
      <c r="N3276"/>
      <c r="O3276"/>
      <c r="P3276"/>
      <c r="Q3276"/>
    </row>
    <row r="3277" spans="9:17" s="1" customFormat="1">
      <c r="I3277" s="185"/>
      <c r="J3277" s="185"/>
      <c r="K3277" s="185"/>
      <c r="L3277"/>
      <c r="M3277"/>
      <c r="N3277"/>
      <c r="O3277"/>
      <c r="P3277"/>
      <c r="Q3277"/>
    </row>
    <row r="3278" spans="9:17" s="1" customFormat="1">
      <c r="I3278" s="185"/>
      <c r="J3278" s="185"/>
      <c r="K3278" s="185"/>
      <c r="L3278"/>
      <c r="M3278"/>
      <c r="N3278"/>
      <c r="O3278"/>
      <c r="P3278"/>
      <c r="Q3278"/>
    </row>
    <row r="3279" spans="9:17" s="1" customFormat="1">
      <c r="I3279" s="185"/>
      <c r="J3279" s="185"/>
      <c r="K3279" s="185"/>
      <c r="L3279"/>
      <c r="M3279"/>
      <c r="N3279"/>
      <c r="O3279"/>
      <c r="P3279"/>
      <c r="Q3279"/>
    </row>
    <row r="3280" spans="9:17" s="1" customFormat="1">
      <c r="I3280" s="185"/>
      <c r="J3280" s="185"/>
      <c r="K3280" s="185"/>
      <c r="L3280"/>
      <c r="M3280"/>
      <c r="N3280"/>
      <c r="O3280"/>
      <c r="P3280"/>
      <c r="Q3280"/>
    </row>
    <row r="3281" spans="9:17" s="1" customFormat="1">
      <c r="I3281" s="185"/>
      <c r="J3281" s="185"/>
      <c r="K3281" s="185"/>
      <c r="L3281"/>
      <c r="M3281"/>
      <c r="N3281"/>
      <c r="O3281"/>
      <c r="P3281"/>
      <c r="Q3281"/>
    </row>
    <row r="3282" spans="9:17" s="1" customFormat="1">
      <c r="I3282" s="185"/>
      <c r="J3282" s="185"/>
      <c r="K3282" s="185"/>
      <c r="L3282"/>
      <c r="M3282"/>
      <c r="N3282"/>
      <c r="O3282"/>
      <c r="P3282"/>
      <c r="Q3282"/>
    </row>
    <row r="3283" spans="9:17" s="1" customFormat="1">
      <c r="I3283" s="185"/>
      <c r="J3283" s="185"/>
      <c r="K3283" s="185"/>
      <c r="L3283"/>
      <c r="M3283"/>
      <c r="N3283"/>
      <c r="O3283"/>
      <c r="P3283"/>
      <c r="Q3283"/>
    </row>
    <row r="3284" spans="9:17" s="1" customFormat="1">
      <c r="I3284" s="185"/>
      <c r="J3284" s="185"/>
      <c r="K3284" s="185"/>
      <c r="L3284"/>
      <c r="M3284"/>
      <c r="N3284"/>
      <c r="O3284"/>
      <c r="P3284"/>
      <c r="Q3284"/>
    </row>
    <row r="3285" spans="9:17" s="1" customFormat="1">
      <c r="I3285" s="185"/>
      <c r="J3285" s="185"/>
      <c r="K3285" s="185"/>
      <c r="L3285"/>
      <c r="M3285"/>
      <c r="N3285"/>
      <c r="O3285"/>
      <c r="P3285"/>
      <c r="Q3285"/>
    </row>
    <row r="3286" spans="9:17" s="1" customFormat="1">
      <c r="I3286" s="185"/>
      <c r="J3286" s="185"/>
      <c r="K3286" s="185"/>
      <c r="L3286"/>
      <c r="M3286"/>
      <c r="N3286"/>
      <c r="O3286"/>
      <c r="P3286"/>
      <c r="Q3286"/>
    </row>
    <row r="3287" spans="9:17" s="1" customFormat="1">
      <c r="I3287" s="185"/>
      <c r="J3287" s="185"/>
      <c r="K3287" s="185"/>
      <c r="L3287"/>
      <c r="M3287"/>
      <c r="N3287"/>
      <c r="O3287"/>
      <c r="P3287"/>
      <c r="Q3287"/>
    </row>
    <row r="3288" spans="9:17" s="1" customFormat="1">
      <c r="I3288" s="185"/>
      <c r="J3288" s="185"/>
      <c r="K3288" s="185"/>
      <c r="L3288"/>
      <c r="M3288"/>
      <c r="N3288"/>
      <c r="O3288"/>
      <c r="P3288"/>
      <c r="Q3288"/>
    </row>
    <row r="3289" spans="9:17" s="1" customFormat="1">
      <c r="I3289" s="185"/>
      <c r="J3289" s="185"/>
      <c r="K3289" s="185"/>
      <c r="L3289"/>
      <c r="M3289"/>
      <c r="N3289"/>
      <c r="O3289"/>
      <c r="P3289"/>
      <c r="Q3289"/>
    </row>
    <row r="3290" spans="9:17" s="1" customFormat="1">
      <c r="I3290" s="185"/>
      <c r="J3290" s="185"/>
      <c r="K3290" s="185"/>
      <c r="L3290"/>
      <c r="M3290"/>
      <c r="N3290"/>
      <c r="O3290"/>
      <c r="P3290"/>
      <c r="Q3290"/>
    </row>
    <row r="3291" spans="9:17" s="1" customFormat="1">
      <c r="I3291" s="185"/>
      <c r="J3291" s="185"/>
      <c r="K3291" s="185"/>
      <c r="L3291"/>
      <c r="M3291"/>
      <c r="N3291"/>
      <c r="O3291"/>
      <c r="P3291"/>
      <c r="Q3291"/>
    </row>
    <row r="3292" spans="9:17" s="1" customFormat="1">
      <c r="I3292" s="185"/>
      <c r="J3292" s="185"/>
      <c r="K3292" s="185"/>
      <c r="L3292"/>
      <c r="M3292"/>
      <c r="N3292"/>
      <c r="O3292"/>
      <c r="P3292"/>
      <c r="Q3292"/>
    </row>
    <row r="3293" spans="9:17" s="1" customFormat="1">
      <c r="I3293" s="185"/>
      <c r="J3293" s="185"/>
      <c r="K3293" s="185"/>
      <c r="L3293"/>
      <c r="M3293"/>
      <c r="N3293"/>
      <c r="O3293"/>
      <c r="P3293"/>
      <c r="Q3293"/>
    </row>
    <row r="3294" spans="9:17" s="1" customFormat="1">
      <c r="I3294" s="185"/>
      <c r="J3294" s="185"/>
      <c r="K3294" s="185"/>
      <c r="L3294"/>
      <c r="M3294"/>
      <c r="N3294"/>
      <c r="O3294"/>
      <c r="P3294"/>
      <c r="Q3294"/>
    </row>
    <row r="3295" spans="9:17" s="1" customFormat="1">
      <c r="I3295" s="185"/>
      <c r="J3295" s="185"/>
      <c r="K3295" s="185"/>
      <c r="L3295"/>
      <c r="M3295"/>
      <c r="N3295"/>
      <c r="O3295"/>
      <c r="P3295"/>
      <c r="Q3295"/>
    </row>
    <row r="3296" spans="9:17" s="1" customFormat="1">
      <c r="I3296" s="185"/>
      <c r="J3296" s="185"/>
      <c r="K3296" s="185"/>
      <c r="L3296"/>
      <c r="M3296"/>
      <c r="N3296"/>
      <c r="O3296"/>
      <c r="P3296"/>
      <c r="Q3296"/>
    </row>
    <row r="3297" spans="9:17" s="1" customFormat="1">
      <c r="I3297" s="185"/>
      <c r="J3297" s="185"/>
      <c r="K3297" s="185"/>
      <c r="L3297"/>
      <c r="M3297"/>
      <c r="N3297"/>
      <c r="O3297"/>
      <c r="P3297"/>
      <c r="Q3297"/>
    </row>
    <row r="3298" spans="9:17" s="1" customFormat="1">
      <c r="I3298" s="185"/>
      <c r="J3298" s="185"/>
      <c r="K3298" s="185"/>
      <c r="L3298"/>
      <c r="M3298"/>
      <c r="N3298"/>
      <c r="O3298"/>
      <c r="P3298"/>
      <c r="Q3298"/>
    </row>
    <row r="3299" spans="9:17" s="1" customFormat="1">
      <c r="I3299" s="185"/>
      <c r="J3299" s="185"/>
      <c r="K3299" s="185"/>
      <c r="L3299"/>
      <c r="M3299"/>
      <c r="N3299"/>
      <c r="O3299"/>
      <c r="P3299"/>
      <c r="Q3299"/>
    </row>
    <row r="3300" spans="9:17" s="1" customFormat="1">
      <c r="I3300" s="185"/>
      <c r="J3300" s="185"/>
      <c r="K3300" s="185"/>
      <c r="L3300"/>
      <c r="M3300"/>
      <c r="N3300"/>
      <c r="O3300"/>
      <c r="P3300"/>
      <c r="Q3300"/>
    </row>
    <row r="3301" spans="9:17" s="1" customFormat="1">
      <c r="I3301" s="185"/>
      <c r="J3301" s="185"/>
      <c r="K3301" s="185"/>
      <c r="L3301"/>
      <c r="M3301"/>
      <c r="N3301"/>
      <c r="O3301"/>
      <c r="P3301"/>
      <c r="Q3301"/>
    </row>
    <row r="3302" spans="9:17" s="1" customFormat="1">
      <c r="I3302" s="185"/>
      <c r="J3302" s="185"/>
      <c r="K3302" s="185"/>
      <c r="L3302"/>
      <c r="M3302"/>
      <c r="N3302"/>
      <c r="O3302"/>
      <c r="P3302"/>
      <c r="Q3302"/>
    </row>
    <row r="3303" spans="9:17" s="1" customFormat="1">
      <c r="I3303" s="185"/>
      <c r="J3303" s="185"/>
      <c r="K3303" s="185"/>
      <c r="L3303"/>
      <c r="M3303"/>
      <c r="N3303"/>
      <c r="O3303"/>
      <c r="P3303"/>
      <c r="Q3303"/>
    </row>
    <row r="3304" spans="9:17" s="1" customFormat="1">
      <c r="I3304" s="185"/>
      <c r="J3304" s="185"/>
      <c r="K3304" s="185"/>
      <c r="L3304"/>
      <c r="M3304"/>
      <c r="N3304"/>
      <c r="O3304"/>
      <c r="P3304"/>
      <c r="Q3304"/>
    </row>
    <row r="3305" spans="9:17" s="1" customFormat="1">
      <c r="I3305" s="185"/>
      <c r="J3305" s="185"/>
      <c r="K3305" s="185"/>
      <c r="L3305"/>
      <c r="M3305"/>
      <c r="N3305"/>
      <c r="O3305"/>
      <c r="P3305"/>
      <c r="Q3305"/>
    </row>
    <row r="3306" spans="9:17" s="1" customFormat="1">
      <c r="I3306" s="185"/>
      <c r="J3306" s="185"/>
      <c r="K3306" s="185"/>
      <c r="L3306"/>
      <c r="M3306"/>
      <c r="N3306"/>
      <c r="O3306"/>
      <c r="P3306"/>
      <c r="Q3306"/>
    </row>
    <row r="3307" spans="9:17" s="1" customFormat="1">
      <c r="I3307" s="185"/>
      <c r="J3307" s="185"/>
      <c r="K3307" s="185"/>
      <c r="L3307"/>
      <c r="M3307"/>
      <c r="N3307"/>
      <c r="O3307"/>
      <c r="P3307"/>
      <c r="Q3307"/>
    </row>
    <row r="3308" spans="9:17" s="1" customFormat="1">
      <c r="I3308" s="185"/>
      <c r="J3308" s="185"/>
      <c r="K3308" s="185"/>
      <c r="L3308"/>
      <c r="M3308"/>
      <c r="N3308"/>
      <c r="O3308"/>
      <c r="P3308"/>
      <c r="Q3308"/>
    </row>
    <row r="3309" spans="9:17" s="1" customFormat="1">
      <c r="I3309" s="185"/>
      <c r="J3309" s="185"/>
      <c r="K3309" s="185"/>
      <c r="L3309"/>
      <c r="M3309"/>
      <c r="N3309"/>
      <c r="O3309"/>
      <c r="P3309"/>
      <c r="Q3309"/>
    </row>
    <row r="3310" spans="9:17" s="1" customFormat="1">
      <c r="I3310" s="185"/>
      <c r="J3310" s="185"/>
      <c r="K3310" s="185"/>
      <c r="L3310"/>
      <c r="M3310"/>
      <c r="N3310"/>
      <c r="O3310"/>
      <c r="P3310"/>
      <c r="Q3310"/>
    </row>
    <row r="3311" spans="9:17" s="1" customFormat="1">
      <c r="I3311" s="185"/>
      <c r="J3311" s="185"/>
      <c r="K3311" s="185"/>
      <c r="L3311"/>
      <c r="M3311"/>
      <c r="N3311"/>
      <c r="O3311"/>
      <c r="P3311"/>
      <c r="Q3311"/>
    </row>
    <row r="3312" spans="9:17" s="1" customFormat="1">
      <c r="I3312" s="185"/>
      <c r="J3312" s="185"/>
      <c r="K3312" s="185"/>
      <c r="L3312"/>
      <c r="M3312"/>
      <c r="N3312"/>
      <c r="O3312"/>
      <c r="P3312"/>
      <c r="Q3312"/>
    </row>
    <row r="3313" spans="9:17" s="1" customFormat="1">
      <c r="I3313" s="185"/>
      <c r="J3313" s="185"/>
      <c r="K3313" s="185"/>
      <c r="L3313"/>
      <c r="M3313"/>
      <c r="N3313"/>
      <c r="O3313"/>
      <c r="P3313"/>
      <c r="Q3313"/>
    </row>
    <row r="3314" spans="9:17" s="1" customFormat="1">
      <c r="I3314" s="185"/>
      <c r="J3314" s="185"/>
      <c r="K3314" s="185"/>
      <c r="L3314"/>
      <c r="M3314"/>
      <c r="N3314"/>
      <c r="O3314"/>
      <c r="P3314"/>
      <c r="Q3314"/>
    </row>
    <row r="3315" spans="9:17" s="1" customFormat="1">
      <c r="I3315" s="185"/>
      <c r="J3315" s="185"/>
      <c r="K3315" s="185"/>
      <c r="L3315"/>
      <c r="M3315"/>
      <c r="N3315"/>
      <c r="O3315"/>
      <c r="P3315"/>
      <c r="Q3315"/>
    </row>
    <row r="3316" spans="9:17" s="1" customFormat="1">
      <c r="I3316" s="185"/>
      <c r="J3316" s="185"/>
      <c r="K3316" s="185"/>
      <c r="L3316"/>
      <c r="M3316"/>
      <c r="N3316"/>
      <c r="O3316"/>
      <c r="P3316"/>
      <c r="Q3316"/>
    </row>
    <row r="3317" spans="9:17" s="1" customFormat="1">
      <c r="I3317" s="185"/>
      <c r="J3317" s="185"/>
      <c r="K3317" s="185"/>
      <c r="L3317"/>
      <c r="M3317"/>
      <c r="N3317"/>
      <c r="O3317"/>
      <c r="P3317"/>
      <c r="Q3317"/>
    </row>
    <row r="3318" spans="9:17" s="1" customFormat="1">
      <c r="I3318" s="185"/>
      <c r="J3318" s="185"/>
      <c r="K3318" s="185"/>
      <c r="L3318"/>
      <c r="M3318"/>
      <c r="N3318"/>
      <c r="O3318"/>
      <c r="P3318"/>
      <c r="Q3318"/>
    </row>
    <row r="3319" spans="9:17" s="1" customFormat="1">
      <c r="I3319" s="185"/>
      <c r="J3319" s="185"/>
      <c r="K3319" s="185"/>
      <c r="L3319"/>
      <c r="M3319"/>
      <c r="N3319"/>
      <c r="O3319"/>
      <c r="P3319"/>
      <c r="Q3319"/>
    </row>
    <row r="3320" spans="9:17" s="1" customFormat="1">
      <c r="I3320" s="185"/>
      <c r="J3320" s="185"/>
      <c r="K3320" s="185"/>
      <c r="L3320"/>
      <c r="M3320"/>
      <c r="N3320"/>
      <c r="O3320"/>
      <c r="P3320"/>
      <c r="Q3320"/>
    </row>
    <row r="3321" spans="9:17" s="1" customFormat="1">
      <c r="I3321" s="185"/>
      <c r="J3321" s="185"/>
      <c r="K3321" s="185"/>
      <c r="L3321"/>
      <c r="M3321"/>
      <c r="N3321"/>
      <c r="O3321"/>
      <c r="P3321"/>
      <c r="Q3321"/>
    </row>
    <row r="3322" spans="9:17" s="1" customFormat="1">
      <c r="I3322" s="185"/>
      <c r="J3322" s="185"/>
      <c r="K3322" s="185"/>
      <c r="L3322"/>
      <c r="M3322"/>
      <c r="N3322"/>
      <c r="O3322"/>
      <c r="P3322"/>
      <c r="Q3322"/>
    </row>
    <row r="3323" spans="9:17" s="1" customFormat="1">
      <c r="I3323" s="185"/>
      <c r="J3323" s="185"/>
      <c r="K3323" s="185"/>
      <c r="L3323"/>
      <c r="M3323"/>
      <c r="N3323"/>
      <c r="O3323"/>
      <c r="P3323"/>
      <c r="Q3323"/>
    </row>
    <row r="3324" spans="9:17" s="1" customFormat="1">
      <c r="I3324" s="185"/>
      <c r="J3324" s="185"/>
      <c r="K3324" s="185"/>
      <c r="L3324"/>
      <c r="M3324"/>
      <c r="N3324"/>
      <c r="O3324"/>
      <c r="P3324"/>
      <c r="Q3324"/>
    </row>
    <row r="3325" spans="9:17" s="1" customFormat="1">
      <c r="I3325" s="185"/>
      <c r="J3325" s="185"/>
      <c r="K3325" s="185"/>
      <c r="L3325"/>
      <c r="M3325"/>
      <c r="N3325"/>
      <c r="O3325"/>
      <c r="P3325"/>
      <c r="Q3325"/>
    </row>
    <row r="3326" spans="9:17" s="1" customFormat="1">
      <c r="I3326" s="185"/>
      <c r="J3326" s="185"/>
      <c r="K3326" s="185"/>
      <c r="L3326"/>
      <c r="M3326"/>
      <c r="N3326"/>
      <c r="O3326"/>
      <c r="P3326"/>
      <c r="Q3326"/>
    </row>
    <row r="3327" spans="9:17" s="1" customFormat="1">
      <c r="I3327" s="185"/>
      <c r="J3327" s="185"/>
      <c r="K3327" s="185"/>
      <c r="L3327"/>
      <c r="M3327"/>
      <c r="N3327"/>
      <c r="O3327"/>
      <c r="P3327"/>
      <c r="Q3327"/>
    </row>
    <row r="3328" spans="9:17" s="1" customFormat="1">
      <c r="I3328" s="185"/>
      <c r="J3328" s="185"/>
      <c r="K3328" s="185"/>
      <c r="L3328"/>
      <c r="M3328"/>
      <c r="N3328"/>
      <c r="O3328"/>
      <c r="P3328"/>
      <c r="Q3328"/>
    </row>
    <row r="3329" spans="9:17" s="1" customFormat="1">
      <c r="I3329" s="185"/>
      <c r="J3329" s="185"/>
      <c r="K3329" s="185"/>
      <c r="L3329"/>
      <c r="M3329"/>
      <c r="N3329"/>
      <c r="O3329"/>
      <c r="P3329"/>
      <c r="Q3329"/>
    </row>
    <row r="3330" spans="9:17" s="1" customFormat="1">
      <c r="I3330" s="185"/>
      <c r="J3330" s="185"/>
      <c r="K3330" s="185"/>
      <c r="L3330"/>
      <c r="M3330"/>
      <c r="N3330"/>
      <c r="O3330"/>
      <c r="P3330"/>
      <c r="Q3330"/>
    </row>
    <row r="3331" spans="9:17" s="1" customFormat="1">
      <c r="I3331" s="185"/>
      <c r="J3331" s="185"/>
      <c r="K3331" s="185"/>
      <c r="L3331"/>
      <c r="M3331"/>
      <c r="N3331"/>
      <c r="O3331"/>
      <c r="P3331"/>
      <c r="Q3331"/>
    </row>
    <row r="3332" spans="9:17" s="1" customFormat="1">
      <c r="I3332" s="185"/>
      <c r="J3332" s="185"/>
      <c r="K3332" s="185"/>
      <c r="L3332"/>
      <c r="M3332"/>
      <c r="N3332"/>
      <c r="O3332"/>
      <c r="P3332"/>
      <c r="Q3332"/>
    </row>
    <row r="3333" spans="9:17" s="1" customFormat="1">
      <c r="I3333" s="185"/>
      <c r="J3333" s="185"/>
      <c r="K3333" s="185"/>
      <c r="L3333"/>
      <c r="M3333"/>
      <c r="N3333"/>
      <c r="O3333"/>
      <c r="P3333"/>
      <c r="Q3333"/>
    </row>
    <row r="3334" spans="9:17" s="1" customFormat="1">
      <c r="I3334" s="185"/>
      <c r="J3334" s="185"/>
      <c r="K3334" s="185"/>
      <c r="L3334"/>
      <c r="M3334"/>
      <c r="N3334"/>
      <c r="O3334"/>
      <c r="P3334"/>
      <c r="Q3334"/>
    </row>
    <row r="3335" spans="9:17" s="1" customFormat="1">
      <c r="I3335" s="185"/>
      <c r="J3335" s="185"/>
      <c r="K3335" s="185"/>
      <c r="L3335"/>
      <c r="M3335"/>
      <c r="N3335"/>
      <c r="O3335"/>
      <c r="P3335"/>
      <c r="Q3335"/>
    </row>
    <row r="3336" spans="9:17" s="1" customFormat="1">
      <c r="I3336" s="185"/>
      <c r="J3336" s="185"/>
      <c r="K3336" s="185"/>
      <c r="L3336"/>
      <c r="M3336"/>
      <c r="N3336"/>
      <c r="O3336"/>
      <c r="P3336"/>
      <c r="Q3336"/>
    </row>
    <row r="3337" spans="9:17" s="1" customFormat="1">
      <c r="I3337" s="185"/>
      <c r="J3337" s="185"/>
      <c r="K3337" s="185"/>
      <c r="L3337"/>
      <c r="M3337"/>
      <c r="N3337"/>
      <c r="O3337"/>
      <c r="P3337"/>
      <c r="Q3337"/>
    </row>
    <row r="3338" spans="9:17" s="1" customFormat="1">
      <c r="I3338" s="185"/>
      <c r="J3338" s="185"/>
      <c r="K3338" s="185"/>
      <c r="L3338"/>
      <c r="M3338"/>
      <c r="N3338"/>
      <c r="O3338"/>
      <c r="P3338"/>
      <c r="Q3338"/>
    </row>
    <row r="3339" spans="9:17" s="1" customFormat="1">
      <c r="I3339" s="185"/>
      <c r="J3339" s="185"/>
      <c r="K3339" s="185"/>
      <c r="L3339"/>
      <c r="M3339"/>
      <c r="N3339"/>
      <c r="O3339"/>
      <c r="P3339"/>
      <c r="Q3339"/>
    </row>
    <row r="3340" spans="9:17" s="1" customFormat="1">
      <c r="I3340" s="185"/>
      <c r="J3340" s="185"/>
      <c r="K3340" s="185"/>
      <c r="L3340"/>
      <c r="M3340"/>
      <c r="N3340"/>
      <c r="O3340"/>
      <c r="P3340"/>
      <c r="Q3340"/>
    </row>
    <row r="3341" spans="9:17" s="1" customFormat="1">
      <c r="I3341" s="185"/>
      <c r="J3341" s="185"/>
      <c r="K3341" s="185"/>
      <c r="L3341"/>
      <c r="M3341"/>
      <c r="N3341"/>
      <c r="O3341"/>
      <c r="P3341"/>
      <c r="Q3341"/>
    </row>
    <row r="3342" spans="9:17" s="1" customFormat="1">
      <c r="I3342" s="185"/>
      <c r="J3342" s="185"/>
      <c r="K3342" s="185"/>
      <c r="L3342"/>
      <c r="M3342"/>
      <c r="N3342"/>
      <c r="O3342"/>
      <c r="P3342"/>
      <c r="Q3342"/>
    </row>
    <row r="3343" spans="9:17" s="1" customFormat="1">
      <c r="I3343" s="185"/>
      <c r="J3343" s="185"/>
      <c r="K3343" s="185"/>
      <c r="L3343"/>
      <c r="M3343"/>
      <c r="N3343"/>
      <c r="O3343"/>
      <c r="P3343"/>
      <c r="Q3343"/>
    </row>
    <row r="3344" spans="9:17" s="1" customFormat="1">
      <c r="I3344" s="185"/>
      <c r="J3344" s="185"/>
      <c r="K3344" s="185"/>
      <c r="L3344"/>
      <c r="M3344"/>
      <c r="N3344"/>
      <c r="O3344"/>
      <c r="P3344"/>
      <c r="Q3344"/>
    </row>
    <row r="3345" spans="9:17" s="1" customFormat="1">
      <c r="I3345" s="185"/>
      <c r="J3345" s="185"/>
      <c r="K3345" s="185"/>
      <c r="L3345"/>
      <c r="M3345"/>
      <c r="N3345"/>
      <c r="O3345"/>
      <c r="P3345"/>
      <c r="Q3345"/>
    </row>
    <row r="3346" spans="9:17" s="1" customFormat="1">
      <c r="I3346" s="185"/>
      <c r="J3346" s="185"/>
      <c r="K3346" s="185"/>
      <c r="L3346"/>
      <c r="M3346"/>
      <c r="N3346"/>
      <c r="O3346"/>
      <c r="P3346"/>
      <c r="Q3346"/>
    </row>
    <row r="3347" spans="9:17" s="1" customFormat="1">
      <c r="I3347" s="185"/>
      <c r="J3347" s="185"/>
      <c r="K3347" s="185"/>
      <c r="L3347"/>
      <c r="M3347"/>
      <c r="N3347"/>
      <c r="O3347"/>
      <c r="P3347"/>
      <c r="Q3347"/>
    </row>
    <row r="3348" spans="9:17" s="1" customFormat="1">
      <c r="I3348" s="185"/>
      <c r="J3348" s="185"/>
      <c r="K3348" s="185"/>
      <c r="L3348"/>
      <c r="M3348"/>
      <c r="N3348"/>
      <c r="O3348"/>
      <c r="P3348"/>
      <c r="Q3348"/>
    </row>
    <row r="3349" spans="9:17" s="1" customFormat="1">
      <c r="I3349" s="185"/>
      <c r="J3349" s="185"/>
      <c r="K3349" s="185"/>
      <c r="L3349"/>
      <c r="M3349"/>
      <c r="N3349"/>
      <c r="O3349"/>
      <c r="P3349"/>
      <c r="Q3349"/>
    </row>
    <row r="3350" spans="9:17" s="1" customFormat="1">
      <c r="I3350" s="185"/>
      <c r="J3350" s="185"/>
      <c r="K3350" s="185"/>
      <c r="L3350"/>
      <c r="M3350"/>
      <c r="N3350"/>
      <c r="O3350"/>
      <c r="P3350"/>
      <c r="Q3350"/>
    </row>
    <row r="3351" spans="9:17" s="1" customFormat="1">
      <c r="I3351" s="185"/>
      <c r="J3351" s="185"/>
      <c r="K3351" s="185"/>
      <c r="L3351"/>
      <c r="M3351"/>
      <c r="N3351"/>
      <c r="O3351"/>
      <c r="P3351"/>
      <c r="Q3351"/>
    </row>
    <row r="3352" spans="9:17" s="1" customFormat="1">
      <c r="I3352" s="185"/>
      <c r="J3352" s="185"/>
      <c r="K3352" s="185"/>
      <c r="L3352"/>
      <c r="M3352"/>
      <c r="N3352"/>
      <c r="O3352"/>
      <c r="P3352"/>
      <c r="Q3352"/>
    </row>
    <row r="3353" spans="9:17" s="1" customFormat="1">
      <c r="I3353" s="185"/>
      <c r="J3353" s="185"/>
      <c r="K3353" s="185"/>
      <c r="L3353"/>
      <c r="M3353"/>
      <c r="N3353"/>
      <c r="O3353"/>
      <c r="P3353"/>
      <c r="Q3353"/>
    </row>
    <row r="3354" spans="9:17" s="1" customFormat="1">
      <c r="I3354" s="185"/>
      <c r="J3354" s="185"/>
      <c r="K3354" s="185"/>
      <c r="L3354"/>
      <c r="M3354"/>
      <c r="N3354"/>
      <c r="O3354"/>
      <c r="P3354"/>
      <c r="Q3354"/>
    </row>
    <row r="3355" spans="9:17" s="1" customFormat="1">
      <c r="I3355" s="185"/>
      <c r="J3355" s="185"/>
      <c r="K3355" s="185"/>
      <c r="L3355"/>
      <c r="M3355"/>
      <c r="N3355"/>
      <c r="O3355"/>
      <c r="P3355"/>
      <c r="Q3355"/>
    </row>
    <row r="3356" spans="9:17" s="1" customFormat="1">
      <c r="I3356" s="185"/>
      <c r="J3356" s="185"/>
      <c r="K3356" s="185"/>
      <c r="L3356"/>
      <c r="M3356"/>
      <c r="N3356"/>
      <c r="O3356"/>
      <c r="P3356"/>
      <c r="Q3356"/>
    </row>
    <row r="3357" spans="9:17" s="1" customFormat="1">
      <c r="I3357" s="185"/>
      <c r="J3357" s="185"/>
      <c r="K3357" s="185"/>
      <c r="L3357"/>
      <c r="M3357"/>
      <c r="N3357"/>
      <c r="O3357"/>
      <c r="P3357"/>
      <c r="Q3357"/>
    </row>
    <row r="3358" spans="9:17" s="1" customFormat="1">
      <c r="I3358" s="185"/>
      <c r="J3358" s="185"/>
      <c r="K3358" s="185"/>
      <c r="L3358"/>
      <c r="M3358"/>
      <c r="N3358"/>
      <c r="O3358"/>
      <c r="P3358"/>
      <c r="Q3358"/>
    </row>
    <row r="3359" spans="9:17" s="1" customFormat="1">
      <c r="I3359" s="185"/>
      <c r="J3359" s="185"/>
      <c r="K3359" s="185"/>
      <c r="L3359"/>
      <c r="M3359"/>
      <c r="N3359"/>
      <c r="O3359"/>
      <c r="P3359"/>
      <c r="Q3359"/>
    </row>
    <row r="3360" spans="9:17" s="1" customFormat="1">
      <c r="I3360" s="185"/>
      <c r="J3360" s="185"/>
      <c r="K3360" s="185"/>
      <c r="L3360"/>
      <c r="M3360"/>
      <c r="N3360"/>
      <c r="O3360"/>
      <c r="P3360"/>
      <c r="Q3360"/>
    </row>
    <row r="3361" spans="9:17" s="1" customFormat="1">
      <c r="I3361" s="185"/>
      <c r="J3361" s="185"/>
      <c r="K3361" s="185"/>
      <c r="L3361"/>
      <c r="M3361"/>
      <c r="N3361"/>
      <c r="O3361"/>
      <c r="P3361"/>
      <c r="Q3361"/>
    </row>
    <row r="3362" spans="9:17" s="1" customFormat="1">
      <c r="I3362" s="185"/>
      <c r="J3362" s="185"/>
      <c r="K3362" s="185"/>
      <c r="L3362"/>
      <c r="M3362"/>
      <c r="N3362"/>
      <c r="O3362"/>
      <c r="P3362"/>
      <c r="Q3362"/>
    </row>
    <row r="3363" spans="9:17" s="1" customFormat="1">
      <c r="I3363" s="185"/>
      <c r="J3363" s="185"/>
      <c r="K3363" s="185"/>
      <c r="L3363"/>
      <c r="M3363"/>
      <c r="N3363"/>
      <c r="O3363"/>
      <c r="P3363"/>
      <c r="Q3363"/>
    </row>
    <row r="3364" spans="9:17" s="1" customFormat="1">
      <c r="I3364" s="185"/>
      <c r="J3364" s="185"/>
      <c r="K3364" s="185"/>
      <c r="L3364"/>
      <c r="M3364"/>
      <c r="N3364"/>
      <c r="O3364"/>
      <c r="P3364"/>
      <c r="Q3364"/>
    </row>
    <row r="3365" spans="9:17" s="1" customFormat="1">
      <c r="I3365" s="185"/>
      <c r="J3365" s="185"/>
      <c r="K3365" s="185"/>
      <c r="L3365"/>
      <c r="M3365"/>
      <c r="N3365"/>
      <c r="O3365"/>
      <c r="P3365"/>
      <c r="Q3365"/>
    </row>
    <row r="3366" spans="9:17" s="1" customFormat="1">
      <c r="I3366" s="185"/>
      <c r="J3366" s="185"/>
      <c r="K3366" s="185"/>
      <c r="L3366"/>
      <c r="M3366"/>
      <c r="N3366"/>
      <c r="O3366"/>
      <c r="P3366"/>
      <c r="Q3366"/>
    </row>
    <row r="3367" spans="9:17" s="1" customFormat="1">
      <c r="I3367" s="185"/>
      <c r="J3367" s="185"/>
      <c r="K3367" s="185"/>
      <c r="L3367"/>
      <c r="M3367"/>
      <c r="N3367"/>
      <c r="O3367"/>
      <c r="P3367"/>
      <c r="Q3367"/>
    </row>
    <row r="3368" spans="9:17" s="1" customFormat="1">
      <c r="I3368" s="185"/>
      <c r="J3368" s="185"/>
      <c r="K3368" s="185"/>
      <c r="L3368"/>
      <c r="M3368"/>
      <c r="N3368"/>
      <c r="O3368"/>
      <c r="P3368"/>
      <c r="Q3368"/>
    </row>
    <row r="3369" spans="9:17" s="1" customFormat="1">
      <c r="I3369" s="185"/>
      <c r="J3369" s="185"/>
      <c r="K3369" s="185"/>
      <c r="L3369"/>
      <c r="M3369"/>
      <c r="N3369"/>
      <c r="O3369"/>
      <c r="P3369"/>
      <c r="Q3369"/>
    </row>
    <row r="3370" spans="9:17" s="1" customFormat="1">
      <c r="I3370" s="185"/>
      <c r="J3370" s="185"/>
      <c r="K3370" s="185"/>
      <c r="L3370"/>
      <c r="M3370"/>
      <c r="N3370"/>
      <c r="O3370"/>
      <c r="P3370"/>
      <c r="Q3370"/>
    </row>
    <row r="3371" spans="9:17" s="1" customFormat="1">
      <c r="I3371" s="185"/>
      <c r="J3371" s="185"/>
      <c r="K3371" s="185"/>
      <c r="L3371"/>
      <c r="M3371"/>
      <c r="N3371"/>
      <c r="O3371"/>
      <c r="P3371"/>
      <c r="Q3371"/>
    </row>
    <row r="3372" spans="9:17" s="1" customFormat="1">
      <c r="I3372" s="185"/>
      <c r="J3372" s="185"/>
      <c r="K3372" s="185"/>
      <c r="L3372"/>
      <c r="M3372"/>
      <c r="N3372"/>
      <c r="O3372"/>
      <c r="P3372"/>
      <c r="Q3372"/>
    </row>
    <row r="3373" spans="9:17" s="1" customFormat="1">
      <c r="I3373" s="185"/>
      <c r="J3373" s="185"/>
      <c r="K3373" s="185"/>
      <c r="L3373"/>
      <c r="M3373"/>
      <c r="N3373"/>
      <c r="O3373"/>
      <c r="P3373"/>
      <c r="Q3373"/>
    </row>
    <row r="3374" spans="9:17" s="1" customFormat="1">
      <c r="I3374" s="185"/>
      <c r="J3374" s="185"/>
      <c r="K3374" s="185"/>
      <c r="L3374"/>
      <c r="M3374"/>
      <c r="N3374"/>
      <c r="O3374"/>
      <c r="P3374"/>
      <c r="Q3374"/>
    </row>
    <row r="3375" spans="9:17" s="1" customFormat="1">
      <c r="I3375" s="185"/>
      <c r="J3375" s="185"/>
      <c r="K3375" s="185"/>
      <c r="L3375"/>
      <c r="M3375"/>
      <c r="N3375"/>
      <c r="O3375"/>
      <c r="P3375"/>
      <c r="Q3375"/>
    </row>
    <row r="3376" spans="9:17" s="1" customFormat="1">
      <c r="I3376" s="185"/>
      <c r="J3376" s="185"/>
      <c r="K3376" s="185"/>
      <c r="L3376"/>
      <c r="M3376"/>
      <c r="N3376"/>
      <c r="O3376"/>
      <c r="P3376"/>
      <c r="Q3376"/>
    </row>
    <row r="3377" spans="9:17" s="1" customFormat="1">
      <c r="I3377" s="185"/>
      <c r="J3377" s="185"/>
      <c r="K3377" s="185"/>
      <c r="L3377"/>
      <c r="M3377"/>
      <c r="N3377"/>
      <c r="O3377"/>
      <c r="P3377"/>
      <c r="Q3377"/>
    </row>
    <row r="3378" spans="9:17" s="1" customFormat="1">
      <c r="I3378" s="185"/>
      <c r="J3378" s="185"/>
      <c r="K3378" s="185"/>
      <c r="L3378"/>
      <c r="M3378"/>
      <c r="N3378"/>
      <c r="O3378"/>
      <c r="P3378"/>
      <c r="Q3378"/>
    </row>
    <row r="3379" spans="9:17" s="1" customFormat="1">
      <c r="I3379" s="185"/>
      <c r="J3379" s="185"/>
      <c r="K3379" s="185"/>
      <c r="L3379"/>
      <c r="M3379"/>
      <c r="N3379"/>
      <c r="O3379"/>
      <c r="P3379"/>
      <c r="Q3379"/>
    </row>
    <row r="3380" spans="9:17" s="1" customFormat="1">
      <c r="I3380" s="185"/>
      <c r="J3380" s="185"/>
      <c r="K3380" s="185"/>
      <c r="L3380"/>
      <c r="M3380"/>
      <c r="N3380"/>
      <c r="O3380"/>
      <c r="P3380"/>
      <c r="Q3380"/>
    </row>
    <row r="3381" spans="9:17" s="1" customFormat="1">
      <c r="I3381" s="185"/>
      <c r="J3381" s="185"/>
      <c r="K3381" s="185"/>
      <c r="L3381"/>
      <c r="M3381"/>
      <c r="N3381"/>
      <c r="O3381"/>
      <c r="P3381"/>
      <c r="Q3381"/>
    </row>
    <row r="3382" spans="9:17" s="1" customFormat="1">
      <c r="I3382" s="185"/>
      <c r="J3382" s="185"/>
      <c r="K3382" s="185"/>
      <c r="L3382"/>
      <c r="M3382"/>
      <c r="N3382"/>
      <c r="O3382"/>
      <c r="P3382"/>
      <c r="Q3382"/>
    </row>
    <row r="3383" spans="9:17" s="1" customFormat="1">
      <c r="I3383" s="185"/>
      <c r="J3383" s="185"/>
      <c r="K3383" s="185"/>
      <c r="L3383"/>
      <c r="M3383"/>
      <c r="N3383"/>
      <c r="O3383"/>
      <c r="P3383"/>
      <c r="Q3383"/>
    </row>
    <row r="3384" spans="9:17" s="1" customFormat="1">
      <c r="I3384" s="185"/>
      <c r="J3384" s="185"/>
      <c r="K3384" s="185"/>
      <c r="L3384"/>
      <c r="M3384"/>
      <c r="N3384"/>
      <c r="O3384"/>
      <c r="P3384"/>
      <c r="Q3384"/>
    </row>
    <row r="3385" spans="9:17" s="1" customFormat="1">
      <c r="I3385" s="185"/>
      <c r="J3385" s="185"/>
      <c r="K3385" s="185"/>
      <c r="L3385"/>
      <c r="M3385"/>
      <c r="N3385"/>
      <c r="O3385"/>
      <c r="P3385"/>
      <c r="Q3385"/>
    </row>
    <row r="3386" spans="9:17" s="1" customFormat="1">
      <c r="I3386" s="185"/>
      <c r="J3386" s="185"/>
      <c r="K3386" s="185"/>
      <c r="L3386"/>
      <c r="M3386"/>
      <c r="N3386"/>
      <c r="O3386"/>
      <c r="P3386"/>
      <c r="Q3386"/>
    </row>
    <row r="3387" spans="9:17" s="1" customFormat="1">
      <c r="I3387" s="185"/>
      <c r="J3387" s="185"/>
      <c r="K3387" s="185"/>
      <c r="L3387"/>
      <c r="M3387"/>
      <c r="N3387"/>
      <c r="O3387"/>
      <c r="P3387"/>
      <c r="Q3387"/>
    </row>
    <row r="3388" spans="9:17" s="1" customFormat="1">
      <c r="I3388" s="185"/>
      <c r="J3388" s="185"/>
      <c r="K3388" s="185"/>
      <c r="L3388"/>
      <c r="M3388"/>
      <c r="N3388"/>
      <c r="O3388"/>
      <c r="P3388"/>
      <c r="Q3388"/>
    </row>
    <row r="3389" spans="9:17" s="1" customFormat="1">
      <c r="I3389" s="185"/>
      <c r="J3389" s="185"/>
      <c r="K3389" s="185"/>
      <c r="L3389"/>
      <c r="M3389"/>
      <c r="N3389"/>
      <c r="O3389"/>
      <c r="P3389"/>
      <c r="Q3389"/>
    </row>
    <row r="3390" spans="9:17" s="1" customFormat="1">
      <c r="I3390" s="185"/>
      <c r="J3390" s="185"/>
      <c r="K3390" s="185"/>
      <c r="L3390"/>
      <c r="M3390"/>
      <c r="N3390"/>
      <c r="O3390"/>
      <c r="P3390"/>
      <c r="Q3390"/>
    </row>
    <row r="3391" spans="9:17" s="1" customFormat="1">
      <c r="I3391" s="185"/>
      <c r="J3391" s="185"/>
      <c r="K3391" s="185"/>
      <c r="L3391"/>
      <c r="M3391"/>
      <c r="N3391"/>
      <c r="O3391"/>
      <c r="P3391"/>
      <c r="Q3391"/>
    </row>
    <row r="3392" spans="9:17" s="1" customFormat="1">
      <c r="I3392" s="185"/>
      <c r="J3392" s="185"/>
      <c r="K3392" s="185"/>
      <c r="L3392"/>
      <c r="M3392"/>
      <c r="N3392"/>
      <c r="O3392"/>
      <c r="P3392"/>
      <c r="Q3392"/>
    </row>
    <row r="3393" spans="9:17" s="1" customFormat="1">
      <c r="I3393" s="185"/>
      <c r="J3393" s="185"/>
      <c r="K3393" s="185"/>
      <c r="L3393"/>
      <c r="M3393"/>
      <c r="N3393"/>
      <c r="O3393"/>
      <c r="P3393"/>
      <c r="Q3393"/>
    </row>
    <row r="3394" spans="9:17" s="1" customFormat="1">
      <c r="I3394" s="185"/>
      <c r="J3394" s="185"/>
      <c r="K3394" s="185"/>
      <c r="L3394"/>
      <c r="M3394"/>
      <c r="N3394"/>
      <c r="O3394"/>
      <c r="P3394"/>
      <c r="Q3394"/>
    </row>
    <row r="3395" spans="9:17" s="1" customFormat="1">
      <c r="I3395" s="185"/>
      <c r="J3395" s="185"/>
      <c r="K3395" s="185"/>
      <c r="L3395"/>
      <c r="M3395"/>
      <c r="N3395"/>
      <c r="O3395"/>
      <c r="P3395"/>
      <c r="Q3395"/>
    </row>
    <row r="3396" spans="9:17" s="1" customFormat="1">
      <c r="I3396" s="185"/>
      <c r="J3396" s="185"/>
      <c r="K3396" s="185"/>
      <c r="L3396"/>
      <c r="M3396"/>
      <c r="N3396"/>
      <c r="O3396"/>
      <c r="P3396"/>
      <c r="Q3396"/>
    </row>
    <row r="3397" spans="9:17" s="1" customFormat="1">
      <c r="I3397" s="185"/>
      <c r="J3397" s="185"/>
      <c r="K3397" s="185"/>
      <c r="L3397"/>
      <c r="M3397"/>
      <c r="N3397"/>
      <c r="O3397"/>
      <c r="P3397"/>
      <c r="Q3397"/>
    </row>
    <row r="3398" spans="9:17" s="1" customFormat="1">
      <c r="I3398" s="185"/>
      <c r="J3398" s="185"/>
      <c r="K3398" s="185"/>
      <c r="L3398"/>
      <c r="M3398"/>
      <c r="N3398"/>
      <c r="O3398"/>
      <c r="P3398"/>
      <c r="Q3398"/>
    </row>
    <row r="3399" spans="9:17" s="1" customFormat="1">
      <c r="I3399" s="185"/>
      <c r="J3399" s="185"/>
      <c r="K3399" s="185"/>
      <c r="L3399"/>
      <c r="M3399"/>
      <c r="N3399"/>
      <c r="O3399"/>
      <c r="P3399"/>
      <c r="Q3399"/>
    </row>
    <row r="3400" spans="9:17" s="1" customFormat="1">
      <c r="I3400" s="185"/>
      <c r="J3400" s="185"/>
      <c r="K3400" s="185"/>
      <c r="L3400"/>
      <c r="M3400"/>
      <c r="N3400"/>
      <c r="O3400"/>
      <c r="P3400"/>
      <c r="Q3400"/>
    </row>
    <row r="3401" spans="9:17" s="1" customFormat="1">
      <c r="I3401" s="185"/>
      <c r="J3401" s="185"/>
      <c r="K3401" s="185"/>
      <c r="L3401"/>
      <c r="M3401"/>
      <c r="N3401"/>
      <c r="O3401"/>
      <c r="P3401"/>
      <c r="Q3401"/>
    </row>
    <row r="3402" spans="9:17" s="1" customFormat="1">
      <c r="I3402" s="185"/>
      <c r="J3402" s="185"/>
      <c r="K3402" s="185"/>
      <c r="L3402"/>
      <c r="M3402"/>
      <c r="N3402"/>
      <c r="O3402"/>
      <c r="P3402"/>
      <c r="Q3402"/>
    </row>
    <row r="3403" spans="9:17" s="1" customFormat="1">
      <c r="I3403" s="185"/>
      <c r="J3403" s="185"/>
      <c r="K3403" s="185"/>
      <c r="L3403"/>
      <c r="M3403"/>
      <c r="N3403"/>
      <c r="O3403"/>
      <c r="P3403"/>
      <c r="Q3403"/>
    </row>
    <row r="3404" spans="9:17" s="1" customFormat="1">
      <c r="I3404" s="185"/>
      <c r="J3404" s="185"/>
      <c r="K3404" s="185"/>
      <c r="L3404"/>
      <c r="M3404"/>
      <c r="N3404"/>
      <c r="O3404"/>
      <c r="P3404"/>
      <c r="Q3404"/>
    </row>
    <row r="3405" spans="9:17" s="1" customFormat="1">
      <c r="I3405" s="185"/>
      <c r="J3405" s="185"/>
      <c r="K3405" s="185"/>
      <c r="L3405"/>
      <c r="M3405"/>
      <c r="N3405"/>
      <c r="O3405"/>
      <c r="P3405"/>
      <c r="Q3405"/>
    </row>
    <row r="3406" spans="9:17" s="1" customFormat="1">
      <c r="I3406" s="185"/>
      <c r="J3406" s="185"/>
      <c r="K3406" s="185"/>
      <c r="L3406"/>
      <c r="M3406"/>
      <c r="N3406"/>
      <c r="O3406"/>
      <c r="P3406"/>
      <c r="Q3406"/>
    </row>
    <row r="3407" spans="9:17" s="1" customFormat="1">
      <c r="I3407" s="185"/>
      <c r="J3407" s="185"/>
      <c r="K3407" s="185"/>
      <c r="L3407"/>
      <c r="M3407"/>
      <c r="N3407"/>
      <c r="O3407"/>
      <c r="P3407"/>
      <c r="Q3407"/>
    </row>
    <row r="3408" spans="9:17" s="1" customFormat="1">
      <c r="I3408" s="185"/>
      <c r="J3408" s="185"/>
      <c r="K3408" s="185"/>
      <c r="L3408"/>
      <c r="M3408"/>
      <c r="N3408"/>
      <c r="O3408"/>
      <c r="P3408"/>
      <c r="Q3408"/>
    </row>
    <row r="3409" spans="9:17" s="1" customFormat="1">
      <c r="I3409" s="185"/>
      <c r="J3409" s="185"/>
      <c r="K3409" s="185"/>
      <c r="L3409"/>
      <c r="M3409"/>
      <c r="N3409"/>
      <c r="O3409"/>
      <c r="P3409"/>
      <c r="Q3409"/>
    </row>
    <row r="3410" spans="9:17" s="1" customFormat="1">
      <c r="I3410" s="185"/>
      <c r="J3410" s="185"/>
      <c r="K3410" s="185"/>
      <c r="L3410"/>
      <c r="M3410"/>
      <c r="N3410"/>
      <c r="O3410"/>
      <c r="P3410"/>
      <c r="Q3410"/>
    </row>
    <row r="3411" spans="9:17" s="1" customFormat="1">
      <c r="I3411" s="185"/>
      <c r="J3411" s="185"/>
      <c r="K3411" s="185"/>
      <c r="L3411"/>
      <c r="M3411"/>
      <c r="N3411"/>
      <c r="O3411"/>
      <c r="P3411"/>
      <c r="Q3411"/>
    </row>
    <row r="3412" spans="9:17" s="1" customFormat="1">
      <c r="I3412" s="185"/>
      <c r="J3412" s="185"/>
      <c r="K3412" s="185"/>
      <c r="L3412"/>
      <c r="M3412"/>
      <c r="N3412"/>
      <c r="O3412"/>
      <c r="P3412"/>
      <c r="Q3412"/>
    </row>
    <row r="3413" spans="9:17" s="1" customFormat="1">
      <c r="I3413" s="185"/>
      <c r="J3413" s="185"/>
      <c r="K3413" s="185"/>
      <c r="L3413"/>
      <c r="M3413"/>
      <c r="N3413"/>
      <c r="O3413"/>
      <c r="P3413"/>
      <c r="Q3413"/>
    </row>
    <row r="3414" spans="9:17" s="1" customFormat="1">
      <c r="I3414" s="185"/>
      <c r="J3414" s="185"/>
      <c r="K3414" s="185"/>
      <c r="L3414"/>
      <c r="M3414"/>
      <c r="N3414"/>
      <c r="O3414"/>
      <c r="P3414"/>
      <c r="Q3414"/>
    </row>
    <row r="3415" spans="9:17" s="1" customFormat="1">
      <c r="I3415" s="185"/>
      <c r="J3415" s="185"/>
      <c r="K3415" s="185"/>
      <c r="L3415"/>
      <c r="M3415"/>
      <c r="N3415"/>
      <c r="O3415"/>
      <c r="P3415"/>
      <c r="Q3415"/>
    </row>
    <row r="3416" spans="9:17" s="1" customFormat="1">
      <c r="I3416" s="185"/>
      <c r="J3416" s="185"/>
      <c r="K3416" s="185"/>
      <c r="L3416"/>
      <c r="M3416"/>
      <c r="N3416"/>
      <c r="O3416"/>
      <c r="P3416"/>
      <c r="Q3416"/>
    </row>
    <row r="3417" spans="9:17" s="1" customFormat="1">
      <c r="I3417" s="185"/>
      <c r="J3417" s="185"/>
      <c r="K3417" s="185"/>
      <c r="L3417"/>
      <c r="M3417"/>
      <c r="N3417"/>
      <c r="O3417"/>
      <c r="P3417"/>
      <c r="Q3417"/>
    </row>
    <row r="3418" spans="9:17" s="1" customFormat="1">
      <c r="I3418" s="185"/>
      <c r="J3418" s="185"/>
      <c r="K3418" s="185"/>
      <c r="L3418"/>
      <c r="M3418"/>
      <c r="N3418"/>
      <c r="O3418"/>
      <c r="P3418"/>
      <c r="Q3418"/>
    </row>
    <row r="3419" spans="9:17" s="1" customFormat="1">
      <c r="I3419" s="185"/>
      <c r="J3419" s="185"/>
      <c r="K3419" s="185"/>
      <c r="L3419"/>
      <c r="M3419"/>
      <c r="N3419"/>
      <c r="O3419"/>
      <c r="P3419"/>
      <c r="Q3419"/>
    </row>
    <row r="3420" spans="9:17" s="1" customFormat="1">
      <c r="I3420" s="185"/>
      <c r="J3420" s="185"/>
      <c r="K3420" s="185"/>
      <c r="L3420"/>
      <c r="M3420"/>
      <c r="N3420"/>
      <c r="O3420"/>
      <c r="P3420"/>
      <c r="Q3420"/>
    </row>
    <row r="3421" spans="9:17" s="1" customFormat="1">
      <c r="I3421" s="185"/>
      <c r="J3421" s="185"/>
      <c r="K3421" s="185"/>
      <c r="L3421"/>
      <c r="M3421"/>
      <c r="N3421"/>
      <c r="O3421"/>
      <c r="P3421"/>
      <c r="Q3421"/>
    </row>
    <row r="3422" spans="9:17" s="1" customFormat="1">
      <c r="I3422" s="185"/>
      <c r="J3422" s="185"/>
      <c r="K3422" s="185"/>
      <c r="L3422"/>
      <c r="M3422"/>
      <c r="N3422"/>
      <c r="O3422"/>
      <c r="P3422"/>
      <c r="Q3422"/>
    </row>
    <row r="3423" spans="9:17" s="1" customFormat="1">
      <c r="I3423" s="185"/>
      <c r="J3423" s="185"/>
      <c r="K3423" s="185"/>
      <c r="L3423"/>
      <c r="M3423"/>
      <c r="N3423"/>
      <c r="O3423"/>
      <c r="P3423"/>
      <c r="Q3423"/>
    </row>
    <row r="3424" spans="9:17" s="1" customFormat="1">
      <c r="I3424" s="185"/>
      <c r="J3424" s="185"/>
      <c r="K3424" s="185"/>
      <c r="L3424"/>
      <c r="M3424"/>
      <c r="N3424"/>
      <c r="O3424"/>
      <c r="P3424"/>
      <c r="Q3424"/>
    </row>
    <row r="3425" spans="9:17" s="1" customFormat="1">
      <c r="I3425" s="185"/>
      <c r="J3425" s="185"/>
      <c r="K3425" s="185"/>
      <c r="L3425"/>
      <c r="M3425"/>
      <c r="N3425"/>
      <c r="O3425"/>
      <c r="P3425"/>
      <c r="Q3425"/>
    </row>
    <row r="3426" spans="9:17" s="1" customFormat="1">
      <c r="I3426" s="185"/>
      <c r="J3426" s="185"/>
      <c r="K3426" s="185"/>
      <c r="L3426"/>
      <c r="M3426"/>
      <c r="N3426"/>
      <c r="O3426"/>
      <c r="P3426"/>
      <c r="Q3426"/>
    </row>
    <row r="3427" spans="9:17" s="1" customFormat="1">
      <c r="I3427" s="185"/>
      <c r="J3427" s="185"/>
      <c r="K3427" s="185"/>
      <c r="L3427"/>
      <c r="M3427"/>
      <c r="N3427"/>
      <c r="O3427"/>
      <c r="P3427"/>
      <c r="Q3427"/>
    </row>
    <row r="3428" spans="9:17" s="1" customFormat="1">
      <c r="I3428" s="185"/>
      <c r="J3428" s="185"/>
      <c r="K3428" s="185"/>
      <c r="L3428"/>
      <c r="M3428"/>
      <c r="N3428"/>
      <c r="O3428"/>
      <c r="P3428"/>
      <c r="Q3428"/>
    </row>
    <row r="3429" spans="9:17" s="1" customFormat="1">
      <c r="I3429" s="185"/>
      <c r="J3429" s="185"/>
      <c r="K3429" s="185"/>
      <c r="L3429"/>
      <c r="M3429"/>
      <c r="N3429"/>
      <c r="O3429"/>
      <c r="P3429"/>
      <c r="Q3429"/>
    </row>
    <row r="3430" spans="9:17" s="1" customFormat="1">
      <c r="I3430" s="185"/>
      <c r="J3430" s="185"/>
      <c r="K3430" s="185"/>
      <c r="L3430"/>
      <c r="M3430"/>
      <c r="N3430"/>
      <c r="O3430"/>
      <c r="P3430"/>
      <c r="Q3430"/>
    </row>
    <row r="3431" spans="9:17" s="1" customFormat="1">
      <c r="I3431" s="185"/>
      <c r="J3431" s="185"/>
      <c r="K3431" s="185"/>
      <c r="L3431"/>
      <c r="M3431"/>
      <c r="N3431"/>
      <c r="O3431"/>
      <c r="P3431"/>
      <c r="Q3431"/>
    </row>
    <row r="3432" spans="9:17" s="1" customFormat="1">
      <c r="I3432" s="185"/>
      <c r="J3432" s="185"/>
      <c r="K3432" s="185"/>
      <c r="L3432"/>
      <c r="M3432"/>
      <c r="N3432"/>
      <c r="O3432"/>
      <c r="P3432"/>
      <c r="Q3432"/>
    </row>
    <row r="3433" spans="9:17" s="1" customFormat="1">
      <c r="I3433" s="185"/>
      <c r="J3433" s="185"/>
      <c r="K3433" s="185"/>
      <c r="L3433"/>
      <c r="M3433"/>
      <c r="N3433"/>
      <c r="O3433"/>
      <c r="P3433"/>
      <c r="Q3433"/>
    </row>
    <row r="3434" spans="9:17" s="1" customFormat="1">
      <c r="I3434" s="185"/>
      <c r="J3434" s="185"/>
      <c r="K3434" s="185"/>
      <c r="L3434"/>
      <c r="M3434"/>
      <c r="N3434"/>
      <c r="O3434"/>
      <c r="P3434"/>
      <c r="Q3434"/>
    </row>
    <row r="3435" spans="9:17" s="1" customFormat="1">
      <c r="I3435" s="185"/>
      <c r="J3435" s="185"/>
      <c r="K3435" s="185"/>
      <c r="L3435"/>
      <c r="M3435"/>
      <c r="N3435"/>
      <c r="O3435"/>
      <c r="P3435"/>
      <c r="Q3435"/>
    </row>
    <row r="3436" spans="9:17" s="1" customFormat="1">
      <c r="I3436" s="185"/>
      <c r="J3436" s="185"/>
      <c r="K3436" s="185"/>
      <c r="L3436"/>
      <c r="M3436"/>
      <c r="N3436"/>
      <c r="O3436"/>
      <c r="P3436"/>
      <c r="Q3436"/>
    </row>
    <row r="3437" spans="9:17" s="1" customFormat="1">
      <c r="I3437" s="185"/>
      <c r="J3437" s="185"/>
      <c r="K3437" s="185"/>
      <c r="L3437"/>
      <c r="M3437"/>
      <c r="N3437"/>
      <c r="O3437"/>
      <c r="P3437"/>
      <c r="Q3437"/>
    </row>
    <row r="3438" spans="9:17" s="1" customFormat="1">
      <c r="I3438" s="185"/>
      <c r="J3438" s="185"/>
      <c r="K3438" s="185"/>
      <c r="L3438"/>
      <c r="M3438"/>
      <c r="N3438"/>
      <c r="O3438"/>
      <c r="P3438"/>
      <c r="Q3438"/>
    </row>
    <row r="3439" spans="9:17" s="1" customFormat="1">
      <c r="I3439" s="185"/>
      <c r="J3439" s="185"/>
      <c r="K3439" s="185"/>
      <c r="L3439"/>
      <c r="M3439"/>
      <c r="N3439"/>
      <c r="O3439"/>
      <c r="P3439"/>
      <c r="Q3439"/>
    </row>
    <row r="3440" spans="9:17" s="1" customFormat="1">
      <c r="I3440" s="185"/>
      <c r="J3440" s="185"/>
      <c r="K3440" s="185"/>
      <c r="L3440"/>
      <c r="M3440"/>
      <c r="N3440"/>
      <c r="O3440"/>
      <c r="P3440"/>
      <c r="Q3440"/>
    </row>
    <row r="3441" spans="9:17" s="1" customFormat="1">
      <c r="I3441" s="185"/>
      <c r="J3441" s="185"/>
      <c r="K3441" s="185"/>
      <c r="L3441"/>
      <c r="M3441"/>
      <c r="N3441"/>
      <c r="O3441"/>
      <c r="P3441"/>
      <c r="Q3441"/>
    </row>
    <row r="3442" spans="9:17" s="1" customFormat="1">
      <c r="I3442" s="185"/>
      <c r="J3442" s="185"/>
      <c r="K3442" s="185"/>
      <c r="L3442"/>
      <c r="M3442"/>
      <c r="N3442"/>
      <c r="O3442"/>
      <c r="P3442"/>
      <c r="Q3442"/>
    </row>
    <row r="3443" spans="9:17" s="1" customFormat="1">
      <c r="I3443" s="185"/>
      <c r="J3443" s="185"/>
      <c r="K3443" s="185"/>
      <c r="L3443"/>
      <c r="M3443"/>
      <c r="N3443"/>
      <c r="O3443"/>
      <c r="P3443"/>
      <c r="Q3443"/>
    </row>
    <row r="3444" spans="9:17" s="1" customFormat="1">
      <c r="I3444" s="185"/>
      <c r="J3444" s="185"/>
      <c r="K3444" s="185"/>
      <c r="L3444"/>
      <c r="M3444"/>
      <c r="N3444"/>
      <c r="O3444"/>
      <c r="P3444"/>
      <c r="Q3444"/>
    </row>
    <row r="3445" spans="9:17" s="1" customFormat="1">
      <c r="I3445" s="185"/>
      <c r="J3445" s="185"/>
      <c r="K3445" s="185"/>
      <c r="L3445"/>
      <c r="M3445"/>
      <c r="N3445"/>
      <c r="O3445"/>
      <c r="P3445"/>
      <c r="Q3445"/>
    </row>
    <row r="3446" spans="9:17" s="1" customFormat="1">
      <c r="I3446" s="185"/>
      <c r="J3446" s="185"/>
      <c r="K3446" s="185"/>
      <c r="L3446"/>
      <c r="M3446"/>
      <c r="N3446"/>
      <c r="O3446"/>
      <c r="P3446"/>
      <c r="Q3446"/>
    </row>
    <row r="3447" spans="9:17" s="1" customFormat="1">
      <c r="I3447" s="185"/>
      <c r="J3447" s="185"/>
      <c r="K3447" s="185"/>
      <c r="L3447"/>
      <c r="M3447"/>
      <c r="N3447"/>
      <c r="O3447"/>
      <c r="P3447"/>
      <c r="Q3447"/>
    </row>
    <row r="3448" spans="9:17" s="1" customFormat="1">
      <c r="I3448" s="185"/>
      <c r="J3448" s="185"/>
      <c r="K3448" s="185"/>
      <c r="L3448"/>
      <c r="M3448"/>
      <c r="N3448"/>
      <c r="O3448"/>
      <c r="P3448"/>
      <c r="Q3448"/>
    </row>
    <row r="3449" spans="9:17" s="1" customFormat="1">
      <c r="I3449" s="185"/>
      <c r="J3449" s="185"/>
      <c r="K3449" s="185"/>
      <c r="L3449"/>
      <c r="M3449"/>
      <c r="N3449"/>
      <c r="O3449"/>
      <c r="P3449"/>
      <c r="Q3449"/>
    </row>
    <row r="3450" spans="9:17" s="1" customFormat="1">
      <c r="I3450" s="185"/>
      <c r="J3450" s="185"/>
      <c r="K3450" s="185"/>
      <c r="L3450"/>
      <c r="M3450"/>
      <c r="N3450"/>
      <c r="O3450"/>
      <c r="P3450"/>
      <c r="Q3450"/>
    </row>
    <row r="3451" spans="9:17" s="1" customFormat="1">
      <c r="I3451" s="185"/>
      <c r="J3451" s="185"/>
      <c r="K3451" s="185"/>
      <c r="L3451"/>
      <c r="M3451"/>
      <c r="N3451"/>
      <c r="O3451"/>
      <c r="P3451"/>
      <c r="Q3451"/>
    </row>
    <row r="3452" spans="9:17" s="1" customFormat="1">
      <c r="I3452" s="185"/>
      <c r="J3452" s="185"/>
      <c r="K3452" s="185"/>
      <c r="L3452"/>
      <c r="M3452"/>
      <c r="N3452"/>
      <c r="O3452"/>
      <c r="P3452"/>
      <c r="Q3452"/>
    </row>
    <row r="3453" spans="9:17" s="1" customFormat="1">
      <c r="I3453" s="185"/>
      <c r="J3453" s="185"/>
      <c r="K3453" s="185"/>
      <c r="L3453"/>
      <c r="M3453"/>
      <c r="N3453"/>
      <c r="O3453"/>
      <c r="P3453"/>
      <c r="Q3453"/>
    </row>
    <row r="3454" spans="9:17" s="1" customFormat="1">
      <c r="I3454" s="185"/>
      <c r="J3454" s="185"/>
      <c r="K3454" s="185"/>
      <c r="L3454"/>
      <c r="M3454"/>
      <c r="N3454"/>
      <c r="O3454"/>
      <c r="P3454"/>
      <c r="Q3454"/>
    </row>
    <row r="3455" spans="9:17" s="1" customFormat="1">
      <c r="I3455" s="185"/>
      <c r="J3455" s="185"/>
      <c r="K3455" s="185"/>
      <c r="L3455"/>
      <c r="M3455"/>
      <c r="N3455"/>
      <c r="O3455"/>
      <c r="P3455"/>
      <c r="Q3455"/>
    </row>
    <row r="3456" spans="9:17" s="1" customFormat="1">
      <c r="I3456" s="185"/>
      <c r="J3456" s="185"/>
      <c r="K3456" s="185"/>
      <c r="L3456"/>
      <c r="M3456"/>
      <c r="N3456"/>
      <c r="O3456"/>
      <c r="P3456"/>
      <c r="Q3456"/>
    </row>
    <row r="3457" spans="9:17" s="1" customFormat="1">
      <c r="I3457" s="185"/>
      <c r="J3457" s="185"/>
      <c r="K3457" s="185"/>
      <c r="L3457"/>
      <c r="M3457"/>
      <c r="N3457"/>
      <c r="O3457"/>
      <c r="P3457"/>
      <c r="Q3457"/>
    </row>
    <row r="3458" spans="9:17" s="1" customFormat="1">
      <c r="I3458" s="185"/>
      <c r="J3458" s="185"/>
      <c r="K3458" s="185"/>
      <c r="L3458"/>
      <c r="M3458"/>
      <c r="N3458"/>
      <c r="O3458"/>
      <c r="P3458"/>
      <c r="Q3458"/>
    </row>
    <row r="3459" spans="9:17" s="1" customFormat="1">
      <c r="I3459" s="185"/>
      <c r="J3459" s="185"/>
      <c r="K3459" s="185"/>
      <c r="L3459"/>
      <c r="M3459"/>
      <c r="N3459"/>
      <c r="O3459"/>
      <c r="P3459"/>
      <c r="Q3459"/>
    </row>
    <row r="3460" spans="9:17" s="1" customFormat="1">
      <c r="I3460" s="185"/>
      <c r="J3460" s="185"/>
      <c r="K3460" s="185"/>
      <c r="L3460"/>
      <c r="M3460"/>
      <c r="N3460"/>
      <c r="O3460"/>
      <c r="P3460"/>
      <c r="Q3460"/>
    </row>
    <row r="3461" spans="9:17" s="1" customFormat="1">
      <c r="I3461" s="185"/>
      <c r="J3461" s="185"/>
      <c r="K3461" s="185"/>
      <c r="L3461"/>
      <c r="M3461"/>
      <c r="N3461"/>
      <c r="O3461"/>
      <c r="P3461"/>
      <c r="Q3461"/>
    </row>
    <row r="3462" spans="9:17" s="1" customFormat="1">
      <c r="I3462" s="185"/>
      <c r="J3462" s="185"/>
      <c r="K3462" s="185"/>
      <c r="L3462"/>
      <c r="M3462"/>
      <c r="N3462"/>
      <c r="O3462"/>
      <c r="P3462"/>
      <c r="Q3462"/>
    </row>
    <row r="3463" spans="9:17" s="1" customFormat="1">
      <c r="I3463" s="185"/>
      <c r="J3463" s="185"/>
      <c r="K3463" s="185"/>
      <c r="L3463"/>
      <c r="M3463"/>
      <c r="N3463"/>
      <c r="O3463"/>
      <c r="P3463"/>
      <c r="Q3463"/>
    </row>
    <row r="3464" spans="9:17" s="1" customFormat="1">
      <c r="I3464" s="185"/>
      <c r="J3464" s="185"/>
      <c r="K3464" s="185"/>
      <c r="L3464"/>
      <c r="M3464"/>
      <c r="N3464"/>
      <c r="O3464"/>
      <c r="P3464"/>
      <c r="Q3464"/>
    </row>
    <row r="3465" spans="9:17" s="1" customFormat="1">
      <c r="I3465" s="185"/>
      <c r="J3465" s="185"/>
      <c r="K3465" s="185"/>
      <c r="L3465"/>
      <c r="M3465"/>
      <c r="N3465"/>
      <c r="O3465"/>
      <c r="P3465"/>
      <c r="Q3465"/>
    </row>
    <row r="3466" spans="9:17" s="1" customFormat="1">
      <c r="I3466" s="185"/>
      <c r="J3466" s="185"/>
      <c r="K3466" s="185"/>
      <c r="L3466"/>
      <c r="M3466"/>
      <c r="N3466"/>
      <c r="O3466"/>
      <c r="P3466"/>
      <c r="Q3466"/>
    </row>
    <row r="3467" spans="9:17" s="1" customFormat="1">
      <c r="I3467" s="185"/>
      <c r="J3467" s="185"/>
      <c r="K3467" s="185"/>
      <c r="L3467"/>
      <c r="M3467"/>
      <c r="N3467"/>
      <c r="O3467"/>
      <c r="P3467"/>
      <c r="Q3467"/>
    </row>
    <row r="3468" spans="9:17" s="1" customFormat="1">
      <c r="I3468" s="185"/>
      <c r="J3468" s="185"/>
      <c r="K3468" s="185"/>
      <c r="L3468"/>
      <c r="M3468"/>
      <c r="N3468"/>
      <c r="O3468"/>
      <c r="P3468"/>
      <c r="Q3468"/>
    </row>
    <row r="3469" spans="9:17" s="1" customFormat="1">
      <c r="I3469" s="185"/>
      <c r="J3469" s="185"/>
      <c r="K3469" s="185"/>
      <c r="L3469"/>
      <c r="M3469"/>
      <c r="N3469"/>
      <c r="O3469"/>
      <c r="P3469"/>
      <c r="Q3469"/>
    </row>
    <row r="3470" spans="9:17" s="1" customFormat="1">
      <c r="I3470" s="185"/>
      <c r="J3470" s="185"/>
      <c r="K3470" s="185"/>
      <c r="L3470"/>
      <c r="M3470"/>
      <c r="N3470"/>
      <c r="O3470"/>
      <c r="P3470"/>
      <c r="Q3470"/>
    </row>
    <row r="3471" spans="9:17" s="1" customFormat="1">
      <c r="I3471" s="185"/>
      <c r="J3471" s="185"/>
      <c r="K3471" s="185"/>
      <c r="L3471"/>
      <c r="M3471"/>
      <c r="N3471"/>
      <c r="O3471"/>
      <c r="P3471"/>
      <c r="Q3471"/>
    </row>
    <row r="3472" spans="9:17" s="1" customFormat="1">
      <c r="I3472" s="185"/>
      <c r="J3472" s="185"/>
      <c r="K3472" s="185"/>
      <c r="L3472"/>
      <c r="M3472"/>
      <c r="N3472"/>
      <c r="O3472"/>
      <c r="P3472"/>
      <c r="Q3472"/>
    </row>
    <row r="3473" spans="9:17" s="1" customFormat="1">
      <c r="I3473" s="185"/>
      <c r="J3473" s="185"/>
      <c r="K3473" s="185"/>
      <c r="L3473"/>
      <c r="M3473"/>
      <c r="N3473"/>
      <c r="O3473"/>
      <c r="P3473"/>
      <c r="Q3473"/>
    </row>
    <row r="3474" spans="9:17" s="1" customFormat="1">
      <c r="I3474" s="185"/>
      <c r="J3474" s="185"/>
      <c r="K3474" s="185"/>
      <c r="L3474"/>
      <c r="M3474"/>
      <c r="N3474"/>
      <c r="O3474"/>
      <c r="P3474"/>
      <c r="Q3474"/>
    </row>
    <row r="3475" spans="9:17" s="1" customFormat="1">
      <c r="I3475" s="185"/>
      <c r="J3475" s="185"/>
      <c r="K3475" s="185"/>
      <c r="L3475"/>
      <c r="M3475"/>
      <c r="N3475"/>
      <c r="O3475"/>
      <c r="P3475"/>
      <c r="Q3475"/>
    </row>
    <row r="3476" spans="9:17" s="1" customFormat="1">
      <c r="I3476" s="185"/>
      <c r="J3476" s="185"/>
      <c r="K3476" s="185"/>
      <c r="L3476"/>
      <c r="M3476"/>
      <c r="N3476"/>
      <c r="O3476"/>
      <c r="P3476"/>
      <c r="Q3476"/>
    </row>
    <row r="3477" spans="9:17" s="1" customFormat="1">
      <c r="I3477" s="185"/>
      <c r="J3477" s="185"/>
      <c r="K3477" s="185"/>
      <c r="L3477"/>
      <c r="M3477"/>
      <c r="N3477"/>
      <c r="O3477"/>
      <c r="P3477"/>
      <c r="Q3477"/>
    </row>
    <row r="3478" spans="9:17" s="1" customFormat="1">
      <c r="I3478" s="185"/>
      <c r="J3478" s="185"/>
      <c r="K3478" s="185"/>
      <c r="L3478"/>
      <c r="M3478"/>
      <c r="N3478"/>
      <c r="O3478"/>
      <c r="P3478"/>
      <c r="Q3478"/>
    </row>
    <row r="3479" spans="9:17" s="1" customFormat="1">
      <c r="I3479" s="185"/>
      <c r="J3479" s="185"/>
      <c r="K3479" s="185"/>
      <c r="L3479"/>
      <c r="M3479"/>
      <c r="N3479"/>
      <c r="O3479"/>
      <c r="P3479"/>
      <c r="Q3479"/>
    </row>
    <row r="3480" spans="9:17" s="1" customFormat="1">
      <c r="I3480" s="185"/>
      <c r="J3480" s="185"/>
      <c r="K3480" s="185"/>
      <c r="L3480"/>
      <c r="M3480"/>
      <c r="N3480"/>
      <c r="O3480"/>
      <c r="P3480"/>
      <c r="Q3480"/>
    </row>
    <row r="3481" spans="9:17" s="1" customFormat="1">
      <c r="I3481" s="185"/>
      <c r="J3481" s="185"/>
      <c r="K3481" s="185"/>
      <c r="L3481"/>
      <c r="M3481"/>
      <c r="N3481"/>
      <c r="O3481"/>
      <c r="P3481"/>
      <c r="Q3481"/>
    </row>
    <row r="3482" spans="9:17" s="1" customFormat="1">
      <c r="I3482" s="185"/>
      <c r="J3482" s="185"/>
      <c r="K3482" s="185"/>
      <c r="L3482"/>
      <c r="M3482"/>
      <c r="N3482"/>
      <c r="O3482"/>
      <c r="P3482"/>
      <c r="Q3482"/>
    </row>
    <row r="3483" spans="9:17" s="1" customFormat="1">
      <c r="I3483" s="185"/>
      <c r="J3483" s="185"/>
      <c r="K3483" s="185"/>
      <c r="L3483"/>
      <c r="M3483"/>
      <c r="N3483"/>
      <c r="O3483"/>
      <c r="P3483"/>
      <c r="Q3483"/>
    </row>
    <row r="3484" spans="9:17" s="1" customFormat="1">
      <c r="I3484" s="185"/>
      <c r="J3484" s="185"/>
      <c r="K3484" s="185"/>
      <c r="L3484"/>
      <c r="M3484"/>
      <c r="N3484"/>
      <c r="O3484"/>
      <c r="P3484"/>
      <c r="Q3484"/>
    </row>
    <row r="3485" spans="9:17" s="1" customFormat="1">
      <c r="I3485" s="185"/>
      <c r="J3485" s="185"/>
      <c r="K3485" s="185"/>
      <c r="L3485"/>
      <c r="M3485"/>
      <c r="N3485"/>
      <c r="O3485"/>
      <c r="P3485"/>
      <c r="Q3485"/>
    </row>
    <row r="3486" spans="9:17" s="1" customFormat="1">
      <c r="I3486" s="185"/>
      <c r="J3486" s="185"/>
      <c r="K3486" s="185"/>
      <c r="L3486"/>
      <c r="M3486"/>
      <c r="N3486"/>
      <c r="O3486"/>
      <c r="P3486"/>
      <c r="Q3486"/>
    </row>
    <row r="3487" spans="9:17" s="1" customFormat="1">
      <c r="I3487" s="185"/>
      <c r="J3487" s="185"/>
      <c r="K3487" s="185"/>
      <c r="L3487"/>
      <c r="M3487"/>
      <c r="N3487"/>
      <c r="O3487"/>
      <c r="P3487"/>
      <c r="Q3487"/>
    </row>
    <row r="3488" spans="9:17" s="1" customFormat="1">
      <c r="I3488" s="185"/>
      <c r="J3488" s="185"/>
      <c r="K3488" s="185"/>
      <c r="L3488"/>
      <c r="M3488"/>
      <c r="N3488"/>
      <c r="O3488"/>
      <c r="P3488"/>
      <c r="Q3488"/>
    </row>
    <row r="3489" spans="9:17" s="1" customFormat="1">
      <c r="I3489" s="185"/>
      <c r="J3489" s="185"/>
      <c r="K3489" s="185"/>
      <c r="L3489"/>
      <c r="M3489"/>
      <c r="N3489"/>
      <c r="O3489"/>
      <c r="P3489"/>
      <c r="Q3489"/>
    </row>
    <row r="3490" spans="9:17" s="1" customFormat="1">
      <c r="I3490" s="185"/>
      <c r="J3490" s="185"/>
      <c r="K3490" s="185"/>
      <c r="L3490"/>
      <c r="M3490"/>
      <c r="N3490"/>
      <c r="O3490"/>
      <c r="P3490"/>
      <c r="Q3490"/>
    </row>
    <row r="3491" spans="9:17" s="1" customFormat="1">
      <c r="I3491" s="185"/>
      <c r="J3491" s="185"/>
      <c r="K3491" s="185"/>
      <c r="L3491"/>
      <c r="M3491"/>
      <c r="N3491"/>
      <c r="O3491"/>
      <c r="P3491"/>
      <c r="Q3491"/>
    </row>
    <row r="3492" spans="9:17" s="1" customFormat="1">
      <c r="I3492" s="185"/>
      <c r="J3492" s="185"/>
      <c r="K3492" s="185"/>
      <c r="L3492"/>
      <c r="M3492"/>
      <c r="N3492"/>
      <c r="O3492"/>
      <c r="P3492"/>
      <c r="Q3492"/>
    </row>
    <row r="3493" spans="9:17" s="1" customFormat="1">
      <c r="I3493" s="185"/>
      <c r="J3493" s="185"/>
      <c r="K3493" s="185"/>
      <c r="L3493"/>
      <c r="M3493"/>
      <c r="N3493"/>
      <c r="O3493"/>
      <c r="P3493"/>
      <c r="Q3493"/>
    </row>
    <row r="3494" spans="9:17" s="1" customFormat="1">
      <c r="I3494" s="185"/>
      <c r="J3494" s="185"/>
      <c r="K3494" s="185"/>
      <c r="L3494"/>
      <c r="M3494"/>
      <c r="N3494"/>
      <c r="O3494"/>
      <c r="P3494"/>
      <c r="Q3494"/>
    </row>
    <row r="3495" spans="9:17" s="1" customFormat="1">
      <c r="I3495" s="185"/>
      <c r="J3495" s="185"/>
      <c r="K3495" s="185"/>
      <c r="L3495"/>
      <c r="M3495"/>
      <c r="N3495"/>
      <c r="O3495"/>
      <c r="P3495"/>
      <c r="Q3495"/>
    </row>
    <row r="3496" spans="9:17" s="1" customFormat="1">
      <c r="I3496" s="185"/>
      <c r="J3496" s="185"/>
      <c r="K3496" s="185"/>
      <c r="L3496"/>
      <c r="M3496"/>
      <c r="N3496"/>
      <c r="O3496"/>
      <c r="P3496"/>
      <c r="Q3496"/>
    </row>
    <row r="3497" spans="9:17" s="1" customFormat="1">
      <c r="I3497" s="185"/>
      <c r="J3497" s="185"/>
      <c r="K3497" s="185"/>
      <c r="L3497"/>
      <c r="M3497"/>
      <c r="N3497"/>
      <c r="O3497"/>
      <c r="P3497"/>
      <c r="Q3497"/>
    </row>
    <row r="3498" spans="9:17" s="1" customFormat="1">
      <c r="I3498" s="185"/>
      <c r="J3498" s="185"/>
      <c r="K3498" s="185"/>
      <c r="L3498"/>
      <c r="M3498"/>
      <c r="N3498"/>
      <c r="O3498"/>
      <c r="P3498"/>
      <c r="Q3498"/>
    </row>
    <row r="3499" spans="9:17" s="1" customFormat="1">
      <c r="I3499" s="185"/>
      <c r="J3499" s="185"/>
      <c r="K3499" s="185"/>
      <c r="L3499"/>
      <c r="M3499"/>
      <c r="N3499"/>
      <c r="O3499"/>
      <c r="P3499"/>
      <c r="Q3499"/>
    </row>
    <row r="3500" spans="9:17" s="1" customFormat="1">
      <c r="I3500" s="185"/>
      <c r="J3500" s="185"/>
      <c r="K3500" s="185"/>
      <c r="L3500"/>
      <c r="M3500"/>
      <c r="N3500"/>
      <c r="O3500"/>
      <c r="P3500"/>
      <c r="Q3500"/>
    </row>
    <row r="3501" spans="9:17" s="1" customFormat="1">
      <c r="I3501" s="185"/>
      <c r="J3501" s="185"/>
      <c r="K3501" s="185"/>
      <c r="L3501"/>
      <c r="M3501"/>
      <c r="N3501"/>
      <c r="O3501"/>
      <c r="P3501"/>
      <c r="Q3501"/>
    </row>
    <row r="3502" spans="9:17" s="1" customFormat="1">
      <c r="I3502" s="185"/>
      <c r="J3502" s="185"/>
      <c r="K3502" s="185"/>
      <c r="L3502"/>
      <c r="M3502"/>
      <c r="N3502"/>
      <c r="O3502"/>
      <c r="P3502"/>
      <c r="Q3502"/>
    </row>
    <row r="3503" spans="9:17" s="1" customFormat="1">
      <c r="I3503" s="185"/>
      <c r="J3503" s="185"/>
      <c r="K3503" s="185"/>
      <c r="L3503"/>
      <c r="M3503"/>
      <c r="N3503"/>
      <c r="O3503"/>
      <c r="P3503"/>
      <c r="Q3503"/>
    </row>
    <row r="3504" spans="9:17" s="1" customFormat="1">
      <c r="I3504" s="185"/>
      <c r="J3504" s="185"/>
      <c r="K3504" s="185"/>
      <c r="L3504"/>
      <c r="M3504"/>
      <c r="N3504"/>
      <c r="O3504"/>
      <c r="P3504"/>
      <c r="Q3504"/>
    </row>
    <row r="3505" spans="9:17" s="1" customFormat="1">
      <c r="I3505" s="185"/>
      <c r="J3505" s="185"/>
      <c r="K3505" s="185"/>
      <c r="L3505"/>
      <c r="M3505"/>
      <c r="N3505"/>
      <c r="O3505"/>
      <c r="P3505"/>
      <c r="Q3505"/>
    </row>
    <row r="3506" spans="9:17" s="1" customFormat="1">
      <c r="I3506" s="185"/>
      <c r="J3506" s="185"/>
      <c r="K3506" s="185"/>
      <c r="L3506"/>
      <c r="M3506"/>
      <c r="N3506"/>
      <c r="O3506"/>
      <c r="P3506"/>
      <c r="Q3506"/>
    </row>
    <row r="3507" spans="9:17" s="1" customFormat="1">
      <c r="I3507" s="185"/>
      <c r="J3507" s="185"/>
      <c r="K3507" s="185"/>
      <c r="L3507"/>
      <c r="M3507"/>
      <c r="N3507"/>
      <c r="O3507"/>
      <c r="P3507"/>
      <c r="Q3507"/>
    </row>
    <row r="3508" spans="9:17" s="1" customFormat="1">
      <c r="I3508" s="185"/>
      <c r="J3508" s="185"/>
      <c r="K3508" s="185"/>
      <c r="L3508"/>
      <c r="M3508"/>
      <c r="N3508"/>
      <c r="O3508"/>
      <c r="P3508"/>
      <c r="Q3508"/>
    </row>
    <row r="3509" spans="9:17" s="1" customFormat="1">
      <c r="I3509" s="185"/>
      <c r="J3509" s="185"/>
      <c r="K3509" s="185"/>
      <c r="L3509"/>
      <c r="M3509"/>
      <c r="N3509"/>
      <c r="O3509"/>
      <c r="P3509"/>
      <c r="Q3509"/>
    </row>
    <row r="3510" spans="9:17" s="1" customFormat="1">
      <c r="I3510" s="185"/>
      <c r="J3510" s="185"/>
      <c r="K3510" s="185"/>
      <c r="L3510"/>
      <c r="M3510"/>
      <c r="N3510"/>
      <c r="O3510"/>
      <c r="P3510"/>
      <c r="Q3510"/>
    </row>
    <row r="3511" spans="9:17" s="1" customFormat="1">
      <c r="I3511" s="185"/>
      <c r="J3511" s="185"/>
      <c r="K3511" s="185"/>
      <c r="L3511"/>
      <c r="M3511"/>
      <c r="N3511"/>
      <c r="O3511"/>
      <c r="P3511"/>
      <c r="Q3511"/>
    </row>
    <row r="3512" spans="9:17" s="1" customFormat="1">
      <c r="I3512" s="185"/>
      <c r="J3512" s="185"/>
      <c r="K3512" s="185"/>
      <c r="L3512"/>
      <c r="M3512"/>
      <c r="N3512"/>
      <c r="O3512"/>
      <c r="P3512"/>
      <c r="Q3512"/>
    </row>
    <row r="3513" spans="9:17" s="1" customFormat="1">
      <c r="I3513" s="185"/>
      <c r="J3513" s="185"/>
      <c r="K3513" s="185"/>
      <c r="L3513"/>
      <c r="M3513"/>
      <c r="N3513"/>
      <c r="O3513"/>
      <c r="P3513"/>
      <c r="Q3513"/>
    </row>
    <row r="3514" spans="9:17" s="1" customFormat="1">
      <c r="I3514" s="185"/>
      <c r="J3514" s="185"/>
      <c r="K3514" s="185"/>
      <c r="L3514"/>
      <c r="M3514"/>
      <c r="N3514"/>
      <c r="O3514"/>
      <c r="P3514"/>
      <c r="Q3514"/>
    </row>
    <row r="3515" spans="9:17" s="1" customFormat="1">
      <c r="I3515" s="185"/>
      <c r="J3515" s="185"/>
      <c r="K3515" s="185"/>
      <c r="L3515"/>
      <c r="M3515"/>
      <c r="N3515"/>
      <c r="O3515"/>
      <c r="P3515"/>
      <c r="Q3515"/>
    </row>
    <row r="3516" spans="9:17" s="1" customFormat="1">
      <c r="I3516" s="185"/>
      <c r="J3516" s="185"/>
      <c r="K3516" s="185"/>
      <c r="L3516"/>
      <c r="M3516"/>
      <c r="N3516"/>
      <c r="O3516"/>
      <c r="P3516"/>
      <c r="Q3516"/>
    </row>
    <row r="3517" spans="9:17" s="1" customFormat="1">
      <c r="I3517" s="185"/>
      <c r="J3517" s="185"/>
      <c r="K3517" s="185"/>
      <c r="L3517"/>
      <c r="M3517"/>
      <c r="N3517"/>
      <c r="O3517"/>
      <c r="P3517"/>
      <c r="Q3517"/>
    </row>
    <row r="3518" spans="9:17" s="1" customFormat="1">
      <c r="I3518" s="185"/>
      <c r="J3518" s="185"/>
      <c r="K3518" s="185"/>
      <c r="L3518"/>
      <c r="M3518"/>
      <c r="N3518"/>
      <c r="O3518"/>
      <c r="P3518"/>
      <c r="Q3518"/>
    </row>
    <row r="3519" spans="9:17" s="1" customFormat="1">
      <c r="I3519" s="185"/>
      <c r="J3519" s="185"/>
      <c r="K3519" s="185"/>
      <c r="L3519"/>
      <c r="M3519"/>
      <c r="N3519"/>
      <c r="O3519"/>
      <c r="P3519"/>
      <c r="Q3519"/>
    </row>
    <row r="3520" spans="9:17" s="1" customFormat="1">
      <c r="I3520" s="185"/>
      <c r="J3520" s="185"/>
      <c r="K3520" s="185"/>
      <c r="L3520"/>
      <c r="M3520"/>
      <c r="N3520"/>
      <c r="O3520"/>
      <c r="P3520"/>
      <c r="Q3520"/>
    </row>
    <row r="3521" spans="9:17" s="1" customFormat="1">
      <c r="I3521" s="185"/>
      <c r="J3521" s="185"/>
      <c r="K3521" s="185"/>
      <c r="L3521"/>
      <c r="M3521"/>
      <c r="N3521"/>
      <c r="O3521"/>
      <c r="P3521"/>
      <c r="Q3521"/>
    </row>
    <row r="3522" spans="9:17" s="1" customFormat="1">
      <c r="I3522" s="185"/>
      <c r="J3522" s="185"/>
      <c r="K3522" s="185"/>
      <c r="L3522"/>
      <c r="M3522"/>
      <c r="N3522"/>
      <c r="O3522"/>
      <c r="P3522"/>
      <c r="Q3522"/>
    </row>
    <row r="3523" spans="9:17" s="1" customFormat="1">
      <c r="I3523" s="185"/>
      <c r="J3523" s="185"/>
      <c r="K3523" s="185"/>
      <c r="L3523"/>
      <c r="M3523"/>
      <c r="N3523"/>
      <c r="O3523"/>
      <c r="P3523"/>
      <c r="Q3523"/>
    </row>
    <row r="3524" spans="9:17" s="1" customFormat="1">
      <c r="I3524" s="185"/>
      <c r="J3524" s="185"/>
      <c r="K3524" s="185"/>
      <c r="L3524"/>
      <c r="M3524"/>
      <c r="N3524"/>
      <c r="O3524"/>
      <c r="P3524"/>
      <c r="Q3524"/>
    </row>
    <row r="3525" spans="9:17" s="1" customFormat="1">
      <c r="I3525" s="185"/>
      <c r="J3525" s="185"/>
      <c r="K3525" s="185"/>
      <c r="L3525"/>
      <c r="M3525"/>
      <c r="N3525"/>
      <c r="O3525"/>
      <c r="P3525"/>
      <c r="Q3525"/>
    </row>
    <row r="3526" spans="9:17" s="1" customFormat="1">
      <c r="I3526" s="185"/>
      <c r="J3526" s="185"/>
      <c r="K3526" s="185"/>
      <c r="L3526"/>
      <c r="M3526"/>
      <c r="N3526"/>
      <c r="O3526"/>
      <c r="P3526"/>
      <c r="Q3526"/>
    </row>
    <row r="3527" spans="9:17" s="1" customFormat="1">
      <c r="I3527" s="185"/>
      <c r="J3527" s="185"/>
      <c r="K3527" s="185"/>
      <c r="L3527"/>
      <c r="M3527"/>
      <c r="N3527"/>
      <c r="O3527"/>
      <c r="P3527"/>
      <c r="Q3527"/>
    </row>
    <row r="3528" spans="9:17" s="1" customFormat="1">
      <c r="I3528" s="185"/>
      <c r="J3528" s="185"/>
      <c r="K3528" s="185"/>
      <c r="L3528"/>
      <c r="M3528"/>
      <c r="N3528"/>
      <c r="O3528"/>
      <c r="P3528"/>
      <c r="Q3528"/>
    </row>
    <row r="3529" spans="9:17" s="1" customFormat="1">
      <c r="I3529" s="185"/>
      <c r="J3529" s="185"/>
      <c r="K3529" s="185"/>
      <c r="L3529"/>
      <c r="M3529"/>
      <c r="N3529"/>
      <c r="O3529"/>
      <c r="P3529"/>
      <c r="Q3529"/>
    </row>
    <row r="3530" spans="9:17" s="1" customFormat="1">
      <c r="I3530" s="185"/>
      <c r="J3530" s="185"/>
      <c r="K3530" s="185"/>
      <c r="L3530"/>
      <c r="M3530"/>
      <c r="N3530"/>
      <c r="O3530"/>
      <c r="P3530"/>
      <c r="Q3530"/>
    </row>
    <row r="3531" spans="9:17" s="1" customFormat="1">
      <c r="I3531" s="185"/>
      <c r="J3531" s="185"/>
      <c r="K3531" s="185"/>
      <c r="L3531"/>
      <c r="M3531"/>
      <c r="N3531"/>
      <c r="O3531"/>
      <c r="P3531"/>
      <c r="Q3531"/>
    </row>
    <row r="3532" spans="9:17" s="1" customFormat="1">
      <c r="I3532" s="185"/>
      <c r="J3532" s="185"/>
      <c r="K3532" s="185"/>
      <c r="L3532"/>
      <c r="M3532"/>
      <c r="N3532"/>
      <c r="O3532"/>
      <c r="P3532"/>
      <c r="Q3532"/>
    </row>
    <row r="3533" spans="9:17" s="1" customFormat="1">
      <c r="I3533" s="185"/>
      <c r="J3533" s="185"/>
      <c r="K3533" s="185"/>
      <c r="L3533"/>
      <c r="M3533"/>
      <c r="N3533"/>
      <c r="O3533"/>
      <c r="P3533"/>
      <c r="Q3533"/>
    </row>
    <row r="3534" spans="9:17" s="1" customFormat="1">
      <c r="I3534" s="185"/>
      <c r="J3534" s="185"/>
      <c r="K3534" s="185"/>
      <c r="L3534"/>
      <c r="M3534"/>
      <c r="N3534"/>
      <c r="O3534"/>
      <c r="P3534"/>
      <c r="Q3534"/>
    </row>
    <row r="3535" spans="9:17" s="1" customFormat="1">
      <c r="I3535" s="185"/>
      <c r="J3535" s="185"/>
      <c r="K3535" s="185"/>
      <c r="L3535"/>
      <c r="M3535"/>
      <c r="N3535"/>
      <c r="O3535"/>
      <c r="P3535"/>
      <c r="Q3535"/>
    </row>
    <row r="3536" spans="9:17" s="1" customFormat="1">
      <c r="I3536" s="185"/>
      <c r="J3536" s="185"/>
      <c r="K3536" s="185"/>
      <c r="L3536"/>
      <c r="M3536"/>
      <c r="N3536"/>
      <c r="O3536"/>
      <c r="P3536"/>
      <c r="Q3536"/>
    </row>
    <row r="3537" spans="9:17" s="1" customFormat="1">
      <c r="I3537" s="185"/>
      <c r="J3537" s="185"/>
      <c r="K3537" s="185"/>
      <c r="L3537"/>
      <c r="M3537"/>
      <c r="N3537"/>
      <c r="O3537"/>
      <c r="P3537"/>
      <c r="Q3537"/>
    </row>
    <row r="3538" spans="9:17" s="1" customFormat="1">
      <c r="I3538" s="185"/>
      <c r="J3538" s="185"/>
      <c r="K3538" s="185"/>
      <c r="L3538"/>
      <c r="M3538"/>
      <c r="N3538"/>
      <c r="O3538"/>
      <c r="P3538"/>
      <c r="Q3538"/>
    </row>
    <row r="3539" spans="9:17" s="1" customFormat="1">
      <c r="I3539" s="185"/>
      <c r="J3539" s="185"/>
      <c r="K3539" s="185"/>
      <c r="L3539"/>
      <c r="M3539"/>
      <c r="N3539"/>
      <c r="O3539"/>
      <c r="P3539"/>
      <c r="Q3539"/>
    </row>
    <row r="3540" spans="9:17" s="1" customFormat="1">
      <c r="I3540" s="185"/>
      <c r="J3540" s="185"/>
      <c r="K3540" s="185"/>
      <c r="L3540"/>
      <c r="M3540"/>
      <c r="N3540"/>
      <c r="O3540"/>
      <c r="P3540"/>
      <c r="Q3540"/>
    </row>
    <row r="3541" spans="9:17" s="1" customFormat="1">
      <c r="I3541" s="185"/>
      <c r="J3541" s="185"/>
      <c r="K3541" s="185"/>
      <c r="L3541"/>
      <c r="M3541"/>
      <c r="N3541"/>
      <c r="O3541"/>
      <c r="P3541"/>
      <c r="Q3541"/>
    </row>
    <row r="3542" spans="9:17" s="1" customFormat="1">
      <c r="I3542" s="185"/>
      <c r="J3542" s="185"/>
      <c r="K3542" s="185"/>
      <c r="L3542"/>
      <c r="M3542"/>
      <c r="N3542"/>
      <c r="O3542"/>
      <c r="P3542"/>
      <c r="Q3542"/>
    </row>
    <row r="3543" spans="9:17" s="1" customFormat="1">
      <c r="I3543" s="185"/>
      <c r="J3543" s="185"/>
      <c r="K3543" s="185"/>
      <c r="L3543"/>
      <c r="M3543"/>
      <c r="N3543"/>
      <c r="O3543"/>
      <c r="P3543"/>
      <c r="Q3543"/>
    </row>
    <row r="3544" spans="9:17" s="1" customFormat="1">
      <c r="I3544" s="185"/>
      <c r="J3544" s="185"/>
      <c r="K3544" s="185"/>
      <c r="L3544"/>
      <c r="M3544"/>
      <c r="N3544"/>
      <c r="O3544"/>
      <c r="P3544"/>
      <c r="Q3544"/>
    </row>
    <row r="3545" spans="9:17" s="1" customFormat="1">
      <c r="I3545" s="185"/>
      <c r="J3545" s="185"/>
      <c r="K3545" s="185"/>
      <c r="L3545"/>
      <c r="M3545"/>
      <c r="N3545"/>
      <c r="O3545"/>
      <c r="P3545"/>
      <c r="Q3545"/>
    </row>
    <row r="3546" spans="9:17" s="1" customFormat="1">
      <c r="I3546" s="185"/>
      <c r="J3546" s="185"/>
      <c r="K3546" s="185"/>
      <c r="L3546"/>
      <c r="M3546"/>
      <c r="N3546"/>
      <c r="O3546"/>
      <c r="P3546"/>
      <c r="Q3546"/>
    </row>
    <row r="3547" spans="9:17" s="1" customFormat="1">
      <c r="I3547" s="185"/>
      <c r="J3547" s="185"/>
      <c r="K3547" s="185"/>
      <c r="L3547"/>
      <c r="M3547"/>
      <c r="N3547"/>
      <c r="O3547"/>
      <c r="P3547"/>
      <c r="Q3547"/>
    </row>
    <row r="3548" spans="9:17" s="1" customFormat="1">
      <c r="I3548" s="185"/>
      <c r="J3548" s="185"/>
      <c r="K3548" s="185"/>
      <c r="L3548"/>
      <c r="M3548"/>
      <c r="N3548"/>
      <c r="O3548"/>
      <c r="P3548"/>
      <c r="Q3548"/>
    </row>
    <row r="3549" spans="9:17" s="1" customFormat="1">
      <c r="I3549" s="185"/>
      <c r="J3549" s="185"/>
      <c r="K3549" s="185"/>
      <c r="L3549"/>
      <c r="M3549"/>
      <c r="N3549"/>
      <c r="O3549"/>
      <c r="P3549"/>
      <c r="Q3549"/>
    </row>
    <row r="3550" spans="9:17" s="1" customFormat="1">
      <c r="I3550" s="185"/>
      <c r="J3550" s="185"/>
      <c r="K3550" s="185"/>
      <c r="L3550"/>
      <c r="M3550"/>
      <c r="N3550"/>
      <c r="O3550"/>
      <c r="P3550"/>
      <c r="Q3550"/>
    </row>
    <row r="3551" spans="9:17" s="1" customFormat="1">
      <c r="I3551" s="185"/>
      <c r="J3551" s="185"/>
      <c r="K3551" s="185"/>
      <c r="L3551"/>
      <c r="M3551"/>
      <c r="N3551"/>
      <c r="O3551"/>
      <c r="P3551"/>
      <c r="Q3551"/>
    </row>
  </sheetData>
  <autoFilter ref="A4:Q62">
    <sortState ref="A5:Q62">
      <sortCondition ref="Q4:Q62"/>
    </sortState>
  </autoFilter>
  <mergeCells count="1">
    <mergeCell ref="E2:Q2"/>
  </mergeCells>
  <conditionalFormatting sqref="N5:N62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{2D423E4D-4F52-4CCA-823B-78CC176F1FC1}</x14:id>
        </ext>
      </extLst>
    </cfRule>
    <cfRule type="top10" dxfId="13" priority="40" rank="10"/>
  </conditionalFormatting>
  <pageMargins left="0.88" right="0" top="0.39370078740157483" bottom="0.39370078740157483" header="0.39370078740157483" footer="0.39370078740157483"/>
  <pageSetup paperSize="256" scale="70" fitToWidth="0" fitToHeight="0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423E4D-4F52-4CCA-823B-78CC176F1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N5:N62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13"/>
  <sheetViews>
    <sheetView zoomScale="80" zoomScaleNormal="80" workbookViewId="0">
      <pane xSplit="6" ySplit="4" topLeftCell="G17" activePane="bottomRight" state="frozen"/>
      <selection pane="topRight" activeCell="G1" sqref="G1"/>
      <selection pane="bottomLeft" activeCell="A5" sqref="A5"/>
      <selection pane="bottomRight" activeCell="H28" sqref="H28"/>
    </sheetView>
  </sheetViews>
  <sheetFormatPr defaultRowHeight="14.5"/>
  <cols>
    <col min="1" max="1" width="5" style="1" customWidth="1"/>
    <col min="2" max="2" width="21.54296875" style="1" hidden="1" customWidth="1"/>
    <col min="3" max="3" width="30.26953125" style="102" customWidth="1"/>
    <col min="4" max="4" width="6.453125" style="102" customWidth="1"/>
    <col min="5" max="5" width="5.1796875" style="60" customWidth="1"/>
    <col min="6" max="6" width="22.81640625" style="3" bestFit="1" customWidth="1"/>
    <col min="7" max="7" width="9.7265625" style="1" customWidth="1"/>
    <col min="8" max="8" width="29.81640625" style="185" customWidth="1"/>
    <col min="9" max="9" width="35.1796875" style="185" customWidth="1"/>
    <col min="10" max="10" width="21.7265625" style="185" bestFit="1" customWidth="1"/>
    <col min="11" max="11" width="7.26953125" customWidth="1"/>
    <col min="12" max="12" width="10.1796875" customWidth="1"/>
    <col min="13" max="13" width="21.453125" customWidth="1"/>
    <col min="14" max="14" width="48.7265625" customWidth="1"/>
    <col min="15" max="15" width="12.81640625" customWidth="1"/>
    <col min="16" max="16" width="30.26953125" customWidth="1"/>
  </cols>
  <sheetData>
    <row r="2" spans="1:16" ht="18.5" customHeight="1">
      <c r="B2" s="496"/>
      <c r="C2" s="502" t="str">
        <f>A24&amp;" Pengawas MTs/MA "</f>
        <v xml:space="preserve">20 Pengawas MTs/MA </v>
      </c>
      <c r="D2" s="502"/>
      <c r="E2" s="502"/>
      <c r="F2" s="501" t="s">
        <v>5160</v>
      </c>
      <c r="G2" s="501"/>
      <c r="H2" s="501"/>
      <c r="I2" s="501"/>
      <c r="J2" s="501"/>
      <c r="K2" s="501"/>
      <c r="L2" s="501"/>
      <c r="M2" s="501"/>
      <c r="N2" s="501"/>
      <c r="O2" s="501"/>
      <c r="P2" s="501"/>
    </row>
    <row r="3" spans="1:16">
      <c r="B3" s="47"/>
      <c r="C3" s="54"/>
      <c r="D3" s="54"/>
      <c r="E3" s="61"/>
      <c r="F3" s="48"/>
      <c r="G3" s="183"/>
      <c r="H3" s="239"/>
      <c r="I3" s="239"/>
      <c r="J3" s="184"/>
      <c r="K3" s="49"/>
      <c r="L3" s="49"/>
      <c r="M3" s="49"/>
      <c r="N3" s="49"/>
      <c r="O3" s="49"/>
    </row>
    <row r="4" spans="1:16" ht="38.25" customHeight="1">
      <c r="A4" s="4" t="s">
        <v>131</v>
      </c>
      <c r="B4" s="88" t="s">
        <v>133</v>
      </c>
      <c r="C4" s="100" t="s">
        <v>132</v>
      </c>
      <c r="D4" s="247" t="s">
        <v>665</v>
      </c>
      <c r="E4" s="62" t="s">
        <v>2</v>
      </c>
      <c r="F4" s="4" t="s">
        <v>603</v>
      </c>
      <c r="G4" s="4" t="s">
        <v>600</v>
      </c>
      <c r="H4" s="4" t="s">
        <v>5107</v>
      </c>
      <c r="I4" s="276" t="s">
        <v>5141</v>
      </c>
      <c r="J4" s="4" t="s">
        <v>661</v>
      </c>
      <c r="K4" s="4" t="s">
        <v>660</v>
      </c>
      <c r="L4" s="4" t="s">
        <v>5058</v>
      </c>
      <c r="M4" s="4" t="s">
        <v>662</v>
      </c>
      <c r="N4" s="4" t="s">
        <v>606</v>
      </c>
      <c r="O4" s="4" t="s">
        <v>674</v>
      </c>
      <c r="P4" s="100" t="s">
        <v>132</v>
      </c>
    </row>
    <row r="5" spans="1:16" s="164" customFormat="1" ht="29.15" customHeight="1">
      <c r="A5" s="160">
        <v>1</v>
      </c>
      <c r="B5" s="192" t="s">
        <v>110</v>
      </c>
      <c r="C5" s="193" t="s">
        <v>88</v>
      </c>
      <c r="D5" s="236" t="s">
        <v>663</v>
      </c>
      <c r="E5" s="161" t="s">
        <v>49</v>
      </c>
      <c r="F5" s="186">
        <v>45469</v>
      </c>
      <c r="G5" s="160" t="s">
        <v>601</v>
      </c>
      <c r="H5" s="216" t="s">
        <v>174</v>
      </c>
      <c r="I5" s="226" t="s">
        <v>5142</v>
      </c>
      <c r="J5" s="238">
        <v>27476</v>
      </c>
      <c r="K5" s="235">
        <f t="shared" ref="K5:K24" ca="1" si="0">DATEDIF(J5,TODAY(),"Y")</f>
        <v>49</v>
      </c>
      <c r="L5" s="235">
        <v>60</v>
      </c>
      <c r="M5" s="240" t="str">
        <f t="shared" ref="M5:M24" si="1">TEXT(EDATE(J5,12*L5),"DD MMMM YYYY")</f>
        <v>23 Maret 2035</v>
      </c>
      <c r="N5" s="136" t="s">
        <v>5059</v>
      </c>
      <c r="O5" s="162" t="s">
        <v>5085</v>
      </c>
      <c r="P5" s="163" t="s">
        <v>286</v>
      </c>
    </row>
    <row r="6" spans="1:16" s="164" customFormat="1" ht="29.15" customHeight="1">
      <c r="A6" s="160">
        <v>2</v>
      </c>
      <c r="B6" s="194" t="s">
        <v>21</v>
      </c>
      <c r="C6" s="307" t="s">
        <v>214</v>
      </c>
      <c r="D6" s="237" t="s">
        <v>663</v>
      </c>
      <c r="E6" s="167" t="s">
        <v>150</v>
      </c>
      <c r="F6" s="186">
        <v>45124</v>
      </c>
      <c r="G6" s="160" t="s">
        <v>601</v>
      </c>
      <c r="H6" s="219" t="s">
        <v>164</v>
      </c>
      <c r="I6" s="226" t="s">
        <v>5144</v>
      </c>
      <c r="J6" s="238">
        <v>24594</v>
      </c>
      <c r="K6" s="262">
        <f t="shared" ca="1" si="0"/>
        <v>57</v>
      </c>
      <c r="L6" s="262">
        <v>60</v>
      </c>
      <c r="M6" s="273" t="str">
        <f t="shared" si="1"/>
        <v>02 Mei 2027</v>
      </c>
      <c r="N6" s="139" t="s">
        <v>610</v>
      </c>
      <c r="O6" s="162" t="s">
        <v>5087</v>
      </c>
      <c r="P6" s="165" t="s">
        <v>248</v>
      </c>
    </row>
    <row r="7" spans="1:16" s="164" customFormat="1" ht="29.15" customHeight="1">
      <c r="A7" s="160">
        <v>3</v>
      </c>
      <c r="B7" s="202" t="s">
        <v>62</v>
      </c>
      <c r="C7" s="191" t="s">
        <v>61</v>
      </c>
      <c r="D7" s="241" t="s">
        <v>664</v>
      </c>
      <c r="E7" s="172" t="s">
        <v>49</v>
      </c>
      <c r="F7" s="188">
        <v>44868</v>
      </c>
      <c r="G7" s="160" t="s">
        <v>601</v>
      </c>
      <c r="H7" s="218" t="s">
        <v>200</v>
      </c>
      <c r="I7" s="226" t="s">
        <v>5142</v>
      </c>
      <c r="J7" s="238">
        <v>29872</v>
      </c>
      <c r="K7" s="235">
        <f t="shared" ca="1" si="0"/>
        <v>43</v>
      </c>
      <c r="L7" s="235">
        <v>60</v>
      </c>
      <c r="M7" s="240" t="str">
        <f t="shared" si="1"/>
        <v>13 Oktober 2041</v>
      </c>
      <c r="N7" s="138" t="s">
        <v>5064</v>
      </c>
      <c r="O7" s="162" t="s">
        <v>5090</v>
      </c>
      <c r="P7" s="163" t="s">
        <v>285</v>
      </c>
    </row>
    <row r="8" spans="1:16" s="164" customFormat="1" ht="29.15" customHeight="1">
      <c r="A8" s="160">
        <v>4</v>
      </c>
      <c r="B8" s="204" t="s">
        <v>86</v>
      </c>
      <c r="C8" s="193" t="s">
        <v>140</v>
      </c>
      <c r="D8" s="236" t="s">
        <v>663</v>
      </c>
      <c r="E8" s="173" t="s">
        <v>49</v>
      </c>
      <c r="F8" s="187">
        <v>43174</v>
      </c>
      <c r="G8" s="160" t="s">
        <v>601</v>
      </c>
      <c r="H8" s="224" t="s">
        <v>604</v>
      </c>
      <c r="I8" s="226" t="s">
        <v>5142</v>
      </c>
      <c r="J8" s="238">
        <v>25363</v>
      </c>
      <c r="K8" s="235">
        <f t="shared" ca="1" si="0"/>
        <v>55</v>
      </c>
      <c r="L8" s="235">
        <v>60</v>
      </c>
      <c r="M8" s="240" t="str">
        <f t="shared" si="1"/>
        <v>09 Juni 2029</v>
      </c>
      <c r="N8" s="144" t="s">
        <v>5066</v>
      </c>
      <c r="O8" s="162" t="s">
        <v>5087</v>
      </c>
      <c r="P8" s="163" t="s">
        <v>293</v>
      </c>
    </row>
    <row r="9" spans="1:16" s="164" customFormat="1" ht="29.15" customHeight="1">
      <c r="A9" s="160">
        <v>5</v>
      </c>
      <c r="B9" s="205" t="s">
        <v>102</v>
      </c>
      <c r="C9" s="193" t="s">
        <v>77</v>
      </c>
      <c r="D9" s="236" t="s">
        <v>663</v>
      </c>
      <c r="E9" s="173" t="s">
        <v>49</v>
      </c>
      <c r="F9" s="187">
        <v>45474</v>
      </c>
      <c r="G9" s="160" t="s">
        <v>602</v>
      </c>
      <c r="H9" s="225" t="s">
        <v>216</v>
      </c>
      <c r="I9" s="226" t="s">
        <v>5142</v>
      </c>
      <c r="J9" s="238">
        <v>27806</v>
      </c>
      <c r="K9" s="235">
        <f t="shared" ca="1" si="0"/>
        <v>48</v>
      </c>
      <c r="L9" s="235">
        <v>60</v>
      </c>
      <c r="M9" s="240" t="str">
        <f t="shared" si="1"/>
        <v>16 Februari 2036</v>
      </c>
      <c r="N9" s="145" t="s">
        <v>5068</v>
      </c>
      <c r="O9" s="162" t="s">
        <v>5086</v>
      </c>
      <c r="P9" s="163" t="s">
        <v>295</v>
      </c>
    </row>
    <row r="10" spans="1:16" s="164" customFormat="1" ht="29.15" customHeight="1">
      <c r="A10" s="160">
        <v>6</v>
      </c>
      <c r="B10" s="192" t="s">
        <v>87</v>
      </c>
      <c r="C10" s="191" t="s">
        <v>139</v>
      </c>
      <c r="D10" s="241" t="s">
        <v>663</v>
      </c>
      <c r="E10" s="173" t="s">
        <v>49</v>
      </c>
      <c r="F10" s="186">
        <v>45124</v>
      </c>
      <c r="G10" s="160" t="s">
        <v>368</v>
      </c>
      <c r="H10" s="216" t="s">
        <v>166</v>
      </c>
      <c r="I10" s="227" t="s">
        <v>5142</v>
      </c>
      <c r="J10" s="238">
        <v>30181</v>
      </c>
      <c r="K10" s="235">
        <f t="shared" ca="1" si="0"/>
        <v>42</v>
      </c>
      <c r="L10" s="235">
        <v>60</v>
      </c>
      <c r="M10" s="240" t="str">
        <f t="shared" si="1"/>
        <v>18 Agustus 2042</v>
      </c>
      <c r="N10" s="136" t="s">
        <v>5070</v>
      </c>
      <c r="O10" s="162" t="s">
        <v>5087</v>
      </c>
      <c r="P10" s="163" t="s">
        <v>291</v>
      </c>
    </row>
    <row r="11" spans="1:16" s="164" customFormat="1" ht="29.15" customHeight="1">
      <c r="A11" s="160">
        <v>7</v>
      </c>
      <c r="B11" s="202" t="s">
        <v>56</v>
      </c>
      <c r="C11" s="191" t="s">
        <v>149</v>
      </c>
      <c r="D11" s="241" t="s">
        <v>664</v>
      </c>
      <c r="E11" s="172" t="s">
        <v>48</v>
      </c>
      <c r="F11" s="187">
        <v>45071</v>
      </c>
      <c r="G11" s="160" t="s">
        <v>602</v>
      </c>
      <c r="H11" s="227" t="s">
        <v>205</v>
      </c>
      <c r="I11" s="227" t="s">
        <v>5142</v>
      </c>
      <c r="J11" s="238">
        <v>27872</v>
      </c>
      <c r="K11" s="235">
        <f t="shared" ca="1" si="0"/>
        <v>48</v>
      </c>
      <c r="L11" s="235">
        <v>60</v>
      </c>
      <c r="M11" s="240" t="str">
        <f t="shared" si="1"/>
        <v>22 April 2036</v>
      </c>
      <c r="N11" s="147" t="s">
        <v>623</v>
      </c>
      <c r="O11" s="162" t="s">
        <v>5097</v>
      </c>
      <c r="P11" s="163" t="s">
        <v>246</v>
      </c>
    </row>
    <row r="12" spans="1:16" s="164" customFormat="1" ht="29.15" customHeight="1">
      <c r="A12" s="160">
        <v>8</v>
      </c>
      <c r="B12" s="194" t="s">
        <v>22</v>
      </c>
      <c r="C12" s="306" t="s">
        <v>153</v>
      </c>
      <c r="D12" s="237" t="s">
        <v>663</v>
      </c>
      <c r="E12" s="161" t="s">
        <v>125</v>
      </c>
      <c r="F12" s="186">
        <v>40603</v>
      </c>
      <c r="G12" s="160" t="s">
        <v>347</v>
      </c>
      <c r="H12" s="228" t="s">
        <v>220</v>
      </c>
      <c r="I12" s="224" t="s">
        <v>5146</v>
      </c>
      <c r="J12" s="238">
        <v>24205</v>
      </c>
      <c r="K12" s="261">
        <f t="shared" ca="1" si="0"/>
        <v>58</v>
      </c>
      <c r="L12" s="261">
        <v>60</v>
      </c>
      <c r="M12" s="271" t="str">
        <f t="shared" si="1"/>
        <v>08 April 2026</v>
      </c>
      <c r="N12" s="149" t="s">
        <v>634</v>
      </c>
      <c r="O12" s="162" t="s">
        <v>5096</v>
      </c>
      <c r="P12" s="165" t="s">
        <v>232</v>
      </c>
    </row>
    <row r="13" spans="1:16" s="164" customFormat="1" ht="29.15" customHeight="1">
      <c r="A13" s="160">
        <v>9</v>
      </c>
      <c r="B13" s="192" t="s">
        <v>111</v>
      </c>
      <c r="C13" s="191" t="s">
        <v>148</v>
      </c>
      <c r="D13" s="241" t="s">
        <v>664</v>
      </c>
      <c r="E13" s="173" t="s">
        <v>48</v>
      </c>
      <c r="F13" s="187">
        <v>45071</v>
      </c>
      <c r="G13" s="160" t="s">
        <v>602</v>
      </c>
      <c r="H13" s="227" t="s">
        <v>207</v>
      </c>
      <c r="I13" s="227" t="s">
        <v>5142</v>
      </c>
      <c r="J13" s="238">
        <v>28566</v>
      </c>
      <c r="K13" s="235">
        <f t="shared" ca="1" si="0"/>
        <v>46</v>
      </c>
      <c r="L13" s="235">
        <v>60</v>
      </c>
      <c r="M13" s="240" t="str">
        <f t="shared" si="1"/>
        <v>17 Maret 2038</v>
      </c>
      <c r="N13" s="147" t="s">
        <v>5073</v>
      </c>
      <c r="O13" s="162" t="s">
        <v>5100</v>
      </c>
      <c r="P13" s="163" t="s">
        <v>245</v>
      </c>
    </row>
    <row r="14" spans="1:16" s="164" customFormat="1" ht="29.15" customHeight="1">
      <c r="A14" s="160">
        <v>10</v>
      </c>
      <c r="B14" s="202" t="s">
        <v>55</v>
      </c>
      <c r="C14" s="191" t="s">
        <v>54</v>
      </c>
      <c r="D14" s="241" t="s">
        <v>664</v>
      </c>
      <c r="E14" s="172" t="s">
        <v>125</v>
      </c>
      <c r="F14" s="187">
        <v>44986</v>
      </c>
      <c r="G14" s="160" t="s">
        <v>601</v>
      </c>
      <c r="H14" s="227" t="s">
        <v>222</v>
      </c>
      <c r="I14" s="227" t="s">
        <v>5142</v>
      </c>
      <c r="J14" s="238">
        <v>25380</v>
      </c>
      <c r="K14" s="235">
        <f t="shared" ca="1" si="0"/>
        <v>55</v>
      </c>
      <c r="L14" s="235">
        <v>60</v>
      </c>
      <c r="M14" s="240" t="str">
        <f t="shared" si="1"/>
        <v>26 Juni 2029</v>
      </c>
      <c r="N14" s="147" t="s">
        <v>636</v>
      </c>
      <c r="O14" s="162" t="s">
        <v>5090</v>
      </c>
      <c r="P14" s="163" t="s">
        <v>235</v>
      </c>
    </row>
    <row r="15" spans="1:16" s="164" customFormat="1" ht="29.15" customHeight="1">
      <c r="A15" s="160">
        <v>11</v>
      </c>
      <c r="B15" s="192" t="s">
        <v>47</v>
      </c>
      <c r="C15" s="191" t="s">
        <v>151</v>
      </c>
      <c r="D15" s="236" t="s">
        <v>664</v>
      </c>
      <c r="E15" s="175" t="s">
        <v>125</v>
      </c>
      <c r="F15" s="187">
        <v>45078</v>
      </c>
      <c r="G15" s="160" t="s">
        <v>602</v>
      </c>
      <c r="H15" s="216" t="s">
        <v>206</v>
      </c>
      <c r="I15" s="224" t="s">
        <v>5146</v>
      </c>
      <c r="J15" s="238">
        <v>26059</v>
      </c>
      <c r="K15" s="235">
        <f t="shared" ca="1" si="0"/>
        <v>53</v>
      </c>
      <c r="L15" s="235">
        <v>60</v>
      </c>
      <c r="M15" s="240" t="str">
        <f t="shared" si="1"/>
        <v>06 Mei 2031</v>
      </c>
      <c r="N15" s="136" t="s">
        <v>637</v>
      </c>
      <c r="O15" s="162" t="s">
        <v>5098</v>
      </c>
      <c r="P15" s="163" t="s">
        <v>241</v>
      </c>
    </row>
    <row r="16" spans="1:16" s="164" customFormat="1" ht="29.15" customHeight="1">
      <c r="A16" s="160">
        <v>12</v>
      </c>
      <c r="B16" s="202" t="s">
        <v>60</v>
      </c>
      <c r="C16" s="212" t="s">
        <v>59</v>
      </c>
      <c r="D16" s="246" t="s">
        <v>663</v>
      </c>
      <c r="E16" s="161" t="s">
        <v>49</v>
      </c>
      <c r="F16" s="186">
        <v>44470</v>
      </c>
      <c r="G16" s="160" t="s">
        <v>602</v>
      </c>
      <c r="H16" s="230" t="s">
        <v>209</v>
      </c>
      <c r="I16" s="227" t="s">
        <v>5142</v>
      </c>
      <c r="J16" s="238">
        <v>28706</v>
      </c>
      <c r="K16" s="235">
        <f t="shared" ca="1" si="0"/>
        <v>46</v>
      </c>
      <c r="L16" s="235">
        <v>60</v>
      </c>
      <c r="M16" s="240" t="str">
        <f t="shared" si="1"/>
        <v>04 Agustus 2038</v>
      </c>
      <c r="N16" s="151" t="s">
        <v>642</v>
      </c>
      <c r="O16" s="162" t="s">
        <v>5097</v>
      </c>
      <c r="P16" s="163" t="s">
        <v>287</v>
      </c>
    </row>
    <row r="17" spans="1:16" s="164" customFormat="1" ht="29.15" customHeight="1">
      <c r="A17" s="160">
        <v>13</v>
      </c>
      <c r="B17" s="192" t="s">
        <v>124</v>
      </c>
      <c r="C17" s="191" t="s">
        <v>138</v>
      </c>
      <c r="D17" s="241" t="s">
        <v>664</v>
      </c>
      <c r="E17" s="175" t="s">
        <v>125</v>
      </c>
      <c r="F17" s="187">
        <v>45200</v>
      </c>
      <c r="G17" s="160" t="s">
        <v>601</v>
      </c>
      <c r="H17" s="231" t="s">
        <v>223</v>
      </c>
      <c r="I17" s="227" t="s">
        <v>5142</v>
      </c>
      <c r="J17" s="238">
        <v>26296</v>
      </c>
      <c r="K17" s="235">
        <f t="shared" ca="1" si="0"/>
        <v>53</v>
      </c>
      <c r="L17" s="235">
        <v>60</v>
      </c>
      <c r="M17" s="240" t="str">
        <f t="shared" si="1"/>
        <v>29 Desember 2031</v>
      </c>
      <c r="N17" s="152" t="s">
        <v>643</v>
      </c>
      <c r="O17" s="162" t="s">
        <v>5105</v>
      </c>
      <c r="P17" s="163" t="s">
        <v>238</v>
      </c>
    </row>
    <row r="18" spans="1:16" s="164" customFormat="1" ht="29.15" customHeight="1">
      <c r="A18" s="160">
        <v>14</v>
      </c>
      <c r="B18" s="213" t="s">
        <v>109</v>
      </c>
      <c r="C18" s="195" t="s">
        <v>85</v>
      </c>
      <c r="D18" s="237" t="s">
        <v>663</v>
      </c>
      <c r="E18" s="175" t="s">
        <v>150</v>
      </c>
      <c r="F18" s="187">
        <v>44193</v>
      </c>
      <c r="G18" s="160" t="s">
        <v>601</v>
      </c>
      <c r="H18" s="227" t="s">
        <v>165</v>
      </c>
      <c r="I18" s="227" t="s">
        <v>5142</v>
      </c>
      <c r="J18" s="238">
        <v>24995</v>
      </c>
      <c r="K18" s="235">
        <f t="shared" ca="1" si="0"/>
        <v>56</v>
      </c>
      <c r="L18" s="235">
        <v>60</v>
      </c>
      <c r="M18" s="240" t="str">
        <f t="shared" si="1"/>
        <v>06 Juni 2028</v>
      </c>
      <c r="N18" s="153" t="s">
        <v>5076</v>
      </c>
      <c r="O18" s="162" t="s">
        <v>5090</v>
      </c>
      <c r="P18" s="165" t="s">
        <v>249</v>
      </c>
    </row>
    <row r="19" spans="1:16" s="164" customFormat="1" ht="29.15" customHeight="1">
      <c r="A19" s="160">
        <v>15</v>
      </c>
      <c r="B19" s="194" t="s">
        <v>23</v>
      </c>
      <c r="C19" s="306" t="s">
        <v>9</v>
      </c>
      <c r="D19" s="237" t="s">
        <v>663</v>
      </c>
      <c r="E19" s="161" t="s">
        <v>125</v>
      </c>
      <c r="F19" s="186">
        <v>45071</v>
      </c>
      <c r="G19" s="160" t="s">
        <v>347</v>
      </c>
      <c r="H19" s="228" t="s">
        <v>162</v>
      </c>
      <c r="I19" s="227" t="s">
        <v>5142</v>
      </c>
      <c r="J19" s="238">
        <v>24218</v>
      </c>
      <c r="K19" s="261">
        <f t="shared" ca="1" si="0"/>
        <v>58</v>
      </c>
      <c r="L19" s="261">
        <v>60</v>
      </c>
      <c r="M19" s="271" t="str">
        <f t="shared" si="1"/>
        <v>21 April 2026</v>
      </c>
      <c r="N19" s="149" t="s">
        <v>647</v>
      </c>
      <c r="O19" s="162" t="s">
        <v>5104</v>
      </c>
      <c r="P19" s="165" t="s">
        <v>233</v>
      </c>
    </row>
    <row r="20" spans="1:16" s="164" customFormat="1" ht="29.15" customHeight="1">
      <c r="A20" s="160">
        <v>16</v>
      </c>
      <c r="B20" s="208" t="s">
        <v>13</v>
      </c>
      <c r="C20" s="195" t="s">
        <v>3</v>
      </c>
      <c r="D20" s="237" t="s">
        <v>664</v>
      </c>
      <c r="E20" s="161" t="s">
        <v>125</v>
      </c>
      <c r="F20" s="186">
        <v>45474</v>
      </c>
      <c r="G20" s="160" t="s">
        <v>601</v>
      </c>
      <c r="H20" s="232" t="s">
        <v>221</v>
      </c>
      <c r="I20" s="226" t="s">
        <v>5144</v>
      </c>
      <c r="J20" s="238">
        <v>25308</v>
      </c>
      <c r="K20" s="235">
        <f t="shared" ca="1" si="0"/>
        <v>55</v>
      </c>
      <c r="L20" s="235">
        <v>60</v>
      </c>
      <c r="M20" s="240" t="str">
        <f t="shared" si="1"/>
        <v>15 April 2029</v>
      </c>
      <c r="N20" s="155" t="s">
        <v>648</v>
      </c>
      <c r="O20" s="274" t="s">
        <v>5086</v>
      </c>
      <c r="P20" s="165" t="s">
        <v>231</v>
      </c>
    </row>
    <row r="21" spans="1:16" s="164" customFormat="1" ht="29.15" customHeight="1">
      <c r="A21" s="160">
        <v>17</v>
      </c>
      <c r="B21" s="194" t="s">
        <v>25</v>
      </c>
      <c r="C21" s="195" t="s">
        <v>170</v>
      </c>
      <c r="D21" s="237" t="s">
        <v>663</v>
      </c>
      <c r="E21" s="175" t="s">
        <v>211</v>
      </c>
      <c r="F21" s="186">
        <v>44095</v>
      </c>
      <c r="G21" s="160" t="s">
        <v>347</v>
      </c>
      <c r="H21" s="231" t="s">
        <v>173</v>
      </c>
      <c r="I21" s="226" t="s">
        <v>5144</v>
      </c>
      <c r="J21" s="238">
        <v>26027</v>
      </c>
      <c r="K21" s="235">
        <f t="shared" ca="1" si="0"/>
        <v>53</v>
      </c>
      <c r="L21" s="235">
        <v>60</v>
      </c>
      <c r="M21" s="240" t="str">
        <f t="shared" si="1"/>
        <v>04 April 2031</v>
      </c>
      <c r="N21" s="156" t="s">
        <v>651</v>
      </c>
      <c r="O21" s="275" t="s">
        <v>5085</v>
      </c>
      <c r="P21" s="165" t="s">
        <v>229</v>
      </c>
    </row>
    <row r="22" spans="1:16" s="164" customFormat="1" ht="29.15" customHeight="1">
      <c r="A22" s="160">
        <v>18</v>
      </c>
      <c r="B22" s="194" t="s">
        <v>26</v>
      </c>
      <c r="C22" s="277" t="s">
        <v>10</v>
      </c>
      <c r="D22" s="237" t="s">
        <v>663</v>
      </c>
      <c r="E22" s="161" t="s">
        <v>48</v>
      </c>
      <c r="F22" s="186">
        <v>41001</v>
      </c>
      <c r="G22" s="160" t="s">
        <v>347</v>
      </c>
      <c r="H22" s="231" t="s">
        <v>163</v>
      </c>
      <c r="I22" s="226" t="s">
        <v>5144</v>
      </c>
      <c r="J22" s="238">
        <v>23905</v>
      </c>
      <c r="K22" s="260">
        <f t="shared" ca="1" si="0"/>
        <v>59</v>
      </c>
      <c r="L22" s="260">
        <v>60</v>
      </c>
      <c r="M22" s="272" t="str">
        <f t="shared" si="1"/>
        <v>12 Juni 2025</v>
      </c>
      <c r="N22" s="156" t="s">
        <v>653</v>
      </c>
      <c r="O22" s="275" t="s">
        <v>5091</v>
      </c>
      <c r="P22" s="165" t="s">
        <v>236</v>
      </c>
    </row>
    <row r="23" spans="1:16" s="164" customFormat="1" ht="29.15" customHeight="1">
      <c r="A23" s="160">
        <v>19</v>
      </c>
      <c r="B23" s="202" t="s">
        <v>58</v>
      </c>
      <c r="C23" s="191" t="s">
        <v>57</v>
      </c>
      <c r="D23" s="241" t="s">
        <v>663</v>
      </c>
      <c r="E23" s="172" t="s">
        <v>48</v>
      </c>
      <c r="F23" s="188">
        <v>45071</v>
      </c>
      <c r="G23" s="160" t="s">
        <v>602</v>
      </c>
      <c r="H23" s="227" t="s">
        <v>208</v>
      </c>
      <c r="I23" s="227" t="s">
        <v>5142</v>
      </c>
      <c r="J23" s="238">
        <v>30068</v>
      </c>
      <c r="K23" s="235">
        <f t="shared" ca="1" si="0"/>
        <v>42</v>
      </c>
      <c r="L23" s="235">
        <v>60</v>
      </c>
      <c r="M23" s="240" t="str">
        <f t="shared" si="1"/>
        <v>27 April 2042</v>
      </c>
      <c r="N23" s="147" t="s">
        <v>654</v>
      </c>
      <c r="O23" s="174" t="s">
        <v>5088</v>
      </c>
      <c r="P23" s="163" t="s">
        <v>250</v>
      </c>
    </row>
    <row r="24" spans="1:16" s="164" customFormat="1" ht="29.15" customHeight="1">
      <c r="A24" s="160">
        <v>20</v>
      </c>
      <c r="B24" s="192" t="s">
        <v>116</v>
      </c>
      <c r="C24" s="195" t="s">
        <v>212</v>
      </c>
      <c r="D24" s="237" t="s">
        <v>663</v>
      </c>
      <c r="E24" s="175" t="s">
        <v>49</v>
      </c>
      <c r="F24" s="187">
        <v>45124</v>
      </c>
      <c r="G24" s="160" t="s">
        <v>601</v>
      </c>
      <c r="H24" s="216" t="s">
        <v>210</v>
      </c>
      <c r="I24" s="224" t="s">
        <v>5142</v>
      </c>
      <c r="J24" s="238">
        <v>26911</v>
      </c>
      <c r="K24" s="235">
        <f t="shared" ca="1" si="0"/>
        <v>51</v>
      </c>
      <c r="L24" s="235">
        <v>60</v>
      </c>
      <c r="M24" s="240" t="str">
        <f t="shared" si="1"/>
        <v>04 September 2033</v>
      </c>
      <c r="N24" s="136" t="s">
        <v>5079</v>
      </c>
      <c r="O24" s="163" t="s">
        <v>5098</v>
      </c>
      <c r="P24" s="165" t="s">
        <v>299</v>
      </c>
    </row>
    <row r="25" spans="1:16">
      <c r="P25" s="333" t="s">
        <v>5147</v>
      </c>
    </row>
    <row r="26" spans="1:16">
      <c r="C26" s="1"/>
      <c r="D26" s="1"/>
      <c r="E26" s="1"/>
      <c r="F26" s="1"/>
    </row>
    <row r="27" spans="1:16">
      <c r="C27" s="1"/>
      <c r="D27" s="1"/>
      <c r="E27" s="1"/>
      <c r="F27" s="1"/>
    </row>
    <row r="28" spans="1:16">
      <c r="C28" s="1"/>
      <c r="D28" s="1"/>
      <c r="E28" s="1"/>
      <c r="F28" s="1"/>
    </row>
    <row r="29" spans="1:16">
      <c r="C29" s="1"/>
      <c r="D29" s="1"/>
      <c r="E29" s="1"/>
      <c r="F29" s="1"/>
    </row>
    <row r="30" spans="1:16">
      <c r="C30" s="1"/>
      <c r="D30" s="1"/>
      <c r="E30" s="1"/>
      <c r="F30" s="1"/>
    </row>
    <row r="31" spans="1:16">
      <c r="C31" s="1"/>
      <c r="D31" s="1"/>
      <c r="E31" s="1"/>
      <c r="F31" s="1"/>
    </row>
    <row r="32" spans="1:16">
      <c r="C32" s="1"/>
      <c r="D32" s="1"/>
      <c r="E32" s="1"/>
      <c r="F32" s="1"/>
    </row>
    <row r="33" spans="3:16">
      <c r="C33" s="1"/>
      <c r="D33" s="1"/>
      <c r="E33" s="1"/>
      <c r="F33" s="1"/>
    </row>
    <row r="34" spans="3:16">
      <c r="C34" s="1"/>
      <c r="D34" s="1"/>
      <c r="E34" s="1"/>
      <c r="F34" s="1"/>
    </row>
    <row r="35" spans="3:16">
      <c r="C35" s="1"/>
      <c r="D35" s="1"/>
      <c r="E35" s="1"/>
      <c r="F35" s="1"/>
    </row>
    <row r="36" spans="3:16">
      <c r="C36" s="1"/>
      <c r="D36" s="1"/>
      <c r="E36" s="1"/>
      <c r="F36" s="1"/>
    </row>
    <row r="37" spans="3:16">
      <c r="C37" s="1"/>
      <c r="D37" s="1"/>
      <c r="E37" s="1"/>
      <c r="F37" s="1"/>
    </row>
    <row r="38" spans="3:16" s="1" customFormat="1">
      <c r="H38" s="185"/>
      <c r="I38" s="185"/>
      <c r="J38" s="185"/>
      <c r="K38"/>
      <c r="L38"/>
      <c r="M38"/>
      <c r="N38"/>
      <c r="O38"/>
      <c r="P38"/>
    </row>
    <row r="39" spans="3:16" s="1" customFormat="1">
      <c r="H39" s="185"/>
      <c r="I39" s="185"/>
      <c r="J39" s="185"/>
      <c r="K39"/>
      <c r="L39"/>
      <c r="M39"/>
      <c r="N39"/>
      <c r="O39"/>
      <c r="P39"/>
    </row>
    <row r="40" spans="3:16" s="1" customFormat="1">
      <c r="H40" s="185"/>
      <c r="I40" s="185"/>
      <c r="J40" s="185"/>
      <c r="K40"/>
      <c r="L40"/>
      <c r="M40"/>
      <c r="N40"/>
      <c r="O40"/>
      <c r="P40"/>
    </row>
    <row r="41" spans="3:16" s="1" customFormat="1">
      <c r="H41" s="185"/>
      <c r="I41" s="185"/>
      <c r="J41" s="185"/>
      <c r="K41"/>
      <c r="L41"/>
      <c r="M41"/>
      <c r="N41"/>
      <c r="O41"/>
      <c r="P41"/>
    </row>
    <row r="42" spans="3:16" s="1" customFormat="1">
      <c r="H42" s="185"/>
      <c r="I42" s="185"/>
      <c r="J42" s="185"/>
      <c r="K42"/>
      <c r="L42"/>
      <c r="M42"/>
      <c r="N42"/>
      <c r="O42"/>
      <c r="P42"/>
    </row>
    <row r="43" spans="3:16" s="1" customFormat="1">
      <c r="H43" s="185"/>
      <c r="I43" s="185"/>
      <c r="J43" s="185"/>
      <c r="K43"/>
      <c r="L43"/>
      <c r="M43"/>
      <c r="N43"/>
      <c r="O43"/>
      <c r="P43"/>
    </row>
    <row r="44" spans="3:16" s="1" customFormat="1">
      <c r="H44" s="185"/>
      <c r="I44" s="185"/>
      <c r="J44" s="185"/>
      <c r="K44"/>
      <c r="L44"/>
      <c r="M44"/>
      <c r="N44"/>
      <c r="O44"/>
      <c r="P44"/>
    </row>
    <row r="45" spans="3:16" s="1" customFormat="1">
      <c r="H45" s="185"/>
      <c r="I45" s="185"/>
      <c r="J45" s="185"/>
      <c r="K45"/>
      <c r="L45"/>
      <c r="M45"/>
      <c r="N45"/>
      <c r="O45"/>
      <c r="P45"/>
    </row>
    <row r="46" spans="3:16" s="1" customFormat="1">
      <c r="H46" s="185"/>
      <c r="I46" s="185"/>
      <c r="J46" s="185"/>
      <c r="K46"/>
      <c r="L46"/>
      <c r="M46"/>
      <c r="N46"/>
      <c r="O46"/>
      <c r="P46"/>
    </row>
    <row r="47" spans="3:16" s="1" customFormat="1">
      <c r="H47" s="185"/>
      <c r="I47" s="185"/>
      <c r="J47" s="185"/>
      <c r="K47"/>
      <c r="L47"/>
      <c r="M47"/>
      <c r="N47"/>
      <c r="O47"/>
      <c r="P47"/>
    </row>
    <row r="48" spans="3:16" s="1" customFormat="1">
      <c r="H48" s="185"/>
      <c r="I48" s="185"/>
      <c r="J48" s="185"/>
      <c r="K48"/>
      <c r="L48"/>
      <c r="M48"/>
      <c r="N48"/>
      <c r="O48"/>
      <c r="P48"/>
    </row>
    <row r="49" spans="8:16" s="1" customFormat="1">
      <c r="H49" s="185"/>
      <c r="I49" s="185"/>
      <c r="J49" s="185"/>
      <c r="K49"/>
      <c r="L49"/>
      <c r="M49"/>
      <c r="N49"/>
      <c r="O49"/>
      <c r="P49"/>
    </row>
    <row r="50" spans="8:16" s="1" customFormat="1">
      <c r="H50" s="185"/>
      <c r="I50" s="185"/>
      <c r="J50" s="185"/>
      <c r="K50"/>
      <c r="L50"/>
      <c r="M50"/>
      <c r="N50"/>
      <c r="O50"/>
      <c r="P50"/>
    </row>
    <row r="51" spans="8:16" s="1" customFormat="1">
      <c r="H51" s="185"/>
      <c r="I51" s="185"/>
      <c r="J51" s="185"/>
      <c r="K51"/>
      <c r="L51"/>
      <c r="M51"/>
      <c r="N51"/>
      <c r="O51"/>
      <c r="P51"/>
    </row>
    <row r="52" spans="8:16" s="1" customFormat="1">
      <c r="H52" s="185"/>
      <c r="I52" s="185"/>
      <c r="J52" s="185"/>
      <c r="K52"/>
      <c r="L52"/>
      <c r="M52"/>
      <c r="N52"/>
      <c r="O52"/>
      <c r="P52"/>
    </row>
    <row r="53" spans="8:16" s="1" customFormat="1">
      <c r="H53" s="185"/>
      <c r="I53" s="185"/>
      <c r="J53" s="185"/>
      <c r="K53"/>
      <c r="L53"/>
      <c r="M53"/>
      <c r="N53"/>
      <c r="O53"/>
      <c r="P53"/>
    </row>
    <row r="54" spans="8:16" s="1" customFormat="1">
      <c r="H54" s="185"/>
      <c r="I54" s="185"/>
      <c r="J54" s="185"/>
      <c r="K54"/>
      <c r="L54"/>
      <c r="M54"/>
      <c r="N54"/>
      <c r="O54"/>
      <c r="P54"/>
    </row>
    <row r="55" spans="8:16" s="1" customFormat="1">
      <c r="H55" s="185"/>
      <c r="I55" s="185"/>
      <c r="J55" s="185"/>
      <c r="K55"/>
      <c r="L55"/>
      <c r="M55"/>
      <c r="N55"/>
      <c r="O55"/>
      <c r="P55"/>
    </row>
    <row r="56" spans="8:16" s="1" customFormat="1">
      <c r="H56" s="185"/>
      <c r="I56" s="185"/>
      <c r="J56" s="185"/>
      <c r="K56"/>
      <c r="L56"/>
      <c r="M56"/>
      <c r="N56"/>
      <c r="O56"/>
      <c r="P56"/>
    </row>
    <row r="57" spans="8:16" s="1" customFormat="1">
      <c r="H57" s="185"/>
      <c r="I57" s="185"/>
      <c r="J57" s="185"/>
      <c r="K57"/>
      <c r="L57"/>
      <c r="M57"/>
      <c r="N57"/>
      <c r="O57"/>
      <c r="P57"/>
    </row>
    <row r="58" spans="8:16" s="1" customFormat="1">
      <c r="H58" s="185"/>
      <c r="I58" s="185"/>
      <c r="J58" s="185"/>
      <c r="K58"/>
      <c r="L58"/>
      <c r="M58"/>
      <c r="N58"/>
      <c r="O58"/>
      <c r="P58"/>
    </row>
    <row r="59" spans="8:16" s="1" customFormat="1">
      <c r="H59" s="185"/>
      <c r="I59" s="185"/>
      <c r="J59" s="185"/>
      <c r="K59"/>
      <c r="L59"/>
      <c r="M59"/>
      <c r="N59"/>
      <c r="O59"/>
      <c r="P59"/>
    </row>
    <row r="60" spans="8:16" s="1" customFormat="1">
      <c r="H60" s="185"/>
      <c r="I60" s="185"/>
      <c r="J60" s="185"/>
      <c r="K60"/>
      <c r="L60"/>
      <c r="M60"/>
      <c r="N60"/>
      <c r="O60"/>
      <c r="P60"/>
    </row>
    <row r="61" spans="8:16" s="1" customFormat="1">
      <c r="H61" s="185"/>
      <c r="I61" s="185"/>
      <c r="J61" s="185"/>
      <c r="K61"/>
      <c r="L61"/>
      <c r="M61"/>
      <c r="N61"/>
      <c r="O61"/>
      <c r="P61"/>
    </row>
    <row r="62" spans="8:16" s="1" customFormat="1">
      <c r="H62" s="185"/>
      <c r="I62" s="185"/>
      <c r="J62" s="185"/>
      <c r="K62"/>
      <c r="L62"/>
      <c r="M62"/>
      <c r="N62"/>
      <c r="O62"/>
      <c r="P62"/>
    </row>
    <row r="63" spans="8:16" s="1" customFormat="1">
      <c r="H63" s="185"/>
      <c r="I63" s="185"/>
      <c r="J63" s="185"/>
      <c r="K63"/>
      <c r="L63"/>
      <c r="M63"/>
      <c r="N63"/>
      <c r="O63"/>
      <c r="P63"/>
    </row>
    <row r="64" spans="8:16" s="1" customFormat="1">
      <c r="H64" s="185"/>
      <c r="I64" s="185"/>
      <c r="J64" s="185"/>
      <c r="K64"/>
      <c r="L64"/>
      <c r="M64"/>
      <c r="N64"/>
      <c r="O64"/>
      <c r="P64"/>
    </row>
    <row r="65" spans="8:16" s="1" customFormat="1">
      <c r="H65" s="185"/>
      <c r="I65" s="185"/>
      <c r="J65" s="185"/>
      <c r="K65"/>
      <c r="L65"/>
      <c r="M65"/>
      <c r="N65"/>
      <c r="O65"/>
      <c r="P65"/>
    </row>
    <row r="66" spans="8:16" s="1" customFormat="1">
      <c r="H66" s="185"/>
      <c r="I66" s="185"/>
      <c r="J66" s="185"/>
      <c r="K66"/>
      <c r="L66"/>
      <c r="M66"/>
      <c r="N66"/>
      <c r="O66"/>
      <c r="P66"/>
    </row>
    <row r="67" spans="8:16" s="1" customFormat="1">
      <c r="H67" s="185"/>
      <c r="I67" s="185"/>
      <c r="J67" s="185"/>
      <c r="K67"/>
      <c r="L67"/>
      <c r="M67"/>
      <c r="N67"/>
      <c r="O67"/>
      <c r="P67"/>
    </row>
    <row r="68" spans="8:16" s="1" customFormat="1">
      <c r="H68" s="185"/>
      <c r="I68" s="185"/>
      <c r="J68" s="185"/>
      <c r="K68"/>
      <c r="L68"/>
      <c r="M68"/>
      <c r="N68"/>
      <c r="O68"/>
      <c r="P68"/>
    </row>
    <row r="69" spans="8:16" s="1" customFormat="1">
      <c r="H69" s="185"/>
      <c r="I69" s="185"/>
      <c r="J69" s="185"/>
      <c r="K69"/>
      <c r="L69"/>
      <c r="M69"/>
      <c r="N69"/>
      <c r="O69"/>
      <c r="P69"/>
    </row>
    <row r="70" spans="8:16" s="1" customFormat="1">
      <c r="H70" s="185"/>
      <c r="I70" s="185"/>
      <c r="J70" s="185"/>
      <c r="K70"/>
      <c r="L70"/>
      <c r="M70"/>
      <c r="N70"/>
      <c r="O70"/>
      <c r="P70"/>
    </row>
    <row r="71" spans="8:16" s="1" customFormat="1">
      <c r="H71" s="185"/>
      <c r="I71" s="185"/>
      <c r="J71" s="185"/>
      <c r="K71"/>
      <c r="L71"/>
      <c r="M71"/>
      <c r="N71"/>
      <c r="O71"/>
      <c r="P71"/>
    </row>
    <row r="72" spans="8:16" s="1" customFormat="1">
      <c r="H72" s="185"/>
      <c r="I72" s="185"/>
      <c r="J72" s="185"/>
      <c r="K72"/>
      <c r="L72"/>
      <c r="M72"/>
      <c r="N72"/>
      <c r="O72"/>
      <c r="P72"/>
    </row>
    <row r="73" spans="8:16" s="1" customFormat="1">
      <c r="H73" s="185"/>
      <c r="I73" s="185"/>
      <c r="J73" s="185"/>
      <c r="K73"/>
      <c r="L73"/>
      <c r="M73"/>
      <c r="N73"/>
      <c r="O73"/>
      <c r="P73"/>
    </row>
    <row r="74" spans="8:16" s="1" customFormat="1">
      <c r="H74" s="185"/>
      <c r="I74" s="185"/>
      <c r="J74" s="185"/>
      <c r="K74"/>
      <c r="L74"/>
      <c r="M74"/>
      <c r="N74"/>
      <c r="O74"/>
      <c r="P74"/>
    </row>
    <row r="75" spans="8:16" s="1" customFormat="1">
      <c r="H75" s="185"/>
      <c r="I75" s="185"/>
      <c r="J75" s="185"/>
      <c r="K75"/>
      <c r="L75"/>
      <c r="M75"/>
      <c r="N75"/>
      <c r="O75"/>
      <c r="P75"/>
    </row>
    <row r="76" spans="8:16" s="1" customFormat="1">
      <c r="H76" s="185"/>
      <c r="I76" s="185"/>
      <c r="J76" s="185"/>
      <c r="K76"/>
      <c r="L76"/>
      <c r="M76"/>
      <c r="N76"/>
      <c r="O76"/>
      <c r="P76"/>
    </row>
    <row r="77" spans="8:16" s="1" customFormat="1">
      <c r="H77" s="185"/>
      <c r="I77" s="185"/>
      <c r="J77" s="185"/>
      <c r="K77"/>
      <c r="L77"/>
      <c r="M77"/>
      <c r="N77"/>
      <c r="O77"/>
      <c r="P77"/>
    </row>
    <row r="78" spans="8:16" s="1" customFormat="1">
      <c r="H78" s="185"/>
      <c r="I78" s="185"/>
      <c r="J78" s="185"/>
      <c r="K78"/>
      <c r="L78"/>
      <c r="M78"/>
      <c r="N78"/>
      <c r="O78"/>
      <c r="P78"/>
    </row>
    <row r="79" spans="8:16" s="1" customFormat="1">
      <c r="H79" s="185"/>
      <c r="I79" s="185"/>
      <c r="J79" s="185"/>
      <c r="K79"/>
      <c r="L79"/>
      <c r="M79"/>
      <c r="N79"/>
      <c r="O79"/>
      <c r="P79"/>
    </row>
    <row r="80" spans="8:16" s="1" customFormat="1">
      <c r="H80" s="185"/>
      <c r="I80" s="185"/>
      <c r="J80" s="185"/>
      <c r="K80"/>
      <c r="L80"/>
      <c r="M80"/>
      <c r="N80"/>
      <c r="O80"/>
      <c r="P80"/>
    </row>
    <row r="81" spans="8:16" s="1" customFormat="1">
      <c r="H81" s="185"/>
      <c r="I81" s="185"/>
      <c r="J81" s="185"/>
      <c r="K81"/>
      <c r="L81"/>
      <c r="M81"/>
      <c r="N81"/>
      <c r="O81"/>
      <c r="P81"/>
    </row>
    <row r="82" spans="8:16" s="1" customFormat="1">
      <c r="H82" s="185"/>
      <c r="I82" s="185"/>
      <c r="J82" s="185"/>
      <c r="K82"/>
      <c r="L82"/>
      <c r="M82"/>
      <c r="N82"/>
      <c r="O82"/>
      <c r="P82"/>
    </row>
    <row r="83" spans="8:16" s="1" customFormat="1">
      <c r="H83" s="185"/>
      <c r="I83" s="185"/>
      <c r="J83" s="185"/>
      <c r="K83"/>
      <c r="L83"/>
      <c r="M83"/>
      <c r="N83"/>
      <c r="O83"/>
      <c r="P83"/>
    </row>
    <row r="84" spans="8:16" s="1" customFormat="1">
      <c r="H84" s="185"/>
      <c r="I84" s="185"/>
      <c r="J84" s="185"/>
      <c r="K84"/>
      <c r="L84"/>
      <c r="M84"/>
      <c r="N84"/>
      <c r="O84"/>
      <c r="P84"/>
    </row>
    <row r="85" spans="8:16" s="1" customFormat="1">
      <c r="H85" s="185"/>
      <c r="I85" s="185"/>
      <c r="J85" s="185"/>
      <c r="K85"/>
      <c r="L85"/>
      <c r="M85"/>
      <c r="N85"/>
      <c r="O85"/>
      <c r="P85"/>
    </row>
    <row r="86" spans="8:16" s="1" customFormat="1">
      <c r="H86" s="185"/>
      <c r="I86" s="185"/>
      <c r="J86" s="185"/>
      <c r="K86"/>
      <c r="L86"/>
      <c r="M86"/>
      <c r="N86"/>
      <c r="O86"/>
      <c r="P86"/>
    </row>
    <row r="87" spans="8:16" s="1" customFormat="1">
      <c r="H87" s="185"/>
      <c r="I87" s="185"/>
      <c r="J87" s="185"/>
      <c r="K87"/>
      <c r="L87"/>
      <c r="M87"/>
      <c r="N87"/>
      <c r="O87"/>
      <c r="P87"/>
    </row>
    <row r="88" spans="8:16" s="1" customFormat="1">
      <c r="H88" s="185"/>
      <c r="I88" s="185"/>
      <c r="J88" s="185"/>
      <c r="K88"/>
      <c r="L88"/>
      <c r="M88"/>
      <c r="N88"/>
      <c r="O88"/>
      <c r="P88"/>
    </row>
    <row r="89" spans="8:16" s="1" customFormat="1">
      <c r="H89" s="185"/>
      <c r="I89" s="185"/>
      <c r="J89" s="185"/>
      <c r="K89"/>
      <c r="L89"/>
      <c r="M89"/>
      <c r="N89"/>
      <c r="O89"/>
      <c r="P89"/>
    </row>
    <row r="90" spans="8:16" s="1" customFormat="1">
      <c r="H90" s="185"/>
      <c r="I90" s="185"/>
      <c r="J90" s="185"/>
      <c r="K90"/>
      <c r="L90"/>
      <c r="M90"/>
      <c r="N90"/>
      <c r="O90"/>
      <c r="P90"/>
    </row>
    <row r="91" spans="8:16" s="1" customFormat="1">
      <c r="H91" s="185"/>
      <c r="I91" s="185"/>
      <c r="J91" s="185"/>
      <c r="K91"/>
      <c r="L91"/>
      <c r="M91"/>
      <c r="N91"/>
      <c r="O91"/>
      <c r="P91"/>
    </row>
    <row r="92" spans="8:16" s="1" customFormat="1">
      <c r="H92" s="185"/>
      <c r="I92" s="185"/>
      <c r="J92" s="185"/>
      <c r="K92"/>
      <c r="L92"/>
      <c r="M92"/>
      <c r="N92"/>
      <c r="O92"/>
      <c r="P92"/>
    </row>
    <row r="93" spans="8:16" s="1" customFormat="1">
      <c r="H93" s="185"/>
      <c r="I93" s="185"/>
      <c r="J93" s="185"/>
      <c r="K93"/>
      <c r="L93"/>
      <c r="M93"/>
      <c r="N93"/>
      <c r="O93"/>
      <c r="P93"/>
    </row>
    <row r="94" spans="8:16" s="1" customFormat="1">
      <c r="H94" s="185"/>
      <c r="I94" s="185"/>
      <c r="J94" s="185"/>
      <c r="K94"/>
      <c r="L94"/>
      <c r="M94"/>
      <c r="N94"/>
      <c r="O94"/>
      <c r="P94"/>
    </row>
    <row r="95" spans="8:16" s="1" customFormat="1">
      <c r="H95" s="185"/>
      <c r="I95" s="185"/>
      <c r="J95" s="185"/>
      <c r="K95"/>
      <c r="L95"/>
      <c r="M95"/>
      <c r="N95"/>
      <c r="O95"/>
      <c r="P95"/>
    </row>
    <row r="96" spans="8:16" s="1" customFormat="1">
      <c r="H96" s="185"/>
      <c r="I96" s="185"/>
      <c r="J96" s="185"/>
      <c r="K96"/>
      <c r="L96"/>
      <c r="M96"/>
      <c r="N96"/>
      <c r="O96"/>
      <c r="P96"/>
    </row>
    <row r="97" spans="8:16" s="1" customFormat="1">
      <c r="H97" s="185"/>
      <c r="I97" s="185"/>
      <c r="J97" s="185"/>
      <c r="K97"/>
      <c r="L97"/>
      <c r="M97"/>
      <c r="N97"/>
      <c r="O97"/>
      <c r="P97"/>
    </row>
    <row r="98" spans="8:16" s="1" customFormat="1">
      <c r="H98" s="185"/>
      <c r="I98" s="185"/>
      <c r="J98" s="185"/>
      <c r="K98"/>
      <c r="L98"/>
      <c r="M98"/>
      <c r="N98"/>
      <c r="O98"/>
      <c r="P98"/>
    </row>
    <row r="99" spans="8:16" s="1" customFormat="1">
      <c r="H99" s="185"/>
      <c r="I99" s="185"/>
      <c r="J99" s="185"/>
      <c r="K99"/>
      <c r="L99"/>
      <c r="M99"/>
      <c r="N99"/>
      <c r="O99"/>
      <c r="P99"/>
    </row>
    <row r="100" spans="8:16" s="1" customFormat="1">
      <c r="H100" s="185"/>
      <c r="I100" s="185"/>
      <c r="J100" s="185"/>
      <c r="K100"/>
      <c r="L100"/>
      <c r="M100"/>
      <c r="N100"/>
      <c r="O100"/>
      <c r="P100"/>
    </row>
    <row r="101" spans="8:16" s="1" customFormat="1">
      <c r="H101" s="185"/>
      <c r="I101" s="185"/>
      <c r="J101" s="185"/>
      <c r="K101"/>
      <c r="L101"/>
      <c r="M101"/>
      <c r="N101"/>
      <c r="O101"/>
      <c r="P101"/>
    </row>
    <row r="102" spans="8:16" s="1" customFormat="1">
      <c r="H102" s="185"/>
      <c r="I102" s="185"/>
      <c r="J102" s="185"/>
      <c r="K102"/>
      <c r="L102"/>
      <c r="M102"/>
      <c r="N102"/>
      <c r="O102"/>
      <c r="P102"/>
    </row>
    <row r="103" spans="8:16" s="1" customFormat="1">
      <c r="H103" s="185"/>
      <c r="I103" s="185"/>
      <c r="J103" s="185"/>
      <c r="K103"/>
      <c r="L103"/>
      <c r="M103"/>
      <c r="N103"/>
      <c r="O103"/>
      <c r="P103"/>
    </row>
    <row r="104" spans="8:16" s="1" customFormat="1">
      <c r="H104" s="185"/>
      <c r="I104" s="185"/>
      <c r="J104" s="185"/>
      <c r="K104"/>
      <c r="L104"/>
      <c r="M104"/>
      <c r="N104"/>
      <c r="O104"/>
      <c r="P104"/>
    </row>
    <row r="105" spans="8:16" s="1" customFormat="1">
      <c r="H105" s="185"/>
      <c r="I105" s="185"/>
      <c r="J105" s="185"/>
      <c r="K105"/>
      <c r="L105"/>
      <c r="M105"/>
      <c r="N105"/>
      <c r="O105"/>
      <c r="P105"/>
    </row>
    <row r="106" spans="8:16" s="1" customFormat="1">
      <c r="H106" s="185"/>
      <c r="I106" s="185"/>
      <c r="J106" s="185"/>
      <c r="K106"/>
      <c r="L106"/>
      <c r="M106"/>
      <c r="N106"/>
      <c r="O106"/>
      <c r="P106"/>
    </row>
    <row r="107" spans="8:16" s="1" customFormat="1">
      <c r="H107" s="185"/>
      <c r="I107" s="185"/>
      <c r="J107" s="185"/>
      <c r="K107"/>
      <c r="L107"/>
      <c r="M107"/>
      <c r="N107"/>
      <c r="O107"/>
      <c r="P107"/>
    </row>
    <row r="108" spans="8:16" s="1" customFormat="1">
      <c r="H108" s="185"/>
      <c r="I108" s="185"/>
      <c r="J108" s="185"/>
      <c r="K108"/>
      <c r="L108"/>
      <c r="M108"/>
      <c r="N108"/>
      <c r="O108"/>
      <c r="P108"/>
    </row>
    <row r="109" spans="8:16" s="1" customFormat="1">
      <c r="H109" s="185"/>
      <c r="I109" s="185"/>
      <c r="J109" s="185"/>
      <c r="K109"/>
      <c r="L109"/>
      <c r="M109"/>
      <c r="N109"/>
      <c r="O109"/>
      <c r="P109"/>
    </row>
    <row r="110" spans="8:16" s="1" customFormat="1">
      <c r="H110" s="185"/>
      <c r="I110" s="185"/>
      <c r="J110" s="185"/>
      <c r="K110"/>
      <c r="L110"/>
      <c r="M110"/>
      <c r="N110"/>
      <c r="O110"/>
      <c r="P110"/>
    </row>
    <row r="111" spans="8:16" s="1" customFormat="1">
      <c r="H111" s="185"/>
      <c r="I111" s="185"/>
      <c r="J111" s="185"/>
      <c r="K111"/>
      <c r="L111"/>
      <c r="M111"/>
      <c r="N111"/>
      <c r="O111"/>
      <c r="P111"/>
    </row>
    <row r="112" spans="8:16" s="1" customFormat="1">
      <c r="H112" s="185"/>
      <c r="I112" s="185"/>
      <c r="J112" s="185"/>
      <c r="K112"/>
      <c r="L112"/>
      <c r="M112"/>
      <c r="N112"/>
      <c r="O112"/>
      <c r="P112"/>
    </row>
    <row r="113" spans="8:16" s="1" customFormat="1">
      <c r="H113" s="185"/>
      <c r="I113" s="185"/>
      <c r="J113" s="185"/>
      <c r="K113"/>
      <c r="L113"/>
      <c r="M113"/>
      <c r="N113"/>
      <c r="O113"/>
      <c r="P113"/>
    </row>
    <row r="114" spans="8:16" s="1" customFormat="1">
      <c r="H114" s="185"/>
      <c r="I114" s="185"/>
      <c r="J114" s="185"/>
      <c r="K114"/>
      <c r="L114"/>
      <c r="M114"/>
      <c r="N114"/>
      <c r="O114"/>
      <c r="P114"/>
    </row>
    <row r="115" spans="8:16" s="1" customFormat="1">
      <c r="H115" s="185"/>
      <c r="I115" s="185"/>
      <c r="J115" s="185"/>
      <c r="K115"/>
      <c r="L115"/>
      <c r="M115"/>
      <c r="N115"/>
      <c r="O115"/>
      <c r="P115"/>
    </row>
    <row r="116" spans="8:16" s="1" customFormat="1">
      <c r="H116" s="185"/>
      <c r="I116" s="185"/>
      <c r="J116" s="185"/>
      <c r="K116"/>
      <c r="L116"/>
      <c r="M116"/>
      <c r="N116"/>
      <c r="O116"/>
      <c r="P116"/>
    </row>
    <row r="117" spans="8:16" s="1" customFormat="1">
      <c r="H117" s="185"/>
      <c r="I117" s="185"/>
      <c r="J117" s="185"/>
      <c r="K117"/>
      <c r="L117"/>
      <c r="M117"/>
      <c r="N117"/>
      <c r="O117"/>
      <c r="P117"/>
    </row>
    <row r="118" spans="8:16" s="1" customFormat="1">
      <c r="H118" s="185"/>
      <c r="I118" s="185"/>
      <c r="J118" s="185"/>
      <c r="K118"/>
      <c r="L118"/>
      <c r="M118"/>
      <c r="N118"/>
      <c r="O118"/>
      <c r="P118"/>
    </row>
    <row r="119" spans="8:16" s="1" customFormat="1">
      <c r="H119" s="185"/>
      <c r="I119" s="185"/>
      <c r="J119" s="185"/>
      <c r="K119"/>
      <c r="L119"/>
      <c r="M119"/>
      <c r="N119"/>
      <c r="O119"/>
      <c r="P119"/>
    </row>
    <row r="120" spans="8:16" s="1" customFormat="1">
      <c r="H120" s="185"/>
      <c r="I120" s="185"/>
      <c r="J120" s="185"/>
      <c r="K120"/>
      <c r="L120"/>
      <c r="M120"/>
      <c r="N120"/>
      <c r="O120"/>
      <c r="P120"/>
    </row>
    <row r="121" spans="8:16" s="1" customFormat="1">
      <c r="H121" s="185"/>
      <c r="I121" s="185"/>
      <c r="J121" s="185"/>
      <c r="K121"/>
      <c r="L121"/>
      <c r="M121"/>
      <c r="N121"/>
      <c r="O121"/>
      <c r="P121"/>
    </row>
    <row r="122" spans="8:16" s="1" customFormat="1">
      <c r="H122" s="185"/>
      <c r="I122" s="185"/>
      <c r="J122" s="185"/>
      <c r="K122"/>
      <c r="L122"/>
      <c r="M122"/>
      <c r="N122"/>
      <c r="O122"/>
      <c r="P122"/>
    </row>
    <row r="123" spans="8:16" s="1" customFormat="1">
      <c r="H123" s="185"/>
      <c r="I123" s="185"/>
      <c r="J123" s="185"/>
      <c r="K123"/>
      <c r="L123"/>
      <c r="M123"/>
      <c r="N123"/>
      <c r="O123"/>
      <c r="P123"/>
    </row>
    <row r="124" spans="8:16" s="1" customFormat="1">
      <c r="H124" s="185"/>
      <c r="I124" s="185"/>
      <c r="J124" s="185"/>
      <c r="K124"/>
      <c r="L124"/>
      <c r="M124"/>
      <c r="N124"/>
      <c r="O124"/>
      <c r="P124"/>
    </row>
    <row r="125" spans="8:16" s="1" customFormat="1">
      <c r="H125" s="185"/>
      <c r="I125" s="185"/>
      <c r="J125" s="185"/>
      <c r="K125"/>
      <c r="L125"/>
      <c r="M125"/>
      <c r="N125"/>
      <c r="O125"/>
      <c r="P125"/>
    </row>
    <row r="126" spans="8:16" s="1" customFormat="1">
      <c r="H126" s="185"/>
      <c r="I126" s="185"/>
      <c r="J126" s="185"/>
      <c r="K126"/>
      <c r="L126"/>
      <c r="M126"/>
      <c r="N126"/>
      <c r="O126"/>
      <c r="P126"/>
    </row>
    <row r="127" spans="8:16" s="1" customFormat="1">
      <c r="H127" s="185"/>
      <c r="I127" s="185"/>
      <c r="J127" s="185"/>
      <c r="K127"/>
      <c r="L127"/>
      <c r="M127"/>
      <c r="N127"/>
      <c r="O127"/>
      <c r="P127"/>
    </row>
    <row r="128" spans="8:16" s="1" customFormat="1">
      <c r="H128" s="185"/>
      <c r="I128" s="185"/>
      <c r="J128" s="185"/>
      <c r="K128"/>
      <c r="L128"/>
      <c r="M128"/>
      <c r="N128"/>
      <c r="O128"/>
      <c r="P128"/>
    </row>
    <row r="129" spans="8:16" s="1" customFormat="1">
      <c r="H129" s="185"/>
      <c r="I129" s="185"/>
      <c r="J129" s="185"/>
      <c r="K129"/>
      <c r="L129"/>
      <c r="M129"/>
      <c r="N129"/>
      <c r="O129"/>
      <c r="P129"/>
    </row>
    <row r="130" spans="8:16" s="1" customFormat="1">
      <c r="H130" s="185"/>
      <c r="I130" s="185"/>
      <c r="J130" s="185"/>
      <c r="K130"/>
      <c r="L130"/>
      <c r="M130"/>
      <c r="N130"/>
      <c r="O130"/>
      <c r="P130"/>
    </row>
    <row r="131" spans="8:16" s="1" customFormat="1">
      <c r="H131" s="185"/>
      <c r="I131" s="185"/>
      <c r="J131" s="185"/>
      <c r="K131"/>
      <c r="L131"/>
      <c r="M131"/>
      <c r="N131"/>
      <c r="O131"/>
      <c r="P131"/>
    </row>
    <row r="132" spans="8:16" s="1" customFormat="1">
      <c r="H132" s="185"/>
      <c r="I132" s="185"/>
      <c r="J132" s="185"/>
      <c r="K132"/>
      <c r="L132"/>
      <c r="M132"/>
      <c r="N132"/>
      <c r="O132"/>
      <c r="P132"/>
    </row>
    <row r="133" spans="8:16" s="1" customFormat="1">
      <c r="H133" s="185"/>
      <c r="I133" s="185"/>
      <c r="J133" s="185"/>
      <c r="K133"/>
      <c r="L133"/>
      <c r="M133"/>
      <c r="N133"/>
      <c r="O133"/>
      <c r="P133"/>
    </row>
    <row r="134" spans="8:16" s="1" customFormat="1">
      <c r="H134" s="185"/>
      <c r="I134" s="185"/>
      <c r="J134" s="185"/>
      <c r="K134"/>
      <c r="L134"/>
      <c r="M134"/>
      <c r="N134"/>
      <c r="O134"/>
      <c r="P134"/>
    </row>
    <row r="135" spans="8:16" s="1" customFormat="1">
      <c r="H135" s="185"/>
      <c r="I135" s="185"/>
      <c r="J135" s="185"/>
      <c r="K135"/>
      <c r="L135"/>
      <c r="M135"/>
      <c r="N135"/>
      <c r="O135"/>
      <c r="P135"/>
    </row>
    <row r="136" spans="8:16" s="1" customFormat="1">
      <c r="H136" s="185"/>
      <c r="I136" s="185"/>
      <c r="J136" s="185"/>
      <c r="K136"/>
      <c r="L136"/>
      <c r="M136"/>
      <c r="N136"/>
      <c r="O136"/>
      <c r="P136"/>
    </row>
    <row r="137" spans="8:16" s="1" customFormat="1">
      <c r="H137" s="185"/>
      <c r="I137" s="185"/>
      <c r="J137" s="185"/>
      <c r="K137"/>
      <c r="L137"/>
      <c r="M137"/>
      <c r="N137"/>
      <c r="O137"/>
      <c r="P137"/>
    </row>
    <row r="138" spans="8:16" s="1" customFormat="1">
      <c r="H138" s="185"/>
      <c r="I138" s="185"/>
      <c r="J138" s="185"/>
      <c r="K138"/>
      <c r="L138"/>
      <c r="M138"/>
      <c r="N138"/>
      <c r="O138"/>
      <c r="P138"/>
    </row>
    <row r="139" spans="8:16" s="1" customFormat="1">
      <c r="H139" s="185"/>
      <c r="I139" s="185"/>
      <c r="J139" s="185"/>
      <c r="K139"/>
      <c r="L139"/>
      <c r="M139"/>
      <c r="N139"/>
      <c r="O139"/>
      <c r="P139"/>
    </row>
    <row r="140" spans="8:16" s="1" customFormat="1">
      <c r="H140" s="185"/>
      <c r="I140" s="185"/>
      <c r="J140" s="185"/>
      <c r="K140"/>
      <c r="L140"/>
      <c r="M140"/>
      <c r="N140"/>
      <c r="O140"/>
      <c r="P140"/>
    </row>
    <row r="141" spans="8:16" s="1" customFormat="1">
      <c r="H141" s="185"/>
      <c r="I141" s="185"/>
      <c r="J141" s="185"/>
      <c r="K141"/>
      <c r="L141"/>
      <c r="M141"/>
      <c r="N141"/>
      <c r="O141"/>
      <c r="P141"/>
    </row>
    <row r="142" spans="8:16" s="1" customFormat="1">
      <c r="H142" s="185"/>
      <c r="I142" s="185"/>
      <c r="J142" s="185"/>
      <c r="K142"/>
      <c r="L142"/>
      <c r="M142"/>
      <c r="N142"/>
      <c r="O142"/>
      <c r="P142"/>
    </row>
    <row r="143" spans="8:16" s="1" customFormat="1">
      <c r="H143" s="185"/>
      <c r="I143" s="185"/>
      <c r="J143" s="185"/>
      <c r="K143"/>
      <c r="L143"/>
      <c r="M143"/>
      <c r="N143"/>
      <c r="O143"/>
      <c r="P143"/>
    </row>
    <row r="144" spans="8:16" s="1" customFormat="1">
      <c r="H144" s="185"/>
      <c r="I144" s="185"/>
      <c r="J144" s="185"/>
      <c r="K144"/>
      <c r="L144"/>
      <c r="M144"/>
      <c r="N144"/>
      <c r="O144"/>
      <c r="P144"/>
    </row>
    <row r="145" spans="8:16" s="1" customFormat="1">
      <c r="H145" s="185"/>
      <c r="I145" s="185"/>
      <c r="J145" s="185"/>
      <c r="K145"/>
      <c r="L145"/>
      <c r="M145"/>
      <c r="N145"/>
      <c r="O145"/>
      <c r="P145"/>
    </row>
    <row r="146" spans="8:16" s="1" customFormat="1">
      <c r="H146" s="185"/>
      <c r="I146" s="185"/>
      <c r="J146" s="185"/>
      <c r="K146"/>
      <c r="L146"/>
      <c r="M146"/>
      <c r="N146"/>
      <c r="O146"/>
      <c r="P146"/>
    </row>
    <row r="147" spans="8:16" s="1" customFormat="1">
      <c r="H147" s="185"/>
      <c r="I147" s="185"/>
      <c r="J147" s="185"/>
      <c r="K147"/>
      <c r="L147"/>
      <c r="M147"/>
      <c r="N147"/>
      <c r="O147"/>
      <c r="P147"/>
    </row>
    <row r="148" spans="8:16" s="1" customFormat="1">
      <c r="H148" s="185"/>
      <c r="I148" s="185"/>
      <c r="J148" s="185"/>
      <c r="K148"/>
      <c r="L148"/>
      <c r="M148"/>
      <c r="N148"/>
      <c r="O148"/>
      <c r="P148"/>
    </row>
    <row r="149" spans="8:16" s="1" customFormat="1">
      <c r="H149" s="185"/>
      <c r="I149" s="185"/>
      <c r="J149" s="185"/>
      <c r="K149"/>
      <c r="L149"/>
      <c r="M149"/>
      <c r="N149"/>
      <c r="O149"/>
      <c r="P149"/>
    </row>
    <row r="150" spans="8:16" s="1" customFormat="1">
      <c r="H150" s="185"/>
      <c r="I150" s="185"/>
      <c r="J150" s="185"/>
      <c r="K150"/>
      <c r="L150"/>
      <c r="M150"/>
      <c r="N150"/>
      <c r="O150"/>
      <c r="P150"/>
    </row>
    <row r="151" spans="8:16" s="1" customFormat="1">
      <c r="H151" s="185"/>
      <c r="I151" s="185"/>
      <c r="J151" s="185"/>
      <c r="K151"/>
      <c r="L151"/>
      <c r="M151"/>
      <c r="N151"/>
      <c r="O151"/>
      <c r="P151"/>
    </row>
    <row r="152" spans="8:16" s="1" customFormat="1">
      <c r="H152" s="185"/>
      <c r="I152" s="185"/>
      <c r="J152" s="185"/>
      <c r="K152"/>
      <c r="L152"/>
      <c r="M152"/>
      <c r="N152"/>
      <c r="O152"/>
      <c r="P152"/>
    </row>
    <row r="153" spans="8:16" s="1" customFormat="1">
      <c r="H153" s="185"/>
      <c r="I153" s="185"/>
      <c r="J153" s="185"/>
      <c r="K153"/>
      <c r="L153"/>
      <c r="M153"/>
      <c r="N153"/>
      <c r="O153"/>
      <c r="P153"/>
    </row>
    <row r="154" spans="8:16" s="1" customFormat="1">
      <c r="H154" s="185"/>
      <c r="I154" s="185"/>
      <c r="J154" s="185"/>
      <c r="K154"/>
      <c r="L154"/>
      <c r="M154"/>
      <c r="N154"/>
      <c r="O154"/>
      <c r="P154"/>
    </row>
    <row r="155" spans="8:16" s="1" customFormat="1">
      <c r="H155" s="185"/>
      <c r="I155" s="185"/>
      <c r="J155" s="185"/>
      <c r="K155"/>
      <c r="L155"/>
      <c r="M155"/>
      <c r="N155"/>
      <c r="O155"/>
      <c r="P155"/>
    </row>
    <row r="156" spans="8:16" s="1" customFormat="1">
      <c r="H156" s="185"/>
      <c r="I156" s="185"/>
      <c r="J156" s="185"/>
      <c r="K156"/>
      <c r="L156"/>
      <c r="M156"/>
      <c r="N156"/>
      <c r="O156"/>
      <c r="P156"/>
    </row>
    <row r="157" spans="8:16" s="1" customFormat="1">
      <c r="H157" s="185"/>
      <c r="I157" s="185"/>
      <c r="J157" s="185"/>
      <c r="K157"/>
      <c r="L157"/>
      <c r="M157"/>
      <c r="N157"/>
      <c r="O157"/>
      <c r="P157"/>
    </row>
    <row r="158" spans="8:16" s="1" customFormat="1">
      <c r="H158" s="185"/>
      <c r="I158" s="185"/>
      <c r="J158" s="185"/>
      <c r="K158"/>
      <c r="L158"/>
      <c r="M158"/>
      <c r="N158"/>
      <c r="O158"/>
      <c r="P158"/>
    </row>
    <row r="159" spans="8:16" s="1" customFormat="1">
      <c r="H159" s="185"/>
      <c r="I159" s="185"/>
      <c r="J159" s="185"/>
      <c r="K159"/>
      <c r="L159"/>
      <c r="M159"/>
      <c r="N159"/>
      <c r="O159"/>
      <c r="P159"/>
    </row>
    <row r="160" spans="8:16" s="1" customFormat="1">
      <c r="H160" s="185"/>
      <c r="I160" s="185"/>
      <c r="J160" s="185"/>
      <c r="K160"/>
      <c r="L160"/>
      <c r="M160"/>
      <c r="N160"/>
      <c r="O160"/>
      <c r="P160"/>
    </row>
    <row r="161" spans="8:16" s="1" customFormat="1">
      <c r="H161" s="185"/>
      <c r="I161" s="185"/>
      <c r="J161" s="185"/>
      <c r="K161"/>
      <c r="L161"/>
      <c r="M161"/>
      <c r="N161"/>
      <c r="O161"/>
      <c r="P161"/>
    </row>
    <row r="162" spans="8:16" s="1" customFormat="1">
      <c r="H162" s="185"/>
      <c r="I162" s="185"/>
      <c r="J162" s="185"/>
      <c r="K162"/>
      <c r="L162"/>
      <c r="M162"/>
      <c r="N162"/>
      <c r="O162"/>
      <c r="P162"/>
    </row>
    <row r="163" spans="8:16" s="1" customFormat="1">
      <c r="H163" s="185"/>
      <c r="I163" s="185"/>
      <c r="J163" s="185"/>
      <c r="K163"/>
      <c r="L163"/>
      <c r="M163"/>
      <c r="N163"/>
      <c r="O163"/>
      <c r="P163"/>
    </row>
    <row r="164" spans="8:16" s="1" customFormat="1">
      <c r="H164" s="185"/>
      <c r="I164" s="185"/>
      <c r="J164" s="185"/>
      <c r="K164"/>
      <c r="L164"/>
      <c r="M164"/>
      <c r="N164"/>
      <c r="O164"/>
      <c r="P164"/>
    </row>
    <row r="165" spans="8:16" s="1" customFormat="1">
      <c r="H165" s="185"/>
      <c r="I165" s="185"/>
      <c r="J165" s="185"/>
      <c r="K165"/>
      <c r="L165"/>
      <c r="M165"/>
      <c r="N165"/>
      <c r="O165"/>
      <c r="P165"/>
    </row>
    <row r="166" spans="8:16" s="1" customFormat="1">
      <c r="H166" s="185"/>
      <c r="I166" s="185"/>
      <c r="J166" s="185"/>
      <c r="K166"/>
      <c r="L166"/>
      <c r="M166"/>
      <c r="N166"/>
      <c r="O166"/>
      <c r="P166"/>
    </row>
    <row r="167" spans="8:16" s="1" customFormat="1">
      <c r="H167" s="185"/>
      <c r="I167" s="185"/>
      <c r="J167" s="185"/>
      <c r="K167"/>
      <c r="L167"/>
      <c r="M167"/>
      <c r="N167"/>
      <c r="O167"/>
      <c r="P167"/>
    </row>
    <row r="168" spans="8:16" s="1" customFormat="1">
      <c r="H168" s="185"/>
      <c r="I168" s="185"/>
      <c r="J168" s="185"/>
      <c r="K168"/>
      <c r="L168"/>
      <c r="M168"/>
      <c r="N168"/>
      <c r="O168"/>
      <c r="P168"/>
    </row>
    <row r="169" spans="8:16" s="1" customFormat="1">
      <c r="H169" s="185"/>
      <c r="I169" s="185"/>
      <c r="J169" s="185"/>
      <c r="K169"/>
      <c r="L169"/>
      <c r="M169"/>
      <c r="N169"/>
      <c r="O169"/>
      <c r="P169"/>
    </row>
    <row r="170" spans="8:16" s="1" customFormat="1">
      <c r="H170" s="185"/>
      <c r="I170" s="185"/>
      <c r="J170" s="185"/>
      <c r="K170"/>
      <c r="L170"/>
      <c r="M170"/>
      <c r="N170"/>
      <c r="O170"/>
      <c r="P170"/>
    </row>
    <row r="171" spans="8:16" s="1" customFormat="1">
      <c r="H171" s="185"/>
      <c r="I171" s="185"/>
      <c r="J171" s="185"/>
      <c r="K171"/>
      <c r="L171"/>
      <c r="M171"/>
      <c r="N171"/>
      <c r="O171"/>
      <c r="P171"/>
    </row>
    <row r="172" spans="8:16" s="1" customFormat="1">
      <c r="H172" s="185"/>
      <c r="I172" s="185"/>
      <c r="J172" s="185"/>
      <c r="K172"/>
      <c r="L172"/>
      <c r="M172"/>
      <c r="N172"/>
      <c r="O172"/>
      <c r="P172"/>
    </row>
    <row r="173" spans="8:16" s="1" customFormat="1">
      <c r="H173" s="185"/>
      <c r="I173" s="185"/>
      <c r="J173" s="185"/>
      <c r="K173"/>
      <c r="L173"/>
      <c r="M173"/>
      <c r="N173"/>
      <c r="O173"/>
      <c r="P173"/>
    </row>
    <row r="174" spans="8:16" s="1" customFormat="1">
      <c r="H174" s="185"/>
      <c r="I174" s="185"/>
      <c r="J174" s="185"/>
      <c r="K174"/>
      <c r="L174"/>
      <c r="M174"/>
      <c r="N174"/>
      <c r="O174"/>
      <c r="P174"/>
    </row>
    <row r="175" spans="8:16" s="1" customFormat="1">
      <c r="H175" s="185"/>
      <c r="I175" s="185"/>
      <c r="J175" s="185"/>
      <c r="K175"/>
      <c r="L175"/>
      <c r="M175"/>
      <c r="N175"/>
      <c r="O175"/>
      <c r="P175"/>
    </row>
    <row r="176" spans="8:16" s="1" customFormat="1">
      <c r="H176" s="185"/>
      <c r="I176" s="185"/>
      <c r="J176" s="185"/>
      <c r="K176"/>
      <c r="L176"/>
      <c r="M176"/>
      <c r="N176"/>
      <c r="O176"/>
      <c r="P176"/>
    </row>
    <row r="177" spans="8:16" s="1" customFormat="1">
      <c r="H177" s="185"/>
      <c r="I177" s="185"/>
      <c r="J177" s="185"/>
      <c r="K177"/>
      <c r="L177"/>
      <c r="M177"/>
      <c r="N177"/>
      <c r="O177"/>
      <c r="P177"/>
    </row>
    <row r="178" spans="8:16" s="1" customFormat="1">
      <c r="H178" s="185"/>
      <c r="I178" s="185"/>
      <c r="J178" s="185"/>
      <c r="K178"/>
      <c r="L178"/>
      <c r="M178"/>
      <c r="N178"/>
      <c r="O178"/>
      <c r="P178"/>
    </row>
    <row r="179" spans="8:16" s="1" customFormat="1">
      <c r="H179" s="185"/>
      <c r="I179" s="185"/>
      <c r="J179" s="185"/>
      <c r="K179"/>
      <c r="L179"/>
      <c r="M179"/>
      <c r="N179"/>
      <c r="O179"/>
      <c r="P179"/>
    </row>
    <row r="180" spans="8:16" s="1" customFormat="1">
      <c r="H180" s="185"/>
      <c r="I180" s="185"/>
      <c r="J180" s="185"/>
      <c r="K180"/>
      <c r="L180"/>
      <c r="M180"/>
      <c r="N180"/>
      <c r="O180"/>
      <c r="P180"/>
    </row>
    <row r="181" spans="8:16" s="1" customFormat="1">
      <c r="H181" s="185"/>
      <c r="I181" s="185"/>
      <c r="J181" s="185"/>
      <c r="K181"/>
      <c r="L181"/>
      <c r="M181"/>
      <c r="N181"/>
      <c r="O181"/>
      <c r="P181"/>
    </row>
    <row r="182" spans="8:16" s="1" customFormat="1">
      <c r="H182" s="185"/>
      <c r="I182" s="185"/>
      <c r="J182" s="185"/>
      <c r="K182"/>
      <c r="L182"/>
      <c r="M182"/>
      <c r="N182"/>
      <c r="O182"/>
      <c r="P182"/>
    </row>
    <row r="183" spans="8:16" s="1" customFormat="1">
      <c r="H183" s="185"/>
      <c r="I183" s="185"/>
      <c r="J183" s="185"/>
      <c r="K183"/>
      <c r="L183"/>
      <c r="M183"/>
      <c r="N183"/>
      <c r="O183"/>
      <c r="P183"/>
    </row>
    <row r="184" spans="8:16" s="1" customFormat="1">
      <c r="H184" s="185"/>
      <c r="I184" s="185"/>
      <c r="J184" s="185"/>
      <c r="K184"/>
      <c r="L184"/>
      <c r="M184"/>
      <c r="N184"/>
      <c r="O184"/>
      <c r="P184"/>
    </row>
    <row r="185" spans="8:16" s="1" customFormat="1">
      <c r="H185" s="185"/>
      <c r="I185" s="185"/>
      <c r="J185" s="185"/>
      <c r="K185"/>
      <c r="L185"/>
      <c r="M185"/>
      <c r="N185"/>
      <c r="O185"/>
      <c r="P185"/>
    </row>
    <row r="186" spans="8:16" s="1" customFormat="1">
      <c r="H186" s="185"/>
      <c r="I186" s="185"/>
      <c r="J186" s="185"/>
      <c r="K186"/>
      <c r="L186"/>
      <c r="M186"/>
      <c r="N186"/>
      <c r="O186"/>
      <c r="P186"/>
    </row>
    <row r="187" spans="8:16" s="1" customFormat="1">
      <c r="H187" s="185"/>
      <c r="I187" s="185"/>
      <c r="J187" s="185"/>
      <c r="K187"/>
      <c r="L187"/>
      <c r="M187"/>
      <c r="N187"/>
      <c r="O187"/>
      <c r="P187"/>
    </row>
    <row r="188" spans="8:16" s="1" customFormat="1">
      <c r="H188" s="185"/>
      <c r="I188" s="185"/>
      <c r="J188" s="185"/>
      <c r="K188"/>
      <c r="L188"/>
      <c r="M188"/>
      <c r="N188"/>
      <c r="O188"/>
      <c r="P188"/>
    </row>
    <row r="189" spans="8:16" s="1" customFormat="1">
      <c r="H189" s="185"/>
      <c r="I189" s="185"/>
      <c r="J189" s="185"/>
      <c r="K189"/>
      <c r="L189"/>
      <c r="M189"/>
      <c r="N189"/>
      <c r="O189"/>
      <c r="P189"/>
    </row>
    <row r="190" spans="8:16" s="1" customFormat="1">
      <c r="H190" s="185"/>
      <c r="I190" s="185"/>
      <c r="J190" s="185"/>
      <c r="K190"/>
      <c r="L190"/>
      <c r="M190"/>
      <c r="N190"/>
      <c r="O190"/>
      <c r="P190"/>
    </row>
    <row r="191" spans="8:16" s="1" customFormat="1">
      <c r="H191" s="185"/>
      <c r="I191" s="185"/>
      <c r="J191" s="185"/>
      <c r="K191"/>
      <c r="L191"/>
      <c r="M191"/>
      <c r="N191"/>
      <c r="O191"/>
      <c r="P191"/>
    </row>
    <row r="192" spans="8:16" s="1" customFormat="1">
      <c r="H192" s="185"/>
      <c r="I192" s="185"/>
      <c r="J192" s="185"/>
      <c r="K192"/>
      <c r="L192"/>
      <c r="M192"/>
      <c r="N192"/>
      <c r="O192"/>
      <c r="P192"/>
    </row>
    <row r="193" spans="8:16" s="1" customFormat="1">
      <c r="H193" s="185"/>
      <c r="I193" s="185"/>
      <c r="J193" s="185"/>
      <c r="K193"/>
      <c r="L193"/>
      <c r="M193"/>
      <c r="N193"/>
      <c r="O193"/>
      <c r="P193"/>
    </row>
    <row r="194" spans="8:16" s="1" customFormat="1">
      <c r="H194" s="185"/>
      <c r="I194" s="185"/>
      <c r="J194" s="185"/>
      <c r="K194"/>
      <c r="L194"/>
      <c r="M194"/>
      <c r="N194"/>
      <c r="O194"/>
      <c r="P194"/>
    </row>
    <row r="195" spans="8:16" s="1" customFormat="1">
      <c r="H195" s="185"/>
      <c r="I195" s="185"/>
      <c r="J195" s="185"/>
      <c r="K195"/>
      <c r="L195"/>
      <c r="M195"/>
      <c r="N195"/>
      <c r="O195"/>
      <c r="P195"/>
    </row>
    <row r="196" spans="8:16" s="1" customFormat="1">
      <c r="H196" s="185"/>
      <c r="I196" s="185"/>
      <c r="J196" s="185"/>
      <c r="K196"/>
      <c r="L196"/>
      <c r="M196"/>
      <c r="N196"/>
      <c r="O196"/>
      <c r="P196"/>
    </row>
    <row r="197" spans="8:16" s="1" customFormat="1">
      <c r="H197" s="185"/>
      <c r="I197" s="185"/>
      <c r="J197" s="185"/>
      <c r="K197"/>
      <c r="L197"/>
      <c r="M197"/>
      <c r="N197"/>
      <c r="O197"/>
      <c r="P197"/>
    </row>
    <row r="198" spans="8:16" s="1" customFormat="1">
      <c r="H198" s="185"/>
      <c r="I198" s="185"/>
      <c r="J198" s="185"/>
      <c r="K198"/>
      <c r="L198"/>
      <c r="M198"/>
      <c r="N198"/>
      <c r="O198"/>
      <c r="P198"/>
    </row>
    <row r="199" spans="8:16" s="1" customFormat="1">
      <c r="H199" s="185"/>
      <c r="I199" s="185"/>
      <c r="J199" s="185"/>
      <c r="K199"/>
      <c r="L199"/>
      <c r="M199"/>
      <c r="N199"/>
      <c r="O199"/>
      <c r="P199"/>
    </row>
    <row r="200" spans="8:16" s="1" customFormat="1">
      <c r="H200" s="185"/>
      <c r="I200" s="185"/>
      <c r="J200" s="185"/>
      <c r="K200"/>
      <c r="L200"/>
      <c r="M200"/>
      <c r="N200"/>
      <c r="O200"/>
      <c r="P200"/>
    </row>
    <row r="201" spans="8:16" s="1" customFormat="1">
      <c r="H201" s="185"/>
      <c r="I201" s="185"/>
      <c r="J201" s="185"/>
      <c r="K201"/>
      <c r="L201"/>
      <c r="M201"/>
      <c r="N201"/>
      <c r="O201"/>
      <c r="P201"/>
    </row>
    <row r="202" spans="8:16" s="1" customFormat="1">
      <c r="H202" s="185"/>
      <c r="I202" s="185"/>
      <c r="J202" s="185"/>
      <c r="K202"/>
      <c r="L202"/>
      <c r="M202"/>
      <c r="N202"/>
      <c r="O202"/>
      <c r="P202"/>
    </row>
    <row r="203" spans="8:16" s="1" customFormat="1">
      <c r="H203" s="185"/>
      <c r="I203" s="185"/>
      <c r="J203" s="185"/>
      <c r="K203"/>
      <c r="L203"/>
      <c r="M203"/>
      <c r="N203"/>
      <c r="O203"/>
      <c r="P203"/>
    </row>
    <row r="204" spans="8:16" s="1" customFormat="1">
      <c r="H204" s="185"/>
      <c r="I204" s="185"/>
      <c r="J204" s="185"/>
      <c r="K204"/>
      <c r="L204"/>
      <c r="M204"/>
      <c r="N204"/>
      <c r="O204"/>
      <c r="P204"/>
    </row>
    <row r="205" spans="8:16" s="1" customFormat="1">
      <c r="H205" s="185"/>
      <c r="I205" s="185"/>
      <c r="J205" s="185"/>
      <c r="K205"/>
      <c r="L205"/>
      <c r="M205"/>
      <c r="N205"/>
      <c r="O205"/>
      <c r="P205"/>
    </row>
    <row r="206" spans="8:16" s="1" customFormat="1">
      <c r="H206" s="185"/>
      <c r="I206" s="185"/>
      <c r="J206" s="185"/>
      <c r="K206"/>
      <c r="L206"/>
      <c r="M206"/>
      <c r="N206"/>
      <c r="O206"/>
      <c r="P206"/>
    </row>
    <row r="207" spans="8:16" s="1" customFormat="1">
      <c r="H207" s="185"/>
      <c r="I207" s="185"/>
      <c r="J207" s="185"/>
      <c r="K207"/>
      <c r="L207"/>
      <c r="M207"/>
      <c r="N207"/>
      <c r="O207"/>
      <c r="P207"/>
    </row>
    <row r="208" spans="8:16" s="1" customFormat="1">
      <c r="H208" s="185"/>
      <c r="I208" s="185"/>
      <c r="J208" s="185"/>
      <c r="K208"/>
      <c r="L208"/>
      <c r="M208"/>
      <c r="N208"/>
      <c r="O208"/>
      <c r="P208"/>
    </row>
    <row r="209" spans="8:16" s="1" customFormat="1">
      <c r="H209" s="185"/>
      <c r="I209" s="185"/>
      <c r="J209" s="185"/>
      <c r="K209"/>
      <c r="L209"/>
      <c r="M209"/>
      <c r="N209"/>
      <c r="O209"/>
      <c r="P209"/>
    </row>
    <row r="210" spans="8:16" s="1" customFormat="1">
      <c r="H210" s="185"/>
      <c r="I210" s="185"/>
      <c r="J210" s="185"/>
      <c r="K210"/>
      <c r="L210"/>
      <c r="M210"/>
      <c r="N210"/>
      <c r="O210"/>
      <c r="P210"/>
    </row>
    <row r="211" spans="8:16" s="1" customFormat="1">
      <c r="H211" s="185"/>
      <c r="I211" s="185"/>
      <c r="J211" s="185"/>
      <c r="K211"/>
      <c r="L211"/>
      <c r="M211"/>
      <c r="N211"/>
      <c r="O211"/>
      <c r="P211"/>
    </row>
    <row r="212" spans="8:16" s="1" customFormat="1">
      <c r="H212" s="185"/>
      <c r="I212" s="185"/>
      <c r="J212" s="185"/>
      <c r="K212"/>
      <c r="L212"/>
      <c r="M212"/>
      <c r="N212"/>
      <c r="O212"/>
      <c r="P212"/>
    </row>
    <row r="213" spans="8:16" s="1" customFormat="1">
      <c r="H213" s="185"/>
      <c r="I213" s="185"/>
      <c r="J213" s="185"/>
      <c r="K213"/>
      <c r="L213"/>
      <c r="M213"/>
      <c r="N213"/>
      <c r="O213"/>
      <c r="P213"/>
    </row>
    <row r="214" spans="8:16" s="1" customFormat="1">
      <c r="H214" s="185"/>
      <c r="I214" s="185"/>
      <c r="J214" s="185"/>
      <c r="K214"/>
      <c r="L214"/>
      <c r="M214"/>
      <c r="N214"/>
      <c r="O214"/>
      <c r="P214"/>
    </row>
    <row r="215" spans="8:16" s="1" customFormat="1">
      <c r="H215" s="185"/>
      <c r="I215" s="185"/>
      <c r="J215" s="185"/>
      <c r="K215"/>
      <c r="L215"/>
      <c r="M215"/>
      <c r="N215"/>
      <c r="O215"/>
      <c r="P215"/>
    </row>
    <row r="216" spans="8:16" s="1" customFormat="1">
      <c r="H216" s="185"/>
      <c r="I216" s="185"/>
      <c r="J216" s="185"/>
      <c r="K216"/>
      <c r="L216"/>
      <c r="M216"/>
      <c r="N216"/>
      <c r="O216"/>
      <c r="P216"/>
    </row>
    <row r="217" spans="8:16" s="1" customFormat="1">
      <c r="H217" s="185"/>
      <c r="I217" s="185"/>
      <c r="J217" s="185"/>
      <c r="K217"/>
      <c r="L217"/>
      <c r="M217"/>
      <c r="N217"/>
      <c r="O217"/>
      <c r="P217"/>
    </row>
    <row r="218" spans="8:16" s="1" customFormat="1">
      <c r="H218" s="185"/>
      <c r="I218" s="185"/>
      <c r="J218" s="185"/>
      <c r="K218"/>
      <c r="L218"/>
      <c r="M218"/>
      <c r="N218"/>
      <c r="O218"/>
      <c r="P218"/>
    </row>
    <row r="219" spans="8:16" s="1" customFormat="1">
      <c r="H219" s="185"/>
      <c r="I219" s="185"/>
      <c r="J219" s="185"/>
      <c r="K219"/>
      <c r="L219"/>
      <c r="M219"/>
      <c r="N219"/>
      <c r="O219"/>
      <c r="P219"/>
    </row>
    <row r="220" spans="8:16" s="1" customFormat="1">
      <c r="H220" s="185"/>
      <c r="I220" s="185"/>
      <c r="J220" s="185"/>
      <c r="K220"/>
      <c r="L220"/>
      <c r="M220"/>
      <c r="N220"/>
      <c r="O220"/>
      <c r="P220"/>
    </row>
    <row r="221" spans="8:16" s="1" customFormat="1">
      <c r="H221" s="185"/>
      <c r="I221" s="185"/>
      <c r="J221" s="185"/>
      <c r="K221"/>
      <c r="L221"/>
      <c r="M221"/>
      <c r="N221"/>
      <c r="O221"/>
      <c r="P221"/>
    </row>
    <row r="222" spans="8:16" s="1" customFormat="1">
      <c r="H222" s="185"/>
      <c r="I222" s="185"/>
      <c r="J222" s="185"/>
      <c r="K222"/>
      <c r="L222"/>
      <c r="M222"/>
      <c r="N222"/>
      <c r="O222"/>
      <c r="P222"/>
    </row>
    <row r="223" spans="8:16" s="1" customFormat="1">
      <c r="H223" s="185"/>
      <c r="I223" s="185"/>
      <c r="J223" s="185"/>
      <c r="K223"/>
      <c r="L223"/>
      <c r="M223"/>
      <c r="N223"/>
      <c r="O223"/>
      <c r="P223"/>
    </row>
    <row r="224" spans="8:16" s="1" customFormat="1">
      <c r="H224" s="185"/>
      <c r="I224" s="185"/>
      <c r="J224" s="185"/>
      <c r="K224"/>
      <c r="L224"/>
      <c r="M224"/>
      <c r="N224"/>
      <c r="O224"/>
      <c r="P224"/>
    </row>
    <row r="225" spans="8:16" s="1" customFormat="1">
      <c r="H225" s="185"/>
      <c r="I225" s="185"/>
      <c r="J225" s="185"/>
      <c r="K225"/>
      <c r="L225"/>
      <c r="M225"/>
      <c r="N225"/>
      <c r="O225"/>
      <c r="P225"/>
    </row>
    <row r="226" spans="8:16" s="1" customFormat="1">
      <c r="H226" s="185"/>
      <c r="I226" s="185"/>
      <c r="J226" s="185"/>
      <c r="K226"/>
      <c r="L226"/>
      <c r="M226"/>
      <c r="N226"/>
      <c r="O226"/>
      <c r="P226"/>
    </row>
    <row r="227" spans="8:16" s="1" customFormat="1">
      <c r="H227" s="185"/>
      <c r="I227" s="185"/>
      <c r="J227" s="185"/>
      <c r="K227"/>
      <c r="L227"/>
      <c r="M227"/>
      <c r="N227"/>
      <c r="O227"/>
      <c r="P227"/>
    </row>
    <row r="228" spans="8:16" s="1" customFormat="1">
      <c r="H228" s="185"/>
      <c r="I228" s="185"/>
      <c r="J228" s="185"/>
      <c r="K228"/>
      <c r="L228"/>
      <c r="M228"/>
      <c r="N228"/>
      <c r="O228"/>
      <c r="P228"/>
    </row>
    <row r="229" spans="8:16" s="1" customFormat="1">
      <c r="H229" s="185"/>
      <c r="I229" s="185"/>
      <c r="J229" s="185"/>
      <c r="K229"/>
      <c r="L229"/>
      <c r="M229"/>
      <c r="N229"/>
      <c r="O229"/>
      <c r="P229"/>
    </row>
    <row r="230" spans="8:16" s="1" customFormat="1">
      <c r="H230" s="185"/>
      <c r="I230" s="185"/>
      <c r="J230" s="185"/>
      <c r="K230"/>
      <c r="L230"/>
      <c r="M230"/>
      <c r="N230"/>
      <c r="O230"/>
      <c r="P230"/>
    </row>
    <row r="231" spans="8:16" s="1" customFormat="1">
      <c r="H231" s="185"/>
      <c r="I231" s="185"/>
      <c r="J231" s="185"/>
      <c r="K231"/>
      <c r="L231"/>
      <c r="M231"/>
      <c r="N231"/>
      <c r="O231"/>
      <c r="P231"/>
    </row>
    <row r="232" spans="8:16" s="1" customFormat="1">
      <c r="H232" s="185"/>
      <c r="I232" s="185"/>
      <c r="J232" s="185"/>
      <c r="K232"/>
      <c r="L232"/>
      <c r="M232"/>
      <c r="N232"/>
      <c r="O232"/>
      <c r="P232"/>
    </row>
    <row r="233" spans="8:16" s="1" customFormat="1">
      <c r="H233" s="185"/>
      <c r="I233" s="185"/>
      <c r="J233" s="185"/>
      <c r="K233"/>
      <c r="L233"/>
      <c r="M233"/>
      <c r="N233"/>
      <c r="O233"/>
      <c r="P233"/>
    </row>
    <row r="234" spans="8:16" s="1" customFormat="1">
      <c r="H234" s="185"/>
      <c r="I234" s="185"/>
      <c r="J234" s="185"/>
      <c r="K234"/>
      <c r="L234"/>
      <c r="M234"/>
      <c r="N234"/>
      <c r="O234"/>
      <c r="P234"/>
    </row>
    <row r="235" spans="8:16" s="1" customFormat="1">
      <c r="H235" s="185"/>
      <c r="I235" s="185"/>
      <c r="J235" s="185"/>
      <c r="K235"/>
      <c r="L235"/>
      <c r="M235"/>
      <c r="N235"/>
      <c r="O235"/>
      <c r="P235"/>
    </row>
    <row r="236" spans="8:16" s="1" customFormat="1">
      <c r="H236" s="185"/>
      <c r="I236" s="185"/>
      <c r="J236" s="185"/>
      <c r="K236"/>
      <c r="L236"/>
      <c r="M236"/>
      <c r="N236"/>
      <c r="O236"/>
      <c r="P236"/>
    </row>
    <row r="237" spans="8:16" s="1" customFormat="1">
      <c r="H237" s="185"/>
      <c r="I237" s="185"/>
      <c r="J237" s="185"/>
      <c r="K237"/>
      <c r="L237"/>
      <c r="M237"/>
      <c r="N237"/>
      <c r="O237"/>
      <c r="P237"/>
    </row>
    <row r="238" spans="8:16" s="1" customFormat="1">
      <c r="H238" s="185"/>
      <c r="I238" s="185"/>
      <c r="J238" s="185"/>
      <c r="K238"/>
      <c r="L238"/>
      <c r="M238"/>
      <c r="N238"/>
      <c r="O238"/>
      <c r="P238"/>
    </row>
    <row r="239" spans="8:16" s="1" customFormat="1">
      <c r="H239" s="185"/>
      <c r="I239" s="185"/>
      <c r="J239" s="185"/>
      <c r="K239"/>
      <c r="L239"/>
      <c r="M239"/>
      <c r="N239"/>
      <c r="O239"/>
      <c r="P239"/>
    </row>
    <row r="240" spans="8:16" s="1" customFormat="1">
      <c r="H240" s="185"/>
      <c r="I240" s="185"/>
      <c r="J240" s="185"/>
      <c r="K240"/>
      <c r="L240"/>
      <c r="M240"/>
      <c r="N240"/>
      <c r="O240"/>
      <c r="P240"/>
    </row>
    <row r="241" spans="8:16" s="1" customFormat="1">
      <c r="H241" s="185"/>
      <c r="I241" s="185"/>
      <c r="J241" s="185"/>
      <c r="K241"/>
      <c r="L241"/>
      <c r="M241"/>
      <c r="N241"/>
      <c r="O241"/>
      <c r="P241"/>
    </row>
    <row r="242" spans="8:16" s="1" customFormat="1">
      <c r="H242" s="185"/>
      <c r="I242" s="185"/>
      <c r="J242" s="185"/>
      <c r="K242"/>
      <c r="L242"/>
      <c r="M242"/>
      <c r="N242"/>
      <c r="O242"/>
      <c r="P242"/>
    </row>
    <row r="243" spans="8:16" s="1" customFormat="1">
      <c r="H243" s="185"/>
      <c r="I243" s="185"/>
      <c r="J243" s="185"/>
      <c r="K243"/>
      <c r="L243"/>
      <c r="M243"/>
      <c r="N243"/>
      <c r="O243"/>
      <c r="P243"/>
    </row>
    <row r="244" spans="8:16" s="1" customFormat="1">
      <c r="H244" s="185"/>
      <c r="I244" s="185"/>
      <c r="J244" s="185"/>
      <c r="K244"/>
      <c r="L244"/>
      <c r="M244"/>
      <c r="N244"/>
      <c r="O244"/>
      <c r="P244"/>
    </row>
    <row r="245" spans="8:16" s="1" customFormat="1">
      <c r="H245" s="185"/>
      <c r="I245" s="185"/>
      <c r="J245" s="185"/>
      <c r="K245"/>
      <c r="L245"/>
      <c r="M245"/>
      <c r="N245"/>
      <c r="O245"/>
      <c r="P245"/>
    </row>
    <row r="246" spans="8:16" s="1" customFormat="1">
      <c r="H246" s="185"/>
      <c r="I246" s="185"/>
      <c r="J246" s="185"/>
      <c r="K246"/>
      <c r="L246"/>
      <c r="M246"/>
      <c r="N246"/>
      <c r="O246"/>
      <c r="P246"/>
    </row>
    <row r="247" spans="8:16" s="1" customFormat="1">
      <c r="H247" s="185"/>
      <c r="I247" s="185"/>
      <c r="J247" s="185"/>
      <c r="K247"/>
      <c r="L247"/>
      <c r="M247"/>
      <c r="N247"/>
      <c r="O247"/>
      <c r="P247"/>
    </row>
    <row r="248" spans="8:16" s="1" customFormat="1">
      <c r="H248" s="185"/>
      <c r="I248" s="185"/>
      <c r="J248" s="185"/>
      <c r="K248"/>
      <c r="L248"/>
      <c r="M248"/>
      <c r="N248"/>
      <c r="O248"/>
      <c r="P248"/>
    </row>
    <row r="249" spans="8:16" s="1" customFormat="1">
      <c r="H249" s="185"/>
      <c r="I249" s="185"/>
      <c r="J249" s="185"/>
      <c r="K249"/>
      <c r="L249"/>
      <c r="M249"/>
      <c r="N249"/>
      <c r="O249"/>
      <c r="P249"/>
    </row>
    <row r="250" spans="8:16" s="1" customFormat="1">
      <c r="H250" s="185"/>
      <c r="I250" s="185"/>
      <c r="J250" s="185"/>
      <c r="K250"/>
      <c r="L250"/>
      <c r="M250"/>
      <c r="N250"/>
      <c r="O250"/>
      <c r="P250"/>
    </row>
    <row r="251" spans="8:16" s="1" customFormat="1">
      <c r="H251" s="185"/>
      <c r="I251" s="185"/>
      <c r="J251" s="185"/>
      <c r="K251"/>
      <c r="L251"/>
      <c r="M251"/>
      <c r="N251"/>
      <c r="O251"/>
      <c r="P251"/>
    </row>
    <row r="252" spans="8:16" s="1" customFormat="1">
      <c r="H252" s="185"/>
      <c r="I252" s="185"/>
      <c r="J252" s="185"/>
      <c r="K252"/>
      <c r="L252"/>
      <c r="M252"/>
      <c r="N252"/>
      <c r="O252"/>
      <c r="P252"/>
    </row>
    <row r="253" spans="8:16" s="1" customFormat="1">
      <c r="H253" s="185"/>
      <c r="I253" s="185"/>
      <c r="J253" s="185"/>
      <c r="K253"/>
      <c r="L253"/>
      <c r="M253"/>
      <c r="N253"/>
      <c r="O253"/>
      <c r="P253"/>
    </row>
    <row r="254" spans="8:16" s="1" customFormat="1">
      <c r="H254" s="185"/>
      <c r="I254" s="185"/>
      <c r="J254" s="185"/>
      <c r="K254"/>
      <c r="L254"/>
      <c r="M254"/>
      <c r="N254"/>
      <c r="O254"/>
      <c r="P254"/>
    </row>
    <row r="255" spans="8:16" s="1" customFormat="1">
      <c r="H255" s="185"/>
      <c r="I255" s="185"/>
      <c r="J255" s="185"/>
      <c r="K255"/>
      <c r="L255"/>
      <c r="M255"/>
      <c r="N255"/>
      <c r="O255"/>
      <c r="P255"/>
    </row>
    <row r="256" spans="8:16" s="1" customFormat="1">
      <c r="H256" s="185"/>
      <c r="I256" s="185"/>
      <c r="J256" s="185"/>
      <c r="K256"/>
      <c r="L256"/>
      <c r="M256"/>
      <c r="N256"/>
      <c r="O256"/>
      <c r="P256"/>
    </row>
    <row r="257" spans="8:16" s="1" customFormat="1">
      <c r="H257" s="185"/>
      <c r="I257" s="185"/>
      <c r="J257" s="185"/>
      <c r="K257"/>
      <c r="L257"/>
      <c r="M257"/>
      <c r="N257"/>
      <c r="O257"/>
      <c r="P257"/>
    </row>
    <row r="258" spans="8:16" s="1" customFormat="1">
      <c r="H258" s="185"/>
      <c r="I258" s="185"/>
      <c r="J258" s="185"/>
      <c r="K258"/>
      <c r="L258"/>
      <c r="M258"/>
      <c r="N258"/>
      <c r="O258"/>
      <c r="P258"/>
    </row>
    <row r="259" spans="8:16" s="1" customFormat="1">
      <c r="H259" s="185"/>
      <c r="I259" s="185"/>
      <c r="J259" s="185"/>
      <c r="K259"/>
      <c r="L259"/>
      <c r="M259"/>
      <c r="N259"/>
      <c r="O259"/>
      <c r="P259"/>
    </row>
    <row r="260" spans="8:16" s="1" customFormat="1">
      <c r="H260" s="185"/>
      <c r="I260" s="185"/>
      <c r="J260" s="185"/>
      <c r="K260"/>
      <c r="L260"/>
      <c r="M260"/>
      <c r="N260"/>
      <c r="O260"/>
      <c r="P260"/>
    </row>
    <row r="261" spans="8:16" s="1" customFormat="1">
      <c r="H261" s="185"/>
      <c r="I261" s="185"/>
      <c r="J261" s="185"/>
      <c r="K261"/>
      <c r="L261"/>
      <c r="M261"/>
      <c r="N261"/>
      <c r="O261"/>
      <c r="P261"/>
    </row>
    <row r="262" spans="8:16" s="1" customFormat="1">
      <c r="H262" s="185"/>
      <c r="I262" s="185"/>
      <c r="J262" s="185"/>
      <c r="K262"/>
      <c r="L262"/>
      <c r="M262"/>
      <c r="N262"/>
      <c r="O262"/>
      <c r="P262"/>
    </row>
    <row r="263" spans="8:16" s="1" customFormat="1">
      <c r="H263" s="185"/>
      <c r="I263" s="185"/>
      <c r="J263" s="185"/>
      <c r="K263"/>
      <c r="L263"/>
      <c r="M263"/>
      <c r="N263"/>
      <c r="O263"/>
      <c r="P263"/>
    </row>
    <row r="264" spans="8:16" s="1" customFormat="1">
      <c r="H264" s="185"/>
      <c r="I264" s="185"/>
      <c r="J264" s="185"/>
      <c r="K264"/>
      <c r="L264"/>
      <c r="M264"/>
      <c r="N264"/>
      <c r="O264"/>
      <c r="P264"/>
    </row>
    <row r="265" spans="8:16" s="1" customFormat="1">
      <c r="H265" s="185"/>
      <c r="I265" s="185"/>
      <c r="J265" s="185"/>
      <c r="K265"/>
      <c r="L265"/>
      <c r="M265"/>
      <c r="N265"/>
      <c r="O265"/>
      <c r="P265"/>
    </row>
    <row r="266" spans="8:16" s="1" customFormat="1">
      <c r="H266" s="185"/>
      <c r="I266" s="185"/>
      <c r="J266" s="185"/>
      <c r="K266"/>
      <c r="L266"/>
      <c r="M266"/>
      <c r="N266"/>
      <c r="O266"/>
      <c r="P266"/>
    </row>
    <row r="267" spans="8:16" s="1" customFormat="1">
      <c r="H267" s="185"/>
      <c r="I267" s="185"/>
      <c r="J267" s="185"/>
      <c r="K267"/>
      <c r="L267"/>
      <c r="M267"/>
      <c r="N267"/>
      <c r="O267"/>
      <c r="P267"/>
    </row>
    <row r="268" spans="8:16" s="1" customFormat="1">
      <c r="H268" s="185"/>
      <c r="I268" s="185"/>
      <c r="J268" s="185"/>
      <c r="K268"/>
      <c r="L268"/>
      <c r="M268"/>
      <c r="N268"/>
      <c r="O268"/>
      <c r="P268"/>
    </row>
    <row r="269" spans="8:16" s="1" customFormat="1">
      <c r="H269" s="185"/>
      <c r="I269" s="185"/>
      <c r="J269" s="185"/>
      <c r="K269"/>
      <c r="L269"/>
      <c r="M269"/>
      <c r="N269"/>
      <c r="O269"/>
      <c r="P269"/>
    </row>
    <row r="270" spans="8:16" s="1" customFormat="1">
      <c r="H270" s="185"/>
      <c r="I270" s="185"/>
      <c r="J270" s="185"/>
      <c r="K270"/>
      <c r="L270"/>
      <c r="M270"/>
      <c r="N270"/>
      <c r="O270"/>
      <c r="P270"/>
    </row>
    <row r="271" spans="8:16" s="1" customFormat="1">
      <c r="H271" s="185"/>
      <c r="I271" s="185"/>
      <c r="J271" s="185"/>
      <c r="K271"/>
      <c r="L271"/>
      <c r="M271"/>
      <c r="N271"/>
      <c r="O271"/>
      <c r="P271"/>
    </row>
    <row r="272" spans="8:16" s="1" customFormat="1">
      <c r="H272" s="185"/>
      <c r="I272" s="185"/>
      <c r="J272" s="185"/>
      <c r="K272"/>
      <c r="L272"/>
      <c r="M272"/>
      <c r="N272"/>
      <c r="O272"/>
      <c r="P272"/>
    </row>
    <row r="273" spans="8:16" s="1" customFormat="1">
      <c r="H273" s="185"/>
      <c r="I273" s="185"/>
      <c r="J273" s="185"/>
      <c r="K273"/>
      <c r="L273"/>
      <c r="M273"/>
      <c r="N273"/>
      <c r="O273"/>
      <c r="P273"/>
    </row>
    <row r="274" spans="8:16" s="1" customFormat="1">
      <c r="H274" s="185"/>
      <c r="I274" s="185"/>
      <c r="J274" s="185"/>
      <c r="K274"/>
      <c r="L274"/>
      <c r="M274"/>
      <c r="N274"/>
      <c r="O274"/>
      <c r="P274"/>
    </row>
    <row r="275" spans="8:16" s="1" customFormat="1">
      <c r="H275" s="185"/>
      <c r="I275" s="185"/>
      <c r="J275" s="185"/>
      <c r="K275"/>
      <c r="L275"/>
      <c r="M275"/>
      <c r="N275"/>
      <c r="O275"/>
      <c r="P275"/>
    </row>
    <row r="276" spans="8:16" s="1" customFormat="1">
      <c r="H276" s="185"/>
      <c r="I276" s="185"/>
      <c r="J276" s="185"/>
      <c r="K276"/>
      <c r="L276"/>
      <c r="M276"/>
      <c r="N276"/>
      <c r="O276"/>
      <c r="P276"/>
    </row>
    <row r="277" spans="8:16" s="1" customFormat="1">
      <c r="H277" s="185"/>
      <c r="I277" s="185"/>
      <c r="J277" s="185"/>
      <c r="K277"/>
      <c r="L277"/>
      <c r="M277"/>
      <c r="N277"/>
      <c r="O277"/>
      <c r="P277"/>
    </row>
    <row r="278" spans="8:16" s="1" customFormat="1">
      <c r="H278" s="185"/>
      <c r="I278" s="185"/>
      <c r="J278" s="185"/>
      <c r="K278"/>
      <c r="L278"/>
      <c r="M278"/>
      <c r="N278"/>
      <c r="O278"/>
      <c r="P278"/>
    </row>
    <row r="279" spans="8:16" s="1" customFormat="1">
      <c r="H279" s="185"/>
      <c r="I279" s="185"/>
      <c r="J279" s="185"/>
      <c r="K279"/>
      <c r="L279"/>
      <c r="M279"/>
      <c r="N279"/>
      <c r="O279"/>
      <c r="P279"/>
    </row>
    <row r="280" spans="8:16" s="1" customFormat="1">
      <c r="H280" s="185"/>
      <c r="I280" s="185"/>
      <c r="J280" s="185"/>
      <c r="K280"/>
      <c r="L280"/>
      <c r="M280"/>
      <c r="N280"/>
      <c r="O280"/>
      <c r="P280"/>
    </row>
    <row r="281" spans="8:16" s="1" customFormat="1">
      <c r="H281" s="185"/>
      <c r="I281" s="185"/>
      <c r="J281" s="185"/>
      <c r="K281"/>
      <c r="L281"/>
      <c r="M281"/>
      <c r="N281"/>
      <c r="O281"/>
      <c r="P281"/>
    </row>
    <row r="282" spans="8:16" s="1" customFormat="1">
      <c r="H282" s="185"/>
      <c r="I282" s="185"/>
      <c r="J282" s="185"/>
      <c r="K282"/>
      <c r="L282"/>
      <c r="M282"/>
      <c r="N282"/>
      <c r="O282"/>
      <c r="P282"/>
    </row>
    <row r="283" spans="8:16" s="1" customFormat="1">
      <c r="H283" s="185"/>
      <c r="I283" s="185"/>
      <c r="J283" s="185"/>
      <c r="K283"/>
      <c r="L283"/>
      <c r="M283"/>
      <c r="N283"/>
      <c r="O283"/>
      <c r="P283"/>
    </row>
    <row r="284" spans="8:16" s="1" customFormat="1">
      <c r="H284" s="185"/>
      <c r="I284" s="185"/>
      <c r="J284" s="185"/>
      <c r="K284"/>
      <c r="L284"/>
      <c r="M284"/>
      <c r="N284"/>
      <c r="O284"/>
      <c r="P284"/>
    </row>
    <row r="285" spans="8:16" s="1" customFormat="1">
      <c r="H285" s="185"/>
      <c r="I285" s="185"/>
      <c r="J285" s="185"/>
      <c r="K285"/>
      <c r="L285"/>
      <c r="M285"/>
      <c r="N285"/>
      <c r="O285"/>
      <c r="P285"/>
    </row>
    <row r="286" spans="8:16" s="1" customFormat="1">
      <c r="H286" s="185"/>
      <c r="I286" s="185"/>
      <c r="J286" s="185"/>
      <c r="K286"/>
      <c r="L286"/>
      <c r="M286"/>
      <c r="N286"/>
      <c r="O286"/>
      <c r="P286"/>
    </row>
    <row r="287" spans="8:16" s="1" customFormat="1">
      <c r="H287" s="185"/>
      <c r="I287" s="185"/>
      <c r="J287" s="185"/>
      <c r="K287"/>
      <c r="L287"/>
      <c r="M287"/>
      <c r="N287"/>
      <c r="O287"/>
      <c r="P287"/>
    </row>
    <row r="288" spans="8:16" s="1" customFormat="1">
      <c r="H288" s="185"/>
      <c r="I288" s="185"/>
      <c r="J288" s="185"/>
      <c r="K288"/>
      <c r="L288"/>
      <c r="M288"/>
      <c r="N288"/>
      <c r="O288"/>
      <c r="P288"/>
    </row>
    <row r="289" spans="8:16" s="1" customFormat="1">
      <c r="H289" s="185"/>
      <c r="I289" s="185"/>
      <c r="J289" s="185"/>
      <c r="K289"/>
      <c r="L289"/>
      <c r="M289"/>
      <c r="N289"/>
      <c r="O289"/>
      <c r="P289"/>
    </row>
    <row r="290" spans="8:16" s="1" customFormat="1">
      <c r="H290" s="185"/>
      <c r="I290" s="185"/>
      <c r="J290" s="185"/>
      <c r="K290"/>
      <c r="L290"/>
      <c r="M290"/>
      <c r="N290"/>
      <c r="O290"/>
      <c r="P290"/>
    </row>
    <row r="291" spans="8:16" s="1" customFormat="1">
      <c r="H291" s="185"/>
      <c r="I291" s="185"/>
      <c r="J291" s="185"/>
      <c r="K291"/>
      <c r="L291"/>
      <c r="M291"/>
      <c r="N291"/>
      <c r="O291"/>
      <c r="P291"/>
    </row>
    <row r="292" spans="8:16" s="1" customFormat="1">
      <c r="H292" s="185"/>
      <c r="I292" s="185"/>
      <c r="J292" s="185"/>
      <c r="K292"/>
      <c r="L292"/>
      <c r="M292"/>
      <c r="N292"/>
      <c r="O292"/>
      <c r="P292"/>
    </row>
    <row r="293" spans="8:16" s="1" customFormat="1">
      <c r="H293" s="185"/>
      <c r="I293" s="185"/>
      <c r="J293" s="185"/>
      <c r="K293"/>
      <c r="L293"/>
      <c r="M293"/>
      <c r="N293"/>
      <c r="O293"/>
      <c r="P293"/>
    </row>
    <row r="294" spans="8:16" s="1" customFormat="1">
      <c r="H294" s="185"/>
      <c r="I294" s="185"/>
      <c r="J294" s="185"/>
      <c r="K294"/>
      <c r="L294"/>
      <c r="M294"/>
      <c r="N294"/>
      <c r="O294"/>
      <c r="P294"/>
    </row>
    <row r="295" spans="8:16" s="1" customFormat="1">
      <c r="H295" s="185"/>
      <c r="I295" s="185"/>
      <c r="J295" s="185"/>
      <c r="K295"/>
      <c r="L295"/>
      <c r="M295"/>
      <c r="N295"/>
      <c r="O295"/>
      <c r="P295"/>
    </row>
    <row r="296" spans="8:16" s="1" customFormat="1">
      <c r="H296" s="185"/>
      <c r="I296" s="185"/>
      <c r="J296" s="185"/>
      <c r="K296"/>
      <c r="L296"/>
      <c r="M296"/>
      <c r="N296"/>
      <c r="O296"/>
      <c r="P296"/>
    </row>
    <row r="297" spans="8:16" s="1" customFormat="1">
      <c r="H297" s="185"/>
      <c r="I297" s="185"/>
      <c r="J297" s="185"/>
      <c r="K297"/>
      <c r="L297"/>
      <c r="M297"/>
      <c r="N297"/>
      <c r="O297"/>
      <c r="P297"/>
    </row>
    <row r="298" spans="8:16" s="1" customFormat="1">
      <c r="H298" s="185"/>
      <c r="I298" s="185"/>
      <c r="J298" s="185"/>
      <c r="K298"/>
      <c r="L298"/>
      <c r="M298"/>
      <c r="N298"/>
      <c r="O298"/>
      <c r="P298"/>
    </row>
    <row r="299" spans="8:16" s="1" customFormat="1">
      <c r="H299" s="185"/>
      <c r="I299" s="185"/>
      <c r="J299" s="185"/>
      <c r="K299"/>
      <c r="L299"/>
      <c r="M299"/>
      <c r="N299"/>
      <c r="O299"/>
      <c r="P299"/>
    </row>
    <row r="300" spans="8:16" s="1" customFormat="1">
      <c r="H300" s="185"/>
      <c r="I300" s="185"/>
      <c r="J300" s="185"/>
      <c r="K300"/>
      <c r="L300"/>
      <c r="M300"/>
      <c r="N300"/>
      <c r="O300"/>
      <c r="P300"/>
    </row>
    <row r="301" spans="8:16" s="1" customFormat="1">
      <c r="H301" s="185"/>
      <c r="I301" s="185"/>
      <c r="J301" s="185"/>
      <c r="K301"/>
      <c r="L301"/>
      <c r="M301"/>
      <c r="N301"/>
      <c r="O301"/>
      <c r="P301"/>
    </row>
    <row r="302" spans="8:16" s="1" customFormat="1">
      <c r="H302" s="185"/>
      <c r="I302" s="185"/>
      <c r="J302" s="185"/>
      <c r="K302"/>
      <c r="L302"/>
      <c r="M302"/>
      <c r="N302"/>
      <c r="O302"/>
      <c r="P302"/>
    </row>
    <row r="303" spans="8:16" s="1" customFormat="1">
      <c r="H303" s="185"/>
      <c r="I303" s="185"/>
      <c r="J303" s="185"/>
      <c r="K303"/>
      <c r="L303"/>
      <c r="M303"/>
      <c r="N303"/>
      <c r="O303"/>
      <c r="P303"/>
    </row>
    <row r="304" spans="8:16" s="1" customFormat="1">
      <c r="H304" s="185"/>
      <c r="I304" s="185"/>
      <c r="J304" s="185"/>
      <c r="K304"/>
      <c r="L304"/>
      <c r="M304"/>
      <c r="N304"/>
      <c r="O304"/>
      <c r="P304"/>
    </row>
    <row r="305" spans="8:16" s="1" customFormat="1">
      <c r="H305" s="185"/>
      <c r="I305" s="185"/>
      <c r="J305" s="185"/>
      <c r="K305"/>
      <c r="L305"/>
      <c r="M305"/>
      <c r="N305"/>
      <c r="O305"/>
      <c r="P305"/>
    </row>
    <row r="306" spans="8:16" s="1" customFormat="1">
      <c r="H306" s="185"/>
      <c r="I306" s="185"/>
      <c r="J306" s="185"/>
      <c r="K306"/>
      <c r="L306"/>
      <c r="M306"/>
      <c r="N306"/>
      <c r="O306"/>
      <c r="P306"/>
    </row>
    <row r="307" spans="8:16" s="1" customFormat="1">
      <c r="H307" s="185"/>
      <c r="I307" s="185"/>
      <c r="J307" s="185"/>
      <c r="K307"/>
      <c r="L307"/>
      <c r="M307"/>
      <c r="N307"/>
      <c r="O307"/>
      <c r="P307"/>
    </row>
    <row r="308" spans="8:16" s="1" customFormat="1">
      <c r="H308" s="185"/>
      <c r="I308" s="185"/>
      <c r="J308" s="185"/>
      <c r="K308"/>
      <c r="L308"/>
      <c r="M308"/>
      <c r="N308"/>
      <c r="O308"/>
      <c r="P308"/>
    </row>
    <row r="309" spans="8:16" s="1" customFormat="1">
      <c r="H309" s="185"/>
      <c r="I309" s="185"/>
      <c r="J309" s="185"/>
      <c r="K309"/>
      <c r="L309"/>
      <c r="M309"/>
      <c r="N309"/>
      <c r="O309"/>
      <c r="P309"/>
    </row>
    <row r="310" spans="8:16" s="1" customFormat="1">
      <c r="H310" s="185"/>
      <c r="I310" s="185"/>
      <c r="J310" s="185"/>
      <c r="K310"/>
      <c r="L310"/>
      <c r="M310"/>
      <c r="N310"/>
      <c r="O310"/>
      <c r="P310"/>
    </row>
    <row r="311" spans="8:16" s="1" customFormat="1">
      <c r="H311" s="185"/>
      <c r="I311" s="185"/>
      <c r="J311" s="185"/>
      <c r="K311"/>
      <c r="L311"/>
      <c r="M311"/>
      <c r="N311"/>
      <c r="O311"/>
      <c r="P311"/>
    </row>
    <row r="312" spans="8:16" s="1" customFormat="1">
      <c r="H312" s="185"/>
      <c r="I312" s="185"/>
      <c r="J312" s="185"/>
      <c r="K312"/>
      <c r="L312"/>
      <c r="M312"/>
      <c r="N312"/>
      <c r="O312"/>
      <c r="P312"/>
    </row>
    <row r="313" spans="8:16" s="1" customFormat="1">
      <c r="H313" s="185"/>
      <c r="I313" s="185"/>
      <c r="J313" s="185"/>
      <c r="K313"/>
      <c r="L313"/>
      <c r="M313"/>
      <c r="N313"/>
      <c r="O313"/>
      <c r="P313"/>
    </row>
    <row r="314" spans="8:16" s="1" customFormat="1">
      <c r="H314" s="185"/>
      <c r="I314" s="185"/>
      <c r="J314" s="185"/>
      <c r="K314"/>
      <c r="L314"/>
      <c r="M314"/>
      <c r="N314"/>
      <c r="O314"/>
      <c r="P314"/>
    </row>
    <row r="315" spans="8:16" s="1" customFormat="1">
      <c r="H315" s="185"/>
      <c r="I315" s="185"/>
      <c r="J315" s="185"/>
      <c r="K315"/>
      <c r="L315"/>
      <c r="M315"/>
      <c r="N315"/>
      <c r="O315"/>
      <c r="P315"/>
    </row>
    <row r="316" spans="8:16" s="1" customFormat="1">
      <c r="H316" s="185"/>
      <c r="I316" s="185"/>
      <c r="J316" s="185"/>
      <c r="K316"/>
      <c r="L316"/>
      <c r="M316"/>
      <c r="N316"/>
      <c r="O316"/>
      <c r="P316"/>
    </row>
    <row r="317" spans="8:16" s="1" customFormat="1">
      <c r="H317" s="185"/>
      <c r="I317" s="185"/>
      <c r="J317" s="185"/>
      <c r="K317"/>
      <c r="L317"/>
      <c r="M317"/>
      <c r="N317"/>
      <c r="O317"/>
      <c r="P317"/>
    </row>
    <row r="318" spans="8:16" s="1" customFormat="1">
      <c r="H318" s="185"/>
      <c r="I318" s="185"/>
      <c r="J318" s="185"/>
      <c r="K318"/>
      <c r="L318"/>
      <c r="M318"/>
      <c r="N318"/>
      <c r="O318"/>
      <c r="P318"/>
    </row>
    <row r="319" spans="8:16" s="1" customFormat="1">
      <c r="H319" s="185"/>
      <c r="I319" s="185"/>
      <c r="J319" s="185"/>
      <c r="K319"/>
      <c r="L319"/>
      <c r="M319"/>
      <c r="N319"/>
      <c r="O319"/>
      <c r="P319"/>
    </row>
    <row r="320" spans="8:16" s="1" customFormat="1">
      <c r="H320" s="185"/>
      <c r="I320" s="185"/>
      <c r="J320" s="185"/>
      <c r="K320"/>
      <c r="L320"/>
      <c r="M320"/>
      <c r="N320"/>
      <c r="O320"/>
      <c r="P320"/>
    </row>
    <row r="321" spans="8:16" s="1" customFormat="1">
      <c r="H321" s="185"/>
      <c r="I321" s="185"/>
      <c r="J321" s="185"/>
      <c r="K321"/>
      <c r="L321"/>
      <c r="M321"/>
      <c r="N321"/>
      <c r="O321"/>
      <c r="P321"/>
    </row>
    <row r="322" spans="8:16" s="1" customFormat="1">
      <c r="H322" s="185"/>
      <c r="I322" s="185"/>
      <c r="J322" s="185"/>
      <c r="K322"/>
      <c r="L322"/>
      <c r="M322"/>
      <c r="N322"/>
      <c r="O322"/>
      <c r="P322"/>
    </row>
    <row r="323" spans="8:16" s="1" customFormat="1">
      <c r="H323" s="185"/>
      <c r="I323" s="185"/>
      <c r="J323" s="185"/>
      <c r="K323"/>
      <c r="L323"/>
      <c r="M323"/>
      <c r="N323"/>
      <c r="O323"/>
      <c r="P323"/>
    </row>
    <row r="324" spans="8:16" s="1" customFormat="1">
      <c r="H324" s="185"/>
      <c r="I324" s="185"/>
      <c r="J324" s="185"/>
      <c r="K324"/>
      <c r="L324"/>
      <c r="M324"/>
      <c r="N324"/>
      <c r="O324"/>
      <c r="P324"/>
    </row>
    <row r="325" spans="8:16" s="1" customFormat="1">
      <c r="H325" s="185"/>
      <c r="I325" s="185"/>
      <c r="J325" s="185"/>
      <c r="K325"/>
      <c r="L325"/>
      <c r="M325"/>
      <c r="N325"/>
      <c r="O325"/>
      <c r="P325"/>
    </row>
    <row r="326" spans="8:16" s="1" customFormat="1">
      <c r="H326" s="185"/>
      <c r="I326" s="185"/>
      <c r="J326" s="185"/>
      <c r="K326"/>
      <c r="L326"/>
      <c r="M326"/>
      <c r="N326"/>
      <c r="O326"/>
      <c r="P326"/>
    </row>
    <row r="327" spans="8:16" s="1" customFormat="1">
      <c r="H327" s="185"/>
      <c r="I327" s="185"/>
      <c r="J327" s="185"/>
      <c r="K327"/>
      <c r="L327"/>
      <c r="M327"/>
      <c r="N327"/>
      <c r="O327"/>
      <c r="P327"/>
    </row>
    <row r="328" spans="8:16" s="1" customFormat="1">
      <c r="H328" s="185"/>
      <c r="I328" s="185"/>
      <c r="J328" s="185"/>
      <c r="K328"/>
      <c r="L328"/>
      <c r="M328"/>
      <c r="N328"/>
      <c r="O328"/>
      <c r="P328"/>
    </row>
    <row r="329" spans="8:16" s="1" customFormat="1">
      <c r="H329" s="185"/>
      <c r="I329" s="185"/>
      <c r="J329" s="185"/>
      <c r="K329"/>
      <c r="L329"/>
      <c r="M329"/>
      <c r="N329"/>
      <c r="O329"/>
      <c r="P329"/>
    </row>
    <row r="330" spans="8:16" s="1" customFormat="1">
      <c r="H330" s="185"/>
      <c r="I330" s="185"/>
      <c r="J330" s="185"/>
      <c r="K330"/>
      <c r="L330"/>
      <c r="M330"/>
      <c r="N330"/>
      <c r="O330"/>
      <c r="P330"/>
    </row>
    <row r="331" spans="8:16" s="1" customFormat="1">
      <c r="H331" s="185"/>
      <c r="I331" s="185"/>
      <c r="J331" s="185"/>
      <c r="K331"/>
      <c r="L331"/>
      <c r="M331"/>
      <c r="N331"/>
      <c r="O331"/>
      <c r="P331"/>
    </row>
    <row r="332" spans="8:16" s="1" customFormat="1">
      <c r="H332" s="185"/>
      <c r="I332" s="185"/>
      <c r="J332" s="185"/>
      <c r="K332"/>
      <c r="L332"/>
      <c r="M332"/>
      <c r="N332"/>
      <c r="O332"/>
      <c r="P332"/>
    </row>
    <row r="333" spans="8:16" s="1" customFormat="1">
      <c r="H333" s="185"/>
      <c r="I333" s="185"/>
      <c r="J333" s="185"/>
      <c r="K333"/>
      <c r="L333"/>
      <c r="M333"/>
      <c r="N333"/>
      <c r="O333"/>
      <c r="P333"/>
    </row>
    <row r="334" spans="8:16" s="1" customFormat="1">
      <c r="H334" s="185"/>
      <c r="I334" s="185"/>
      <c r="J334" s="185"/>
      <c r="K334"/>
      <c r="L334"/>
      <c r="M334"/>
      <c r="N334"/>
      <c r="O334"/>
      <c r="P334"/>
    </row>
    <row r="335" spans="8:16" s="1" customFormat="1">
      <c r="H335" s="185"/>
      <c r="I335" s="185"/>
      <c r="J335" s="185"/>
      <c r="K335"/>
      <c r="L335"/>
      <c r="M335"/>
      <c r="N335"/>
      <c r="O335"/>
      <c r="P335"/>
    </row>
    <row r="336" spans="8:16" s="1" customFormat="1">
      <c r="H336" s="185"/>
      <c r="I336" s="185"/>
      <c r="J336" s="185"/>
      <c r="K336"/>
      <c r="L336"/>
      <c r="M336"/>
      <c r="N336"/>
      <c r="O336"/>
      <c r="P336"/>
    </row>
    <row r="337" spans="8:16" s="1" customFormat="1">
      <c r="H337" s="185"/>
      <c r="I337" s="185"/>
      <c r="J337" s="185"/>
      <c r="K337"/>
      <c r="L337"/>
      <c r="M337"/>
      <c r="N337"/>
      <c r="O337"/>
      <c r="P337"/>
    </row>
    <row r="338" spans="8:16" s="1" customFormat="1">
      <c r="H338" s="185"/>
      <c r="I338" s="185"/>
      <c r="J338" s="185"/>
      <c r="K338"/>
      <c r="L338"/>
      <c r="M338"/>
      <c r="N338"/>
      <c r="O338"/>
      <c r="P338"/>
    </row>
    <row r="339" spans="8:16" s="1" customFormat="1">
      <c r="H339" s="185"/>
      <c r="I339" s="185"/>
      <c r="J339" s="185"/>
      <c r="K339"/>
      <c r="L339"/>
      <c r="M339"/>
      <c r="N339"/>
      <c r="O339"/>
      <c r="P339"/>
    </row>
    <row r="340" spans="8:16" s="1" customFormat="1">
      <c r="H340" s="185"/>
      <c r="I340" s="185"/>
      <c r="J340" s="185"/>
      <c r="K340"/>
      <c r="L340"/>
      <c r="M340"/>
      <c r="N340"/>
      <c r="O340"/>
      <c r="P340"/>
    </row>
    <row r="341" spans="8:16" s="1" customFormat="1">
      <c r="H341" s="185"/>
      <c r="I341" s="185"/>
      <c r="J341" s="185"/>
      <c r="K341"/>
      <c r="L341"/>
      <c r="M341"/>
      <c r="N341"/>
      <c r="O341"/>
      <c r="P341"/>
    </row>
    <row r="342" spans="8:16" s="1" customFormat="1">
      <c r="H342" s="185"/>
      <c r="I342" s="185"/>
      <c r="J342" s="185"/>
      <c r="K342"/>
      <c r="L342"/>
      <c r="M342"/>
      <c r="N342"/>
      <c r="O342"/>
      <c r="P342"/>
    </row>
    <row r="343" spans="8:16" s="1" customFormat="1">
      <c r="H343" s="185"/>
      <c r="I343" s="185"/>
      <c r="J343" s="185"/>
      <c r="K343"/>
      <c r="L343"/>
      <c r="M343"/>
      <c r="N343"/>
      <c r="O343"/>
      <c r="P343"/>
    </row>
    <row r="344" spans="8:16" s="1" customFormat="1">
      <c r="H344" s="185"/>
      <c r="I344" s="185"/>
      <c r="J344" s="185"/>
      <c r="K344"/>
      <c r="L344"/>
      <c r="M344"/>
      <c r="N344"/>
      <c r="O344"/>
      <c r="P344"/>
    </row>
    <row r="345" spans="8:16" s="1" customFormat="1">
      <c r="H345" s="185"/>
      <c r="I345" s="185"/>
      <c r="J345" s="185"/>
      <c r="K345"/>
      <c r="L345"/>
      <c r="M345"/>
      <c r="N345"/>
      <c r="O345"/>
      <c r="P345"/>
    </row>
    <row r="346" spans="8:16" s="1" customFormat="1">
      <c r="H346" s="185"/>
      <c r="I346" s="185"/>
      <c r="J346" s="185"/>
      <c r="K346"/>
      <c r="L346"/>
      <c r="M346"/>
      <c r="N346"/>
      <c r="O346"/>
      <c r="P346"/>
    </row>
    <row r="347" spans="8:16" s="1" customFormat="1">
      <c r="H347" s="185"/>
      <c r="I347" s="185"/>
      <c r="J347" s="185"/>
      <c r="K347"/>
      <c r="L347"/>
      <c r="M347"/>
      <c r="N347"/>
      <c r="O347"/>
      <c r="P347"/>
    </row>
    <row r="348" spans="8:16" s="1" customFormat="1">
      <c r="H348" s="185"/>
      <c r="I348" s="185"/>
      <c r="J348" s="185"/>
      <c r="K348"/>
      <c r="L348"/>
      <c r="M348"/>
      <c r="N348"/>
      <c r="O348"/>
      <c r="P348"/>
    </row>
    <row r="349" spans="8:16" s="1" customFormat="1">
      <c r="H349" s="185"/>
      <c r="I349" s="185"/>
      <c r="J349" s="185"/>
      <c r="K349"/>
      <c r="L349"/>
      <c r="M349"/>
      <c r="N349"/>
      <c r="O349"/>
      <c r="P349"/>
    </row>
    <row r="350" spans="8:16" s="1" customFormat="1">
      <c r="H350" s="185"/>
      <c r="I350" s="185"/>
      <c r="J350" s="185"/>
      <c r="K350"/>
      <c r="L350"/>
      <c r="M350"/>
      <c r="N350"/>
      <c r="O350"/>
      <c r="P350"/>
    </row>
    <row r="351" spans="8:16" s="1" customFormat="1">
      <c r="H351" s="185"/>
      <c r="I351" s="185"/>
      <c r="J351" s="185"/>
      <c r="K351"/>
      <c r="L351"/>
      <c r="M351"/>
      <c r="N351"/>
      <c r="O351"/>
      <c r="P351"/>
    </row>
    <row r="352" spans="8:16" s="1" customFormat="1">
      <c r="H352" s="185"/>
      <c r="I352" s="185"/>
      <c r="J352" s="185"/>
      <c r="K352"/>
      <c r="L352"/>
      <c r="M352"/>
      <c r="N352"/>
      <c r="O352"/>
      <c r="P352"/>
    </row>
    <row r="353" spans="8:16" s="1" customFormat="1">
      <c r="H353" s="185"/>
      <c r="I353" s="185"/>
      <c r="J353" s="185"/>
      <c r="K353"/>
      <c r="L353"/>
      <c r="M353"/>
      <c r="N353"/>
      <c r="O353"/>
      <c r="P353"/>
    </row>
    <row r="354" spans="8:16" s="1" customFormat="1">
      <c r="H354" s="185"/>
      <c r="I354" s="185"/>
      <c r="J354" s="185"/>
      <c r="K354"/>
      <c r="L354"/>
      <c r="M354"/>
      <c r="N354"/>
      <c r="O354"/>
      <c r="P354"/>
    </row>
    <row r="355" spans="8:16" s="1" customFormat="1">
      <c r="H355" s="185"/>
      <c r="I355" s="185"/>
      <c r="J355" s="185"/>
      <c r="K355"/>
      <c r="L355"/>
      <c r="M355"/>
      <c r="N355"/>
      <c r="O355"/>
      <c r="P355"/>
    </row>
    <row r="356" spans="8:16" s="1" customFormat="1">
      <c r="H356" s="185"/>
      <c r="I356" s="185"/>
      <c r="J356" s="185"/>
      <c r="K356"/>
      <c r="L356"/>
      <c r="M356"/>
      <c r="N356"/>
      <c r="O356"/>
      <c r="P356"/>
    </row>
    <row r="357" spans="8:16" s="1" customFormat="1">
      <c r="H357" s="185"/>
      <c r="I357" s="185"/>
      <c r="J357" s="185"/>
      <c r="K357"/>
      <c r="L357"/>
      <c r="M357"/>
      <c r="N357"/>
      <c r="O357"/>
      <c r="P357"/>
    </row>
    <row r="358" spans="8:16" s="1" customFormat="1">
      <c r="H358" s="185"/>
      <c r="I358" s="185"/>
      <c r="J358" s="185"/>
      <c r="K358"/>
      <c r="L358"/>
      <c r="M358"/>
      <c r="N358"/>
      <c r="O358"/>
      <c r="P358"/>
    </row>
    <row r="359" spans="8:16" s="1" customFormat="1">
      <c r="H359" s="185"/>
      <c r="I359" s="185"/>
      <c r="J359" s="185"/>
      <c r="K359"/>
      <c r="L359"/>
      <c r="M359"/>
      <c r="N359"/>
      <c r="O359"/>
      <c r="P359"/>
    </row>
    <row r="360" spans="8:16" s="1" customFormat="1">
      <c r="H360" s="185"/>
      <c r="I360" s="185"/>
      <c r="J360" s="185"/>
      <c r="K360"/>
      <c r="L360"/>
      <c r="M360"/>
      <c r="N360"/>
      <c r="O360"/>
      <c r="P360"/>
    </row>
    <row r="361" spans="8:16" s="1" customFormat="1">
      <c r="H361" s="185"/>
      <c r="I361" s="185"/>
      <c r="J361" s="185"/>
      <c r="K361"/>
      <c r="L361"/>
      <c r="M361"/>
      <c r="N361"/>
      <c r="O361"/>
      <c r="P361"/>
    </row>
    <row r="362" spans="8:16" s="1" customFormat="1">
      <c r="H362" s="185"/>
      <c r="I362" s="185"/>
      <c r="J362" s="185"/>
      <c r="K362"/>
      <c r="L362"/>
      <c r="M362"/>
      <c r="N362"/>
      <c r="O362"/>
      <c r="P362"/>
    </row>
    <row r="363" spans="8:16" s="1" customFormat="1">
      <c r="H363" s="185"/>
      <c r="I363" s="185"/>
      <c r="J363" s="185"/>
      <c r="K363"/>
      <c r="L363"/>
      <c r="M363"/>
      <c r="N363"/>
      <c r="O363"/>
      <c r="P363"/>
    </row>
    <row r="364" spans="8:16" s="1" customFormat="1">
      <c r="H364" s="185"/>
      <c r="I364" s="185"/>
      <c r="J364" s="185"/>
      <c r="K364"/>
      <c r="L364"/>
      <c r="M364"/>
      <c r="N364"/>
      <c r="O364"/>
      <c r="P364"/>
    </row>
    <row r="365" spans="8:16" s="1" customFormat="1">
      <c r="H365" s="185"/>
      <c r="I365" s="185"/>
      <c r="J365" s="185"/>
      <c r="K365"/>
      <c r="L365"/>
      <c r="M365"/>
      <c r="N365"/>
      <c r="O365"/>
      <c r="P365"/>
    </row>
    <row r="366" spans="8:16" s="1" customFormat="1">
      <c r="H366" s="185"/>
      <c r="I366" s="185"/>
      <c r="J366" s="185"/>
      <c r="K366"/>
      <c r="L366"/>
      <c r="M366"/>
      <c r="N366"/>
      <c r="O366"/>
      <c r="P366"/>
    </row>
    <row r="367" spans="8:16" s="1" customFormat="1">
      <c r="H367" s="185"/>
      <c r="I367" s="185"/>
      <c r="J367" s="185"/>
      <c r="K367"/>
      <c r="L367"/>
      <c r="M367"/>
      <c r="N367"/>
      <c r="O367"/>
      <c r="P367"/>
    </row>
    <row r="368" spans="8:16" s="1" customFormat="1">
      <c r="H368" s="185"/>
      <c r="I368" s="185"/>
      <c r="J368" s="185"/>
      <c r="K368"/>
      <c r="L368"/>
      <c r="M368"/>
      <c r="N368"/>
      <c r="O368"/>
      <c r="P368"/>
    </row>
    <row r="369" spans="8:16" s="1" customFormat="1">
      <c r="H369" s="185"/>
      <c r="I369" s="185"/>
      <c r="J369" s="185"/>
      <c r="K369"/>
      <c r="L369"/>
      <c r="M369"/>
      <c r="N369"/>
      <c r="O369"/>
      <c r="P369"/>
    </row>
    <row r="370" spans="8:16" s="1" customFormat="1">
      <c r="H370" s="185"/>
      <c r="I370" s="185"/>
      <c r="J370" s="185"/>
      <c r="K370"/>
      <c r="L370"/>
      <c r="M370"/>
      <c r="N370"/>
      <c r="O370"/>
      <c r="P370"/>
    </row>
    <row r="371" spans="8:16" s="1" customFormat="1">
      <c r="H371" s="185"/>
      <c r="I371" s="185"/>
      <c r="J371" s="185"/>
      <c r="K371"/>
      <c r="L371"/>
      <c r="M371"/>
      <c r="N371"/>
      <c r="O371"/>
      <c r="P371"/>
    </row>
    <row r="372" spans="8:16" s="1" customFormat="1">
      <c r="H372" s="185"/>
      <c r="I372" s="185"/>
      <c r="J372" s="185"/>
      <c r="K372"/>
      <c r="L372"/>
      <c r="M372"/>
      <c r="N372"/>
      <c r="O372"/>
      <c r="P372"/>
    </row>
    <row r="373" spans="8:16" s="1" customFormat="1">
      <c r="H373" s="185"/>
      <c r="I373" s="185"/>
      <c r="J373" s="185"/>
      <c r="K373"/>
      <c r="L373"/>
      <c r="M373"/>
      <c r="N373"/>
      <c r="O373"/>
      <c r="P373"/>
    </row>
    <row r="374" spans="8:16" s="1" customFormat="1">
      <c r="H374" s="185"/>
      <c r="I374" s="185"/>
      <c r="J374" s="185"/>
      <c r="K374"/>
      <c r="L374"/>
      <c r="M374"/>
      <c r="N374"/>
      <c r="O374"/>
      <c r="P374"/>
    </row>
    <row r="375" spans="8:16" s="1" customFormat="1">
      <c r="H375" s="185"/>
      <c r="I375" s="185"/>
      <c r="J375" s="185"/>
      <c r="K375"/>
      <c r="L375"/>
      <c r="M375"/>
      <c r="N375"/>
      <c r="O375"/>
      <c r="P375"/>
    </row>
    <row r="376" spans="8:16" s="1" customFormat="1">
      <c r="H376" s="185"/>
      <c r="I376" s="185"/>
      <c r="J376" s="185"/>
      <c r="K376"/>
      <c r="L376"/>
      <c r="M376"/>
      <c r="N376"/>
      <c r="O376"/>
      <c r="P376"/>
    </row>
    <row r="377" spans="8:16" s="1" customFormat="1">
      <c r="H377" s="185"/>
      <c r="I377" s="185"/>
      <c r="J377" s="185"/>
      <c r="K377"/>
      <c r="L377"/>
      <c r="M377"/>
      <c r="N377"/>
      <c r="O377"/>
      <c r="P377"/>
    </row>
    <row r="378" spans="8:16" s="1" customFormat="1">
      <c r="H378" s="185"/>
      <c r="I378" s="185"/>
      <c r="J378" s="185"/>
      <c r="K378"/>
      <c r="L378"/>
      <c r="M378"/>
      <c r="N378"/>
      <c r="O378"/>
      <c r="P378"/>
    </row>
    <row r="379" spans="8:16" s="1" customFormat="1">
      <c r="H379" s="185"/>
      <c r="I379" s="185"/>
      <c r="J379" s="185"/>
      <c r="K379"/>
      <c r="L379"/>
      <c r="M379"/>
      <c r="N379"/>
      <c r="O379"/>
      <c r="P379"/>
    </row>
    <row r="380" spans="8:16" s="1" customFormat="1">
      <c r="H380" s="185"/>
      <c r="I380" s="185"/>
      <c r="J380" s="185"/>
      <c r="K380"/>
      <c r="L380"/>
      <c r="M380"/>
      <c r="N380"/>
      <c r="O380"/>
      <c r="P380"/>
    </row>
    <row r="381" spans="8:16" s="1" customFormat="1">
      <c r="H381" s="185"/>
      <c r="I381" s="185"/>
      <c r="J381" s="185"/>
      <c r="K381"/>
      <c r="L381"/>
      <c r="M381"/>
      <c r="N381"/>
      <c r="O381"/>
      <c r="P381"/>
    </row>
    <row r="382" spans="8:16" s="1" customFormat="1">
      <c r="H382" s="185"/>
      <c r="I382" s="185"/>
      <c r="J382" s="185"/>
      <c r="K382"/>
      <c r="L382"/>
      <c r="M382"/>
      <c r="N382"/>
      <c r="O382"/>
      <c r="P382"/>
    </row>
    <row r="383" spans="8:16" s="1" customFormat="1">
      <c r="H383" s="185"/>
      <c r="I383" s="185"/>
      <c r="J383" s="185"/>
      <c r="K383"/>
      <c r="L383"/>
      <c r="M383"/>
      <c r="N383"/>
      <c r="O383"/>
      <c r="P383"/>
    </row>
    <row r="384" spans="8:16" s="1" customFormat="1">
      <c r="H384" s="185"/>
      <c r="I384" s="185"/>
      <c r="J384" s="185"/>
      <c r="K384"/>
      <c r="L384"/>
      <c r="M384"/>
      <c r="N384"/>
      <c r="O384"/>
      <c r="P384"/>
    </row>
    <row r="385" spans="8:16" s="1" customFormat="1">
      <c r="H385" s="185"/>
      <c r="I385" s="185"/>
      <c r="J385" s="185"/>
      <c r="K385"/>
      <c r="L385"/>
      <c r="M385"/>
      <c r="N385"/>
      <c r="O385"/>
      <c r="P385"/>
    </row>
    <row r="386" spans="8:16" s="1" customFormat="1">
      <c r="H386" s="185"/>
      <c r="I386" s="185"/>
      <c r="J386" s="185"/>
      <c r="K386"/>
      <c r="L386"/>
      <c r="M386"/>
      <c r="N386"/>
      <c r="O386"/>
      <c r="P386"/>
    </row>
    <row r="387" spans="8:16" s="1" customFormat="1">
      <c r="H387" s="185"/>
      <c r="I387" s="185"/>
      <c r="J387" s="185"/>
      <c r="K387"/>
      <c r="L387"/>
      <c r="M387"/>
      <c r="N387"/>
      <c r="O387"/>
      <c r="P387"/>
    </row>
    <row r="388" spans="8:16" s="1" customFormat="1">
      <c r="H388" s="185"/>
      <c r="I388" s="185"/>
      <c r="J388" s="185"/>
      <c r="K388"/>
      <c r="L388"/>
      <c r="M388"/>
      <c r="N388"/>
      <c r="O388"/>
      <c r="P388"/>
    </row>
    <row r="389" spans="8:16" s="1" customFormat="1">
      <c r="H389" s="185"/>
      <c r="I389" s="185"/>
      <c r="J389" s="185"/>
      <c r="K389"/>
      <c r="L389"/>
      <c r="M389"/>
      <c r="N389"/>
      <c r="O389"/>
      <c r="P389"/>
    </row>
    <row r="390" spans="8:16" s="1" customFormat="1">
      <c r="H390" s="185"/>
      <c r="I390" s="185"/>
      <c r="J390" s="185"/>
      <c r="K390"/>
      <c r="L390"/>
      <c r="M390"/>
      <c r="N390"/>
      <c r="O390"/>
      <c r="P390"/>
    </row>
    <row r="391" spans="8:16" s="1" customFormat="1">
      <c r="H391" s="185"/>
      <c r="I391" s="185"/>
      <c r="J391" s="185"/>
      <c r="K391"/>
      <c r="L391"/>
      <c r="M391"/>
      <c r="N391"/>
      <c r="O391"/>
      <c r="P391"/>
    </row>
    <row r="392" spans="8:16" s="1" customFormat="1">
      <c r="H392" s="185"/>
      <c r="I392" s="185"/>
      <c r="J392" s="185"/>
      <c r="K392"/>
      <c r="L392"/>
      <c r="M392"/>
      <c r="N392"/>
      <c r="O392"/>
      <c r="P392"/>
    </row>
    <row r="393" spans="8:16" s="1" customFormat="1">
      <c r="H393" s="185"/>
      <c r="I393" s="185"/>
      <c r="J393" s="185"/>
      <c r="K393"/>
      <c r="L393"/>
      <c r="M393"/>
      <c r="N393"/>
      <c r="O393"/>
      <c r="P393"/>
    </row>
    <row r="394" spans="8:16" s="1" customFormat="1">
      <c r="H394" s="185"/>
      <c r="I394" s="185"/>
      <c r="J394" s="185"/>
      <c r="K394"/>
      <c r="L394"/>
      <c r="M394"/>
      <c r="N394"/>
      <c r="O394"/>
      <c r="P394"/>
    </row>
    <row r="395" spans="8:16" s="1" customFormat="1">
      <c r="H395" s="185"/>
      <c r="I395" s="185"/>
      <c r="J395" s="185"/>
      <c r="K395"/>
      <c r="L395"/>
      <c r="M395"/>
      <c r="N395"/>
      <c r="O395"/>
      <c r="P395"/>
    </row>
    <row r="396" spans="8:16" s="1" customFormat="1">
      <c r="H396" s="185"/>
      <c r="I396" s="185"/>
      <c r="J396" s="185"/>
      <c r="K396"/>
      <c r="L396"/>
      <c r="M396"/>
      <c r="N396"/>
      <c r="O396"/>
      <c r="P396"/>
    </row>
    <row r="397" spans="8:16" s="1" customFormat="1">
      <c r="H397" s="185"/>
      <c r="I397" s="185"/>
      <c r="J397" s="185"/>
      <c r="K397"/>
      <c r="L397"/>
      <c r="M397"/>
      <c r="N397"/>
      <c r="O397"/>
      <c r="P397"/>
    </row>
    <row r="398" spans="8:16" s="1" customFormat="1">
      <c r="H398" s="185"/>
      <c r="I398" s="185"/>
      <c r="J398" s="185"/>
      <c r="K398"/>
      <c r="L398"/>
      <c r="M398"/>
      <c r="N398"/>
      <c r="O398"/>
      <c r="P398"/>
    </row>
    <row r="399" spans="8:16" s="1" customFormat="1">
      <c r="H399" s="185"/>
      <c r="I399" s="185"/>
      <c r="J399" s="185"/>
      <c r="K399"/>
      <c r="L399"/>
      <c r="M399"/>
      <c r="N399"/>
      <c r="O399"/>
      <c r="P399"/>
    </row>
    <row r="400" spans="8:16" s="1" customFormat="1">
      <c r="H400" s="185"/>
      <c r="I400" s="185"/>
      <c r="J400" s="185"/>
      <c r="K400"/>
      <c r="L400"/>
      <c r="M400"/>
      <c r="N400"/>
      <c r="O400"/>
      <c r="P400"/>
    </row>
    <row r="401" spans="8:16" s="1" customFormat="1">
      <c r="H401" s="185"/>
      <c r="I401" s="185"/>
      <c r="J401" s="185"/>
      <c r="K401"/>
      <c r="L401"/>
      <c r="M401"/>
      <c r="N401"/>
      <c r="O401"/>
      <c r="P401"/>
    </row>
    <row r="402" spans="8:16" s="1" customFormat="1">
      <c r="H402" s="185"/>
      <c r="I402" s="185"/>
      <c r="J402" s="185"/>
      <c r="K402"/>
      <c r="L402"/>
      <c r="M402"/>
      <c r="N402"/>
      <c r="O402"/>
      <c r="P402"/>
    </row>
    <row r="403" spans="8:16" s="1" customFormat="1">
      <c r="H403" s="185"/>
      <c r="I403" s="185"/>
      <c r="J403" s="185"/>
      <c r="K403"/>
      <c r="L403"/>
      <c r="M403"/>
      <c r="N403"/>
      <c r="O403"/>
      <c r="P403"/>
    </row>
    <row r="404" spans="8:16" s="1" customFormat="1">
      <c r="H404" s="185"/>
      <c r="I404" s="185"/>
      <c r="J404" s="185"/>
      <c r="K404"/>
      <c r="L404"/>
      <c r="M404"/>
      <c r="N404"/>
      <c r="O404"/>
      <c r="P404"/>
    </row>
    <row r="405" spans="8:16" s="1" customFormat="1">
      <c r="H405" s="185"/>
      <c r="I405" s="185"/>
      <c r="J405" s="185"/>
      <c r="K405"/>
      <c r="L405"/>
      <c r="M405"/>
      <c r="N405"/>
      <c r="O405"/>
      <c r="P405"/>
    </row>
    <row r="406" spans="8:16" s="1" customFormat="1">
      <c r="H406" s="185"/>
      <c r="I406" s="185"/>
      <c r="J406" s="185"/>
      <c r="K406"/>
      <c r="L406"/>
      <c r="M406"/>
      <c r="N406"/>
      <c r="O406"/>
      <c r="P406"/>
    </row>
    <row r="407" spans="8:16" s="1" customFormat="1">
      <c r="H407" s="185"/>
      <c r="I407" s="185"/>
      <c r="J407" s="185"/>
      <c r="K407"/>
      <c r="L407"/>
      <c r="M407"/>
      <c r="N407"/>
      <c r="O407"/>
      <c r="P407"/>
    </row>
    <row r="408" spans="8:16" s="1" customFormat="1">
      <c r="H408" s="185"/>
      <c r="I408" s="185"/>
      <c r="J408" s="185"/>
      <c r="K408"/>
      <c r="L408"/>
      <c r="M408"/>
      <c r="N408"/>
      <c r="O408"/>
      <c r="P408"/>
    </row>
    <row r="409" spans="8:16" s="1" customFormat="1">
      <c r="H409" s="185"/>
      <c r="I409" s="185"/>
      <c r="J409" s="185"/>
      <c r="K409"/>
      <c r="L409"/>
      <c r="M409"/>
      <c r="N409"/>
      <c r="O409"/>
      <c r="P409"/>
    </row>
    <row r="410" spans="8:16" s="1" customFormat="1">
      <c r="H410" s="185"/>
      <c r="I410" s="185"/>
      <c r="J410" s="185"/>
      <c r="K410"/>
      <c r="L410"/>
      <c r="M410"/>
      <c r="N410"/>
      <c r="O410"/>
      <c r="P410"/>
    </row>
    <row r="411" spans="8:16" s="1" customFormat="1">
      <c r="H411" s="185"/>
      <c r="I411" s="185"/>
      <c r="J411" s="185"/>
      <c r="K411"/>
      <c r="L411"/>
      <c r="M411"/>
      <c r="N411"/>
      <c r="O411"/>
      <c r="P411"/>
    </row>
    <row r="412" spans="8:16" s="1" customFormat="1">
      <c r="H412" s="185"/>
      <c r="I412" s="185"/>
      <c r="J412" s="185"/>
      <c r="K412"/>
      <c r="L412"/>
      <c r="M412"/>
      <c r="N412"/>
      <c r="O412"/>
      <c r="P412"/>
    </row>
    <row r="413" spans="8:16" s="1" customFormat="1">
      <c r="H413" s="185"/>
      <c r="I413" s="185"/>
      <c r="J413" s="185"/>
      <c r="K413"/>
      <c r="L413"/>
      <c r="M413"/>
      <c r="N413"/>
      <c r="O413"/>
      <c r="P413"/>
    </row>
    <row r="414" spans="8:16" s="1" customFormat="1">
      <c r="H414" s="185"/>
      <c r="I414" s="185"/>
      <c r="J414" s="185"/>
      <c r="K414"/>
      <c r="L414"/>
      <c r="M414"/>
      <c r="N414"/>
      <c r="O414"/>
      <c r="P414"/>
    </row>
    <row r="415" spans="8:16" s="1" customFormat="1">
      <c r="H415" s="185"/>
      <c r="I415" s="185"/>
      <c r="J415" s="185"/>
      <c r="K415"/>
      <c r="L415"/>
      <c r="M415"/>
      <c r="N415"/>
      <c r="O415"/>
      <c r="P415"/>
    </row>
    <row r="416" spans="8:16" s="1" customFormat="1">
      <c r="H416" s="185"/>
      <c r="I416" s="185"/>
      <c r="J416" s="185"/>
      <c r="K416"/>
      <c r="L416"/>
      <c r="M416"/>
      <c r="N416"/>
      <c r="O416"/>
      <c r="P416"/>
    </row>
    <row r="417" spans="8:16" s="1" customFormat="1">
      <c r="H417" s="185"/>
      <c r="I417" s="185"/>
      <c r="J417" s="185"/>
      <c r="K417"/>
      <c r="L417"/>
      <c r="M417"/>
      <c r="N417"/>
      <c r="O417"/>
      <c r="P417"/>
    </row>
    <row r="418" spans="8:16" s="1" customFormat="1">
      <c r="H418" s="185"/>
      <c r="I418" s="185"/>
      <c r="J418" s="185"/>
      <c r="K418"/>
      <c r="L418"/>
      <c r="M418"/>
      <c r="N418"/>
      <c r="O418"/>
      <c r="P418"/>
    </row>
    <row r="419" spans="8:16" s="1" customFormat="1">
      <c r="H419" s="185"/>
      <c r="I419" s="185"/>
      <c r="J419" s="185"/>
      <c r="K419"/>
      <c r="L419"/>
      <c r="M419"/>
      <c r="N419"/>
      <c r="O419"/>
      <c r="P419"/>
    </row>
    <row r="420" spans="8:16" s="1" customFormat="1">
      <c r="H420" s="185"/>
      <c r="I420" s="185"/>
      <c r="J420" s="185"/>
      <c r="K420"/>
      <c r="L420"/>
      <c r="M420"/>
      <c r="N420"/>
      <c r="O420"/>
      <c r="P420"/>
    </row>
    <row r="421" spans="8:16" s="1" customFormat="1">
      <c r="H421" s="185"/>
      <c r="I421" s="185"/>
      <c r="J421" s="185"/>
      <c r="K421"/>
      <c r="L421"/>
      <c r="M421"/>
      <c r="N421"/>
      <c r="O421"/>
      <c r="P421"/>
    </row>
    <row r="422" spans="8:16" s="1" customFormat="1">
      <c r="H422" s="185"/>
      <c r="I422" s="185"/>
      <c r="J422" s="185"/>
      <c r="K422"/>
      <c r="L422"/>
      <c r="M422"/>
      <c r="N422"/>
      <c r="O422"/>
      <c r="P422"/>
    </row>
    <row r="423" spans="8:16" s="1" customFormat="1">
      <c r="H423" s="185"/>
      <c r="I423" s="185"/>
      <c r="J423" s="185"/>
      <c r="K423"/>
      <c r="L423"/>
      <c r="M423"/>
      <c r="N423"/>
      <c r="O423"/>
      <c r="P423"/>
    </row>
    <row r="424" spans="8:16" s="1" customFormat="1">
      <c r="H424" s="185"/>
      <c r="I424" s="185"/>
      <c r="J424" s="185"/>
      <c r="K424"/>
      <c r="L424"/>
      <c r="M424"/>
      <c r="N424"/>
      <c r="O424"/>
      <c r="P424"/>
    </row>
    <row r="425" spans="8:16" s="1" customFormat="1">
      <c r="H425" s="185"/>
      <c r="I425" s="185"/>
      <c r="J425" s="185"/>
      <c r="K425"/>
      <c r="L425"/>
      <c r="M425"/>
      <c r="N425"/>
      <c r="O425"/>
      <c r="P425"/>
    </row>
    <row r="426" spans="8:16" s="1" customFormat="1">
      <c r="H426" s="185"/>
      <c r="I426" s="185"/>
      <c r="J426" s="185"/>
      <c r="K426"/>
      <c r="L426"/>
      <c r="M426"/>
      <c r="N426"/>
      <c r="O426"/>
      <c r="P426"/>
    </row>
    <row r="427" spans="8:16" s="1" customFormat="1">
      <c r="H427" s="185"/>
      <c r="I427" s="185"/>
      <c r="J427" s="185"/>
      <c r="K427"/>
      <c r="L427"/>
      <c r="M427"/>
      <c r="N427"/>
      <c r="O427"/>
      <c r="P427"/>
    </row>
    <row r="428" spans="8:16" s="1" customFormat="1">
      <c r="H428" s="185"/>
      <c r="I428" s="185"/>
      <c r="J428" s="185"/>
      <c r="K428"/>
      <c r="L428"/>
      <c r="M428"/>
      <c r="N428"/>
      <c r="O428"/>
      <c r="P428"/>
    </row>
    <row r="429" spans="8:16" s="1" customFormat="1">
      <c r="H429" s="185"/>
      <c r="I429" s="185"/>
      <c r="J429" s="185"/>
      <c r="K429"/>
      <c r="L429"/>
      <c r="M429"/>
      <c r="N429"/>
      <c r="O429"/>
      <c r="P429"/>
    </row>
    <row r="430" spans="8:16" s="1" customFormat="1">
      <c r="H430" s="185"/>
      <c r="I430" s="185"/>
      <c r="J430" s="185"/>
      <c r="K430"/>
      <c r="L430"/>
      <c r="M430"/>
      <c r="N430"/>
      <c r="O430"/>
      <c r="P430"/>
    </row>
    <row r="431" spans="8:16" s="1" customFormat="1">
      <c r="H431" s="185"/>
      <c r="I431" s="185"/>
      <c r="J431" s="185"/>
      <c r="K431"/>
      <c r="L431"/>
      <c r="M431"/>
      <c r="N431"/>
      <c r="O431"/>
      <c r="P431"/>
    </row>
    <row r="432" spans="8:16" s="1" customFormat="1">
      <c r="H432" s="185"/>
      <c r="I432" s="185"/>
      <c r="J432" s="185"/>
      <c r="K432"/>
      <c r="L432"/>
      <c r="M432"/>
      <c r="N432"/>
      <c r="O432"/>
      <c r="P432"/>
    </row>
    <row r="433" spans="8:16" s="1" customFormat="1">
      <c r="H433" s="185"/>
      <c r="I433" s="185"/>
      <c r="J433" s="185"/>
      <c r="K433"/>
      <c r="L433"/>
      <c r="M433"/>
      <c r="N433"/>
      <c r="O433"/>
      <c r="P433"/>
    </row>
    <row r="434" spans="8:16" s="1" customFormat="1">
      <c r="H434" s="185"/>
      <c r="I434" s="185"/>
      <c r="J434" s="185"/>
      <c r="K434"/>
      <c r="L434"/>
      <c r="M434"/>
      <c r="N434"/>
      <c r="O434"/>
      <c r="P434"/>
    </row>
    <row r="435" spans="8:16" s="1" customFormat="1">
      <c r="H435" s="185"/>
      <c r="I435" s="185"/>
      <c r="J435" s="185"/>
      <c r="K435"/>
      <c r="L435"/>
      <c r="M435"/>
      <c r="N435"/>
      <c r="O435"/>
      <c r="P435"/>
    </row>
    <row r="436" spans="8:16" s="1" customFormat="1">
      <c r="H436" s="185"/>
      <c r="I436" s="185"/>
      <c r="J436" s="185"/>
      <c r="K436"/>
      <c r="L436"/>
      <c r="M436"/>
      <c r="N436"/>
      <c r="O436"/>
      <c r="P436"/>
    </row>
    <row r="437" spans="8:16" s="1" customFormat="1">
      <c r="H437" s="185"/>
      <c r="I437" s="185"/>
      <c r="J437" s="185"/>
      <c r="K437"/>
      <c r="L437"/>
      <c r="M437"/>
      <c r="N437"/>
      <c r="O437"/>
      <c r="P437"/>
    </row>
    <row r="438" spans="8:16" s="1" customFormat="1">
      <c r="H438" s="185"/>
      <c r="I438" s="185"/>
      <c r="J438" s="185"/>
      <c r="K438"/>
      <c r="L438"/>
      <c r="M438"/>
      <c r="N438"/>
      <c r="O438"/>
      <c r="P438"/>
    </row>
    <row r="439" spans="8:16" s="1" customFormat="1">
      <c r="H439" s="185"/>
      <c r="I439" s="185"/>
      <c r="J439" s="185"/>
      <c r="K439"/>
      <c r="L439"/>
      <c r="M439"/>
      <c r="N439"/>
      <c r="O439"/>
      <c r="P439"/>
    </row>
    <row r="440" spans="8:16" s="1" customFormat="1">
      <c r="H440" s="185"/>
      <c r="I440" s="185"/>
      <c r="J440" s="185"/>
      <c r="K440"/>
      <c r="L440"/>
      <c r="M440"/>
      <c r="N440"/>
      <c r="O440"/>
      <c r="P440"/>
    </row>
    <row r="441" spans="8:16" s="1" customFormat="1">
      <c r="H441" s="185"/>
      <c r="I441" s="185"/>
      <c r="J441" s="185"/>
      <c r="K441"/>
      <c r="L441"/>
      <c r="M441"/>
      <c r="N441"/>
      <c r="O441"/>
      <c r="P441"/>
    </row>
    <row r="442" spans="8:16" s="1" customFormat="1">
      <c r="H442" s="185"/>
      <c r="I442" s="185"/>
      <c r="J442" s="185"/>
      <c r="K442"/>
      <c r="L442"/>
      <c r="M442"/>
      <c r="N442"/>
      <c r="O442"/>
      <c r="P442"/>
    </row>
    <row r="443" spans="8:16" s="1" customFormat="1">
      <c r="H443" s="185"/>
      <c r="I443" s="185"/>
      <c r="J443" s="185"/>
      <c r="K443"/>
      <c r="L443"/>
      <c r="M443"/>
      <c r="N443"/>
      <c r="O443"/>
      <c r="P443"/>
    </row>
    <row r="444" spans="8:16" s="1" customFormat="1">
      <c r="H444" s="185"/>
      <c r="I444" s="185"/>
      <c r="J444" s="185"/>
      <c r="K444"/>
      <c r="L444"/>
      <c r="M444"/>
      <c r="N444"/>
      <c r="O444"/>
      <c r="P444"/>
    </row>
    <row r="445" spans="8:16" s="1" customFormat="1">
      <c r="H445" s="185"/>
      <c r="I445" s="185"/>
      <c r="J445" s="185"/>
      <c r="K445"/>
      <c r="L445"/>
      <c r="M445"/>
      <c r="N445"/>
      <c r="O445"/>
      <c r="P445"/>
    </row>
    <row r="446" spans="8:16" s="1" customFormat="1">
      <c r="H446" s="185"/>
      <c r="I446" s="185"/>
      <c r="J446" s="185"/>
      <c r="K446"/>
      <c r="L446"/>
      <c r="M446"/>
      <c r="N446"/>
      <c r="O446"/>
      <c r="P446"/>
    </row>
    <row r="447" spans="8:16" s="1" customFormat="1">
      <c r="H447" s="185"/>
      <c r="I447" s="185"/>
      <c r="J447" s="185"/>
      <c r="K447"/>
      <c r="L447"/>
      <c r="M447"/>
      <c r="N447"/>
      <c r="O447"/>
      <c r="P447"/>
    </row>
    <row r="448" spans="8:16" s="1" customFormat="1">
      <c r="H448" s="185"/>
      <c r="I448" s="185"/>
      <c r="J448" s="185"/>
      <c r="K448"/>
      <c r="L448"/>
      <c r="M448"/>
      <c r="N448"/>
      <c r="O448"/>
      <c r="P448"/>
    </row>
    <row r="449" spans="8:16" s="1" customFormat="1">
      <c r="H449" s="185"/>
      <c r="I449" s="185"/>
      <c r="J449" s="185"/>
      <c r="K449"/>
      <c r="L449"/>
      <c r="M449"/>
      <c r="N449"/>
      <c r="O449"/>
      <c r="P449"/>
    </row>
    <row r="450" spans="8:16" s="1" customFormat="1">
      <c r="H450" s="185"/>
      <c r="I450" s="185"/>
      <c r="J450" s="185"/>
      <c r="K450"/>
      <c r="L450"/>
      <c r="M450"/>
      <c r="N450"/>
      <c r="O450"/>
      <c r="P450"/>
    </row>
    <row r="451" spans="8:16" s="1" customFormat="1">
      <c r="H451" s="185"/>
      <c r="I451" s="185"/>
      <c r="J451" s="185"/>
      <c r="K451"/>
      <c r="L451"/>
      <c r="M451"/>
      <c r="N451"/>
      <c r="O451"/>
      <c r="P451"/>
    </row>
    <row r="452" spans="8:16" s="1" customFormat="1">
      <c r="H452" s="185"/>
      <c r="I452" s="185"/>
      <c r="J452" s="185"/>
      <c r="K452"/>
      <c r="L452"/>
      <c r="M452"/>
      <c r="N452"/>
      <c r="O452"/>
      <c r="P452"/>
    </row>
    <row r="453" spans="8:16" s="1" customFormat="1">
      <c r="H453" s="185"/>
      <c r="I453" s="185"/>
      <c r="J453" s="185"/>
      <c r="K453"/>
      <c r="L453"/>
      <c r="M453"/>
      <c r="N453"/>
      <c r="O453"/>
      <c r="P453"/>
    </row>
    <row r="454" spans="8:16" s="1" customFormat="1">
      <c r="H454" s="185"/>
      <c r="I454" s="185"/>
      <c r="J454" s="185"/>
      <c r="K454"/>
      <c r="L454"/>
      <c r="M454"/>
      <c r="N454"/>
      <c r="O454"/>
      <c r="P454"/>
    </row>
    <row r="455" spans="8:16" s="1" customFormat="1">
      <c r="H455" s="185"/>
      <c r="I455" s="185"/>
      <c r="J455" s="185"/>
      <c r="K455"/>
      <c r="L455"/>
      <c r="M455"/>
      <c r="N455"/>
      <c r="O455"/>
      <c r="P455"/>
    </row>
    <row r="456" spans="8:16" s="1" customFormat="1">
      <c r="H456" s="185"/>
      <c r="I456" s="185"/>
      <c r="J456" s="185"/>
      <c r="K456"/>
      <c r="L456"/>
      <c r="M456"/>
      <c r="N456"/>
      <c r="O456"/>
      <c r="P456"/>
    </row>
    <row r="457" spans="8:16" s="1" customFormat="1">
      <c r="H457" s="185"/>
      <c r="I457" s="185"/>
      <c r="J457" s="185"/>
      <c r="K457"/>
      <c r="L457"/>
      <c r="M457"/>
      <c r="N457"/>
      <c r="O457"/>
      <c r="P457"/>
    </row>
    <row r="458" spans="8:16" s="1" customFormat="1">
      <c r="H458" s="185"/>
      <c r="I458" s="185"/>
      <c r="J458" s="185"/>
      <c r="K458"/>
      <c r="L458"/>
      <c r="M458"/>
      <c r="N458"/>
      <c r="O458"/>
      <c r="P458"/>
    </row>
    <row r="459" spans="8:16" s="1" customFormat="1">
      <c r="H459" s="185"/>
      <c r="I459" s="185"/>
      <c r="J459" s="185"/>
      <c r="K459"/>
      <c r="L459"/>
      <c r="M459"/>
      <c r="N459"/>
      <c r="O459"/>
      <c r="P459"/>
    </row>
    <row r="460" spans="8:16" s="1" customFormat="1">
      <c r="H460" s="185"/>
      <c r="I460" s="185"/>
      <c r="J460" s="185"/>
      <c r="K460"/>
      <c r="L460"/>
      <c r="M460"/>
      <c r="N460"/>
      <c r="O460"/>
      <c r="P460"/>
    </row>
    <row r="461" spans="8:16" s="1" customFormat="1">
      <c r="H461" s="185"/>
      <c r="I461" s="185"/>
      <c r="J461" s="185"/>
      <c r="K461"/>
      <c r="L461"/>
      <c r="M461"/>
      <c r="N461"/>
      <c r="O461"/>
      <c r="P461"/>
    </row>
    <row r="462" spans="8:16" s="1" customFormat="1">
      <c r="H462" s="185"/>
      <c r="I462" s="185"/>
      <c r="J462" s="185"/>
      <c r="K462"/>
      <c r="L462"/>
      <c r="M462"/>
      <c r="N462"/>
      <c r="O462"/>
      <c r="P462"/>
    </row>
    <row r="463" spans="8:16" s="1" customFormat="1">
      <c r="H463" s="185"/>
      <c r="I463" s="185"/>
      <c r="J463" s="185"/>
      <c r="K463"/>
      <c r="L463"/>
      <c r="M463"/>
      <c r="N463"/>
      <c r="O463"/>
      <c r="P463"/>
    </row>
    <row r="464" spans="8:16" s="1" customFormat="1">
      <c r="H464" s="185"/>
      <c r="I464" s="185"/>
      <c r="J464" s="185"/>
      <c r="K464"/>
      <c r="L464"/>
      <c r="M464"/>
      <c r="N464"/>
      <c r="O464"/>
      <c r="P464"/>
    </row>
    <row r="465" spans="8:16" s="1" customFormat="1">
      <c r="H465" s="185"/>
      <c r="I465" s="185"/>
      <c r="J465" s="185"/>
      <c r="K465"/>
      <c r="L465"/>
      <c r="M465"/>
      <c r="N465"/>
      <c r="O465"/>
      <c r="P465"/>
    </row>
    <row r="466" spans="8:16" s="1" customFormat="1">
      <c r="H466" s="185"/>
      <c r="I466" s="185"/>
      <c r="J466" s="185"/>
      <c r="K466"/>
      <c r="L466"/>
      <c r="M466"/>
      <c r="N466"/>
      <c r="O466"/>
      <c r="P466"/>
    </row>
    <row r="467" spans="8:16" s="1" customFormat="1">
      <c r="H467" s="185"/>
      <c r="I467" s="185"/>
      <c r="J467" s="185"/>
      <c r="K467"/>
      <c r="L467"/>
      <c r="M467"/>
      <c r="N467"/>
      <c r="O467"/>
      <c r="P467"/>
    </row>
    <row r="468" spans="8:16" s="1" customFormat="1">
      <c r="H468" s="185"/>
      <c r="I468" s="185"/>
      <c r="J468" s="185"/>
      <c r="K468"/>
      <c r="L468"/>
      <c r="M468"/>
      <c r="N468"/>
      <c r="O468"/>
      <c r="P468"/>
    </row>
    <row r="469" spans="8:16" s="1" customFormat="1">
      <c r="H469" s="185"/>
      <c r="I469" s="185"/>
      <c r="J469" s="185"/>
      <c r="K469"/>
      <c r="L469"/>
      <c r="M469"/>
      <c r="N469"/>
      <c r="O469"/>
      <c r="P469"/>
    </row>
    <row r="470" spans="8:16" s="1" customFormat="1">
      <c r="H470" s="185"/>
      <c r="I470" s="185"/>
      <c r="J470" s="185"/>
      <c r="K470"/>
      <c r="L470"/>
      <c r="M470"/>
      <c r="N470"/>
      <c r="O470"/>
      <c r="P470"/>
    </row>
    <row r="471" spans="8:16" s="1" customFormat="1">
      <c r="H471" s="185"/>
      <c r="I471" s="185"/>
      <c r="J471" s="185"/>
      <c r="K471"/>
      <c r="L471"/>
      <c r="M471"/>
      <c r="N471"/>
      <c r="O471"/>
      <c r="P471"/>
    </row>
    <row r="472" spans="8:16" s="1" customFormat="1">
      <c r="H472" s="185"/>
      <c r="I472" s="185"/>
      <c r="J472" s="185"/>
      <c r="K472"/>
      <c r="L472"/>
      <c r="M472"/>
      <c r="N472"/>
      <c r="O472"/>
      <c r="P472"/>
    </row>
    <row r="473" spans="8:16" s="1" customFormat="1">
      <c r="H473" s="185"/>
      <c r="I473" s="185"/>
      <c r="J473" s="185"/>
      <c r="K473"/>
      <c r="L473"/>
      <c r="M473"/>
      <c r="N473"/>
      <c r="O473"/>
      <c r="P473"/>
    </row>
    <row r="474" spans="8:16" s="1" customFormat="1">
      <c r="H474" s="185"/>
      <c r="I474" s="185"/>
      <c r="J474" s="185"/>
      <c r="K474"/>
      <c r="L474"/>
      <c r="M474"/>
      <c r="N474"/>
      <c r="O474"/>
      <c r="P474"/>
    </row>
    <row r="475" spans="8:16" s="1" customFormat="1">
      <c r="H475" s="185"/>
      <c r="I475" s="185"/>
      <c r="J475" s="185"/>
      <c r="K475"/>
      <c r="L475"/>
      <c r="M475"/>
      <c r="N475"/>
      <c r="O475"/>
      <c r="P475"/>
    </row>
    <row r="476" spans="8:16" s="1" customFormat="1">
      <c r="H476" s="185"/>
      <c r="I476" s="185"/>
      <c r="J476" s="185"/>
      <c r="K476"/>
      <c r="L476"/>
      <c r="M476"/>
      <c r="N476"/>
      <c r="O476"/>
      <c r="P476"/>
    </row>
    <row r="477" spans="8:16" s="1" customFormat="1">
      <c r="H477" s="185"/>
      <c r="I477" s="185"/>
      <c r="J477" s="185"/>
      <c r="K477"/>
      <c r="L477"/>
      <c r="M477"/>
      <c r="N477"/>
      <c r="O477"/>
      <c r="P477"/>
    </row>
    <row r="478" spans="8:16" s="1" customFormat="1">
      <c r="H478" s="185"/>
      <c r="I478" s="185"/>
      <c r="J478" s="185"/>
      <c r="K478"/>
      <c r="L478"/>
      <c r="M478"/>
      <c r="N478"/>
      <c r="O478"/>
      <c r="P478"/>
    </row>
    <row r="479" spans="8:16" s="1" customFormat="1">
      <c r="H479" s="185"/>
      <c r="I479" s="185"/>
      <c r="J479" s="185"/>
      <c r="K479"/>
      <c r="L479"/>
      <c r="M479"/>
      <c r="N479"/>
      <c r="O479"/>
      <c r="P479"/>
    </row>
    <row r="480" spans="8:16" s="1" customFormat="1">
      <c r="H480" s="185"/>
      <c r="I480" s="185"/>
      <c r="J480" s="185"/>
      <c r="K480"/>
      <c r="L480"/>
      <c r="M480"/>
      <c r="N480"/>
      <c r="O480"/>
      <c r="P480"/>
    </row>
    <row r="481" spans="8:16" s="1" customFormat="1">
      <c r="H481" s="185"/>
      <c r="I481" s="185"/>
      <c r="J481" s="185"/>
      <c r="K481"/>
      <c r="L481"/>
      <c r="M481"/>
      <c r="N481"/>
      <c r="O481"/>
      <c r="P481"/>
    </row>
    <row r="482" spans="8:16" s="1" customFormat="1">
      <c r="H482" s="185"/>
      <c r="I482" s="185"/>
      <c r="J482" s="185"/>
      <c r="K482"/>
      <c r="L482"/>
      <c r="M482"/>
      <c r="N482"/>
      <c r="O482"/>
      <c r="P482"/>
    </row>
    <row r="483" spans="8:16" s="1" customFormat="1">
      <c r="H483" s="185"/>
      <c r="I483" s="185"/>
      <c r="J483" s="185"/>
      <c r="K483"/>
      <c r="L483"/>
      <c r="M483"/>
      <c r="N483"/>
      <c r="O483"/>
      <c r="P483"/>
    </row>
    <row r="484" spans="8:16" s="1" customFormat="1">
      <c r="H484" s="185"/>
      <c r="I484" s="185"/>
      <c r="J484" s="185"/>
      <c r="K484"/>
      <c r="L484"/>
      <c r="M484"/>
      <c r="N484"/>
      <c r="O484"/>
      <c r="P484"/>
    </row>
    <row r="485" spans="8:16" s="1" customFormat="1">
      <c r="H485" s="185"/>
      <c r="I485" s="185"/>
      <c r="J485" s="185"/>
      <c r="K485"/>
      <c r="L485"/>
      <c r="M485"/>
      <c r="N485"/>
      <c r="O485"/>
      <c r="P485"/>
    </row>
    <row r="486" spans="8:16" s="1" customFormat="1">
      <c r="H486" s="185"/>
      <c r="I486" s="185"/>
      <c r="J486" s="185"/>
      <c r="K486"/>
      <c r="L486"/>
      <c r="M486"/>
      <c r="N486"/>
      <c r="O486"/>
      <c r="P486"/>
    </row>
    <row r="487" spans="8:16" s="1" customFormat="1">
      <c r="H487" s="185"/>
      <c r="I487" s="185"/>
      <c r="J487" s="185"/>
      <c r="K487"/>
      <c r="L487"/>
      <c r="M487"/>
      <c r="N487"/>
      <c r="O487"/>
      <c r="P487"/>
    </row>
    <row r="488" spans="8:16" s="1" customFormat="1">
      <c r="H488" s="185"/>
      <c r="I488" s="185"/>
      <c r="J488" s="185"/>
      <c r="K488"/>
      <c r="L488"/>
      <c r="M488"/>
      <c r="N488"/>
      <c r="O488"/>
      <c r="P488"/>
    </row>
    <row r="489" spans="8:16" s="1" customFormat="1">
      <c r="H489" s="185"/>
      <c r="I489" s="185"/>
      <c r="J489" s="185"/>
      <c r="K489"/>
      <c r="L489"/>
      <c r="M489"/>
      <c r="N489"/>
      <c r="O489"/>
      <c r="P489"/>
    </row>
    <row r="490" spans="8:16" s="1" customFormat="1">
      <c r="H490" s="185"/>
      <c r="I490" s="185"/>
      <c r="J490" s="185"/>
      <c r="K490"/>
      <c r="L490"/>
      <c r="M490"/>
      <c r="N490"/>
      <c r="O490"/>
      <c r="P490"/>
    </row>
    <row r="491" spans="8:16" s="1" customFormat="1">
      <c r="H491" s="185"/>
      <c r="I491" s="185"/>
      <c r="J491" s="185"/>
      <c r="K491"/>
      <c r="L491"/>
      <c r="M491"/>
      <c r="N491"/>
      <c r="O491"/>
      <c r="P491"/>
    </row>
    <row r="492" spans="8:16" s="1" customFormat="1">
      <c r="H492" s="185"/>
      <c r="I492" s="185"/>
      <c r="J492" s="185"/>
      <c r="K492"/>
      <c r="L492"/>
      <c r="M492"/>
      <c r="N492"/>
      <c r="O492"/>
      <c r="P492"/>
    </row>
    <row r="493" spans="8:16" s="1" customFormat="1">
      <c r="H493" s="185"/>
      <c r="I493" s="185"/>
      <c r="J493" s="185"/>
      <c r="K493"/>
      <c r="L493"/>
      <c r="M493"/>
      <c r="N493"/>
      <c r="O493"/>
      <c r="P493"/>
    </row>
    <row r="494" spans="8:16" s="1" customFormat="1">
      <c r="H494" s="185"/>
      <c r="I494" s="185"/>
      <c r="J494" s="185"/>
      <c r="K494"/>
      <c r="L494"/>
      <c r="M494"/>
      <c r="N494"/>
      <c r="O494"/>
      <c r="P494"/>
    </row>
    <row r="495" spans="8:16" s="1" customFormat="1">
      <c r="H495" s="185"/>
      <c r="I495" s="185"/>
      <c r="J495" s="185"/>
      <c r="K495"/>
      <c r="L495"/>
      <c r="M495"/>
      <c r="N495"/>
      <c r="O495"/>
      <c r="P495"/>
    </row>
    <row r="496" spans="8:16" s="1" customFormat="1">
      <c r="H496" s="185"/>
      <c r="I496" s="185"/>
      <c r="J496" s="185"/>
      <c r="K496"/>
      <c r="L496"/>
      <c r="M496"/>
      <c r="N496"/>
      <c r="O496"/>
      <c r="P496"/>
    </row>
    <row r="497" spans="8:16" s="1" customFormat="1">
      <c r="H497" s="185"/>
      <c r="I497" s="185"/>
      <c r="J497" s="185"/>
      <c r="K497"/>
      <c r="L497"/>
      <c r="M497"/>
      <c r="N497"/>
      <c r="O497"/>
      <c r="P497"/>
    </row>
    <row r="498" spans="8:16" s="1" customFormat="1">
      <c r="H498" s="185"/>
      <c r="I498" s="185"/>
      <c r="J498" s="185"/>
      <c r="K498"/>
      <c r="L498"/>
      <c r="M498"/>
      <c r="N498"/>
      <c r="O498"/>
      <c r="P498"/>
    </row>
    <row r="499" spans="8:16" s="1" customFormat="1">
      <c r="H499" s="185"/>
      <c r="I499" s="185"/>
      <c r="J499" s="185"/>
      <c r="K499"/>
      <c r="L499"/>
      <c r="M499"/>
      <c r="N499"/>
      <c r="O499"/>
      <c r="P499"/>
    </row>
    <row r="500" spans="8:16" s="1" customFormat="1">
      <c r="H500" s="185"/>
      <c r="I500" s="185"/>
      <c r="J500" s="185"/>
      <c r="K500"/>
      <c r="L500"/>
      <c r="M500"/>
      <c r="N500"/>
      <c r="O500"/>
      <c r="P500"/>
    </row>
    <row r="501" spans="8:16" s="1" customFormat="1">
      <c r="H501" s="185"/>
      <c r="I501" s="185"/>
      <c r="J501" s="185"/>
      <c r="K501"/>
      <c r="L501"/>
      <c r="M501"/>
      <c r="N501"/>
      <c r="O501"/>
      <c r="P501"/>
    </row>
    <row r="502" spans="8:16" s="1" customFormat="1">
      <c r="H502" s="185"/>
      <c r="I502" s="185"/>
      <c r="J502" s="185"/>
      <c r="K502"/>
      <c r="L502"/>
      <c r="M502"/>
      <c r="N502"/>
      <c r="O502"/>
      <c r="P502"/>
    </row>
    <row r="503" spans="8:16" s="1" customFormat="1">
      <c r="H503" s="185"/>
      <c r="I503" s="185"/>
      <c r="J503" s="185"/>
      <c r="K503"/>
      <c r="L503"/>
      <c r="M503"/>
      <c r="N503"/>
      <c r="O503"/>
      <c r="P503"/>
    </row>
    <row r="504" spans="8:16" s="1" customFormat="1">
      <c r="H504" s="185"/>
      <c r="I504" s="185"/>
      <c r="J504" s="185"/>
      <c r="K504"/>
      <c r="L504"/>
      <c r="M504"/>
      <c r="N504"/>
      <c r="O504"/>
      <c r="P504"/>
    </row>
    <row r="505" spans="8:16" s="1" customFormat="1">
      <c r="H505" s="185"/>
      <c r="I505" s="185"/>
      <c r="J505" s="185"/>
      <c r="K505"/>
      <c r="L505"/>
      <c r="M505"/>
      <c r="N505"/>
      <c r="O505"/>
      <c r="P505"/>
    </row>
    <row r="506" spans="8:16" s="1" customFormat="1">
      <c r="H506" s="185"/>
      <c r="I506" s="185"/>
      <c r="J506" s="185"/>
      <c r="K506"/>
      <c r="L506"/>
      <c r="M506"/>
      <c r="N506"/>
      <c r="O506"/>
      <c r="P506"/>
    </row>
    <row r="507" spans="8:16" s="1" customFormat="1">
      <c r="H507" s="185"/>
      <c r="I507" s="185"/>
      <c r="J507" s="185"/>
      <c r="K507"/>
      <c r="L507"/>
      <c r="M507"/>
      <c r="N507"/>
      <c r="O507"/>
      <c r="P507"/>
    </row>
    <row r="508" spans="8:16" s="1" customFormat="1">
      <c r="H508" s="185"/>
      <c r="I508" s="185"/>
      <c r="J508" s="185"/>
      <c r="K508"/>
      <c r="L508"/>
      <c r="M508"/>
      <c r="N508"/>
      <c r="O508"/>
      <c r="P508"/>
    </row>
    <row r="509" spans="8:16" s="1" customFormat="1">
      <c r="H509" s="185"/>
      <c r="I509" s="185"/>
      <c r="J509" s="185"/>
      <c r="K509"/>
      <c r="L509"/>
      <c r="M509"/>
      <c r="N509"/>
      <c r="O509"/>
      <c r="P509"/>
    </row>
    <row r="510" spans="8:16" s="1" customFormat="1">
      <c r="H510" s="185"/>
      <c r="I510" s="185"/>
      <c r="J510" s="185"/>
      <c r="K510"/>
      <c r="L510"/>
      <c r="M510"/>
      <c r="N510"/>
      <c r="O510"/>
      <c r="P510"/>
    </row>
    <row r="511" spans="8:16" s="1" customFormat="1">
      <c r="H511" s="185"/>
      <c r="I511" s="185"/>
      <c r="J511" s="185"/>
      <c r="K511"/>
      <c r="L511"/>
      <c r="M511"/>
      <c r="N511"/>
      <c r="O511"/>
      <c r="P511"/>
    </row>
    <row r="512" spans="8:16" s="1" customFormat="1">
      <c r="H512" s="185"/>
      <c r="I512" s="185"/>
      <c r="J512" s="185"/>
      <c r="K512"/>
      <c r="L512"/>
      <c r="M512"/>
      <c r="N512"/>
      <c r="O512"/>
      <c r="P512"/>
    </row>
    <row r="513" spans="8:16" s="1" customFormat="1">
      <c r="H513" s="185"/>
      <c r="I513" s="185"/>
      <c r="J513" s="185"/>
      <c r="K513"/>
      <c r="L513"/>
      <c r="M513"/>
      <c r="N513"/>
      <c r="O513"/>
      <c r="P513"/>
    </row>
    <row r="514" spans="8:16" s="1" customFormat="1">
      <c r="H514" s="185"/>
      <c r="I514" s="185"/>
      <c r="J514" s="185"/>
      <c r="K514"/>
      <c r="L514"/>
      <c r="M514"/>
      <c r="N514"/>
      <c r="O514"/>
      <c r="P514"/>
    </row>
    <row r="515" spans="8:16" s="1" customFormat="1">
      <c r="H515" s="185"/>
      <c r="I515" s="185"/>
      <c r="J515" s="185"/>
      <c r="K515"/>
      <c r="L515"/>
      <c r="M515"/>
      <c r="N515"/>
      <c r="O515"/>
      <c r="P515"/>
    </row>
    <row r="516" spans="8:16" s="1" customFormat="1">
      <c r="H516" s="185"/>
      <c r="I516" s="185"/>
      <c r="J516" s="185"/>
      <c r="K516"/>
      <c r="L516"/>
      <c r="M516"/>
      <c r="N516"/>
      <c r="O516"/>
      <c r="P516"/>
    </row>
    <row r="517" spans="8:16" s="1" customFormat="1">
      <c r="H517" s="185"/>
      <c r="I517" s="185"/>
      <c r="J517" s="185"/>
      <c r="K517"/>
      <c r="L517"/>
      <c r="M517"/>
      <c r="N517"/>
      <c r="O517"/>
      <c r="P517"/>
    </row>
    <row r="518" spans="8:16" s="1" customFormat="1">
      <c r="H518" s="185"/>
      <c r="I518" s="185"/>
      <c r="J518" s="185"/>
      <c r="K518"/>
      <c r="L518"/>
      <c r="M518"/>
      <c r="N518"/>
      <c r="O518"/>
      <c r="P518"/>
    </row>
    <row r="519" spans="8:16" s="1" customFormat="1">
      <c r="H519" s="185"/>
      <c r="I519" s="185"/>
      <c r="J519" s="185"/>
      <c r="K519"/>
      <c r="L519"/>
      <c r="M519"/>
      <c r="N519"/>
      <c r="O519"/>
      <c r="P519"/>
    </row>
    <row r="520" spans="8:16" s="1" customFormat="1">
      <c r="H520" s="185"/>
      <c r="I520" s="185"/>
      <c r="J520" s="185"/>
      <c r="K520"/>
      <c r="L520"/>
      <c r="M520"/>
      <c r="N520"/>
      <c r="O520"/>
      <c r="P520"/>
    </row>
    <row r="521" spans="8:16" s="1" customFormat="1">
      <c r="H521" s="185"/>
      <c r="I521" s="185"/>
      <c r="J521" s="185"/>
      <c r="K521"/>
      <c r="L521"/>
      <c r="M521"/>
      <c r="N521"/>
      <c r="O521"/>
      <c r="P521"/>
    </row>
    <row r="522" spans="8:16" s="1" customFormat="1">
      <c r="H522" s="185"/>
      <c r="I522" s="185"/>
      <c r="J522" s="185"/>
      <c r="K522"/>
      <c r="L522"/>
      <c r="M522"/>
      <c r="N522"/>
      <c r="O522"/>
      <c r="P522"/>
    </row>
    <row r="523" spans="8:16" s="1" customFormat="1">
      <c r="H523" s="185"/>
      <c r="I523" s="185"/>
      <c r="J523" s="185"/>
      <c r="K523"/>
      <c r="L523"/>
      <c r="M523"/>
      <c r="N523"/>
      <c r="O523"/>
      <c r="P523"/>
    </row>
    <row r="524" spans="8:16" s="1" customFormat="1">
      <c r="H524" s="185"/>
      <c r="I524" s="185"/>
      <c r="J524" s="185"/>
      <c r="K524"/>
      <c r="L524"/>
      <c r="M524"/>
      <c r="N524"/>
      <c r="O524"/>
      <c r="P524"/>
    </row>
    <row r="525" spans="8:16" s="1" customFormat="1">
      <c r="H525" s="185"/>
      <c r="I525" s="185"/>
      <c r="J525" s="185"/>
      <c r="K525"/>
      <c r="L525"/>
      <c r="M525"/>
      <c r="N525"/>
      <c r="O525"/>
      <c r="P525"/>
    </row>
    <row r="526" spans="8:16" s="1" customFormat="1">
      <c r="H526" s="185"/>
      <c r="I526" s="185"/>
      <c r="J526" s="185"/>
      <c r="K526"/>
      <c r="L526"/>
      <c r="M526"/>
      <c r="N526"/>
      <c r="O526"/>
      <c r="P526"/>
    </row>
    <row r="527" spans="8:16" s="1" customFormat="1">
      <c r="H527" s="185"/>
      <c r="I527" s="185"/>
      <c r="J527" s="185"/>
      <c r="K527"/>
      <c r="L527"/>
      <c r="M527"/>
      <c r="N527"/>
      <c r="O527"/>
      <c r="P527"/>
    </row>
    <row r="528" spans="8:16" s="1" customFormat="1">
      <c r="H528" s="185"/>
      <c r="I528" s="185"/>
      <c r="J528" s="185"/>
      <c r="K528"/>
      <c r="L528"/>
      <c r="M528"/>
      <c r="N528"/>
      <c r="O528"/>
      <c r="P528"/>
    </row>
    <row r="529" spans="8:16" s="1" customFormat="1">
      <c r="H529" s="185"/>
      <c r="I529" s="185"/>
      <c r="J529" s="185"/>
      <c r="K529"/>
      <c r="L529"/>
      <c r="M529"/>
      <c r="N529"/>
      <c r="O529"/>
      <c r="P529"/>
    </row>
    <row r="530" spans="8:16" s="1" customFormat="1">
      <c r="H530" s="185"/>
      <c r="I530" s="185"/>
      <c r="J530" s="185"/>
      <c r="K530"/>
      <c r="L530"/>
      <c r="M530"/>
      <c r="N530"/>
      <c r="O530"/>
      <c r="P530"/>
    </row>
    <row r="531" spans="8:16" s="1" customFormat="1">
      <c r="H531" s="185"/>
      <c r="I531" s="185"/>
      <c r="J531" s="185"/>
      <c r="K531"/>
      <c r="L531"/>
      <c r="M531"/>
      <c r="N531"/>
      <c r="O531"/>
      <c r="P531"/>
    </row>
    <row r="532" spans="8:16" s="1" customFormat="1">
      <c r="H532" s="185"/>
      <c r="I532" s="185"/>
      <c r="J532" s="185"/>
      <c r="K532"/>
      <c r="L532"/>
      <c r="M532"/>
      <c r="N532"/>
      <c r="O532"/>
      <c r="P532"/>
    </row>
    <row r="533" spans="8:16" s="1" customFormat="1">
      <c r="H533" s="185"/>
      <c r="I533" s="185"/>
      <c r="J533" s="185"/>
      <c r="K533"/>
      <c r="L533"/>
      <c r="M533"/>
      <c r="N533"/>
      <c r="O533"/>
      <c r="P533"/>
    </row>
    <row r="534" spans="8:16" s="1" customFormat="1">
      <c r="H534" s="185"/>
      <c r="I534" s="185"/>
      <c r="J534" s="185"/>
      <c r="K534"/>
      <c r="L534"/>
      <c r="M534"/>
      <c r="N534"/>
      <c r="O534"/>
      <c r="P534"/>
    </row>
    <row r="535" spans="8:16" s="1" customFormat="1">
      <c r="H535" s="185"/>
      <c r="I535" s="185"/>
      <c r="J535" s="185"/>
      <c r="K535"/>
      <c r="L535"/>
      <c r="M535"/>
      <c r="N535"/>
      <c r="O535"/>
      <c r="P535"/>
    </row>
    <row r="536" spans="8:16" s="1" customFormat="1">
      <c r="H536" s="185"/>
      <c r="I536" s="185"/>
      <c r="J536" s="185"/>
      <c r="K536"/>
      <c r="L536"/>
      <c r="M536"/>
      <c r="N536"/>
      <c r="O536"/>
      <c r="P536"/>
    </row>
    <row r="537" spans="8:16" s="1" customFormat="1">
      <c r="H537" s="185"/>
      <c r="I537" s="185"/>
      <c r="J537" s="185"/>
      <c r="K537"/>
      <c r="L537"/>
      <c r="M537"/>
      <c r="N537"/>
      <c r="O537"/>
      <c r="P537"/>
    </row>
    <row r="538" spans="8:16" s="1" customFormat="1">
      <c r="H538" s="185"/>
      <c r="I538" s="185"/>
      <c r="J538" s="185"/>
      <c r="K538"/>
      <c r="L538"/>
      <c r="M538"/>
      <c r="N538"/>
      <c r="O538"/>
      <c r="P538"/>
    </row>
    <row r="539" spans="8:16" s="1" customFormat="1">
      <c r="H539" s="185"/>
      <c r="I539" s="185"/>
      <c r="J539" s="185"/>
      <c r="K539"/>
      <c r="L539"/>
      <c r="M539"/>
      <c r="N539"/>
      <c r="O539"/>
      <c r="P539"/>
    </row>
    <row r="540" spans="8:16" s="1" customFormat="1">
      <c r="H540" s="185"/>
      <c r="I540" s="185"/>
      <c r="J540" s="185"/>
      <c r="K540"/>
      <c r="L540"/>
      <c r="M540"/>
      <c r="N540"/>
      <c r="O540"/>
      <c r="P540"/>
    </row>
    <row r="541" spans="8:16" s="1" customFormat="1">
      <c r="H541" s="185"/>
      <c r="I541" s="185"/>
      <c r="J541" s="185"/>
      <c r="K541"/>
      <c r="L541"/>
      <c r="M541"/>
      <c r="N541"/>
      <c r="O541"/>
      <c r="P541"/>
    </row>
    <row r="542" spans="8:16" s="1" customFormat="1">
      <c r="H542" s="185"/>
      <c r="I542" s="185"/>
      <c r="J542" s="185"/>
      <c r="K542"/>
      <c r="L542"/>
      <c r="M542"/>
      <c r="N542"/>
      <c r="O542"/>
      <c r="P542"/>
    </row>
    <row r="543" spans="8:16" s="1" customFormat="1">
      <c r="H543" s="185"/>
      <c r="I543" s="185"/>
      <c r="J543" s="185"/>
      <c r="K543"/>
      <c r="L543"/>
      <c r="M543"/>
      <c r="N543"/>
      <c r="O543"/>
      <c r="P543"/>
    </row>
    <row r="544" spans="8:16" s="1" customFormat="1">
      <c r="H544" s="185"/>
      <c r="I544" s="185"/>
      <c r="J544" s="185"/>
      <c r="K544"/>
      <c r="L544"/>
      <c r="M544"/>
      <c r="N544"/>
      <c r="O544"/>
      <c r="P544"/>
    </row>
    <row r="545" spans="8:16" s="1" customFormat="1">
      <c r="H545" s="185"/>
      <c r="I545" s="185"/>
      <c r="J545" s="185"/>
      <c r="K545"/>
      <c r="L545"/>
      <c r="M545"/>
      <c r="N545"/>
      <c r="O545"/>
      <c r="P545"/>
    </row>
    <row r="546" spans="8:16" s="1" customFormat="1">
      <c r="H546" s="185"/>
      <c r="I546" s="185"/>
      <c r="J546" s="185"/>
      <c r="K546"/>
      <c r="L546"/>
      <c r="M546"/>
      <c r="N546"/>
      <c r="O546"/>
      <c r="P546"/>
    </row>
    <row r="547" spans="8:16" s="1" customFormat="1">
      <c r="H547" s="185"/>
      <c r="I547" s="185"/>
      <c r="J547" s="185"/>
      <c r="K547"/>
      <c r="L547"/>
      <c r="M547"/>
      <c r="N547"/>
      <c r="O547"/>
      <c r="P547"/>
    </row>
    <row r="548" spans="8:16" s="1" customFormat="1">
      <c r="H548" s="185"/>
      <c r="I548" s="185"/>
      <c r="J548" s="185"/>
      <c r="K548"/>
      <c r="L548"/>
      <c r="M548"/>
      <c r="N548"/>
      <c r="O548"/>
      <c r="P548"/>
    </row>
    <row r="549" spans="8:16" s="1" customFormat="1">
      <c r="H549" s="185"/>
      <c r="I549" s="185"/>
      <c r="J549" s="185"/>
      <c r="K549"/>
      <c r="L549"/>
      <c r="M549"/>
      <c r="N549"/>
      <c r="O549"/>
      <c r="P549"/>
    </row>
    <row r="550" spans="8:16" s="1" customFormat="1">
      <c r="H550" s="185"/>
      <c r="I550" s="185"/>
      <c r="J550" s="185"/>
      <c r="K550"/>
      <c r="L550"/>
      <c r="M550"/>
      <c r="N550"/>
      <c r="O550"/>
      <c r="P550"/>
    </row>
    <row r="551" spans="8:16" s="1" customFormat="1">
      <c r="H551" s="185"/>
      <c r="I551" s="185"/>
      <c r="J551" s="185"/>
      <c r="K551"/>
      <c r="L551"/>
      <c r="M551"/>
      <c r="N551"/>
      <c r="O551"/>
      <c r="P551"/>
    </row>
    <row r="552" spans="8:16" s="1" customFormat="1">
      <c r="H552" s="185"/>
      <c r="I552" s="185"/>
      <c r="J552" s="185"/>
      <c r="K552"/>
      <c r="L552"/>
      <c r="M552"/>
      <c r="N552"/>
      <c r="O552"/>
      <c r="P552"/>
    </row>
    <row r="553" spans="8:16" s="1" customFormat="1">
      <c r="H553" s="185"/>
      <c r="I553" s="185"/>
      <c r="J553" s="185"/>
      <c r="K553"/>
      <c r="L553"/>
      <c r="M553"/>
      <c r="N553"/>
      <c r="O553"/>
      <c r="P553"/>
    </row>
    <row r="554" spans="8:16" s="1" customFormat="1">
      <c r="H554" s="185"/>
      <c r="I554" s="185"/>
      <c r="J554" s="185"/>
      <c r="K554"/>
      <c r="L554"/>
      <c r="M554"/>
      <c r="N554"/>
      <c r="O554"/>
      <c r="P554"/>
    </row>
    <row r="555" spans="8:16" s="1" customFormat="1">
      <c r="H555" s="185"/>
      <c r="I555" s="185"/>
      <c r="J555" s="185"/>
      <c r="K555"/>
      <c r="L555"/>
      <c r="M555"/>
      <c r="N555"/>
      <c r="O555"/>
      <c r="P555"/>
    </row>
    <row r="556" spans="8:16" s="1" customFormat="1">
      <c r="H556" s="185"/>
      <c r="I556" s="185"/>
      <c r="J556" s="185"/>
      <c r="K556"/>
      <c r="L556"/>
      <c r="M556"/>
      <c r="N556"/>
      <c r="O556"/>
      <c r="P556"/>
    </row>
    <row r="557" spans="8:16" s="1" customFormat="1">
      <c r="H557" s="185"/>
      <c r="I557" s="185"/>
      <c r="J557" s="185"/>
      <c r="K557"/>
      <c r="L557"/>
      <c r="M557"/>
      <c r="N557"/>
      <c r="O557"/>
      <c r="P557"/>
    </row>
    <row r="558" spans="8:16" s="1" customFormat="1">
      <c r="H558" s="185"/>
      <c r="I558" s="185"/>
      <c r="J558" s="185"/>
      <c r="K558"/>
      <c r="L558"/>
      <c r="M558"/>
      <c r="N558"/>
      <c r="O558"/>
      <c r="P558"/>
    </row>
    <row r="559" spans="8:16" s="1" customFormat="1">
      <c r="H559" s="185"/>
      <c r="I559" s="185"/>
      <c r="J559" s="185"/>
      <c r="K559"/>
      <c r="L559"/>
      <c r="M559"/>
      <c r="N559"/>
      <c r="O559"/>
      <c r="P559"/>
    </row>
    <row r="560" spans="8:16" s="1" customFormat="1">
      <c r="H560" s="185"/>
      <c r="I560" s="185"/>
      <c r="J560" s="185"/>
      <c r="K560"/>
      <c r="L560"/>
      <c r="M560"/>
      <c r="N560"/>
      <c r="O560"/>
      <c r="P560"/>
    </row>
    <row r="561" spans="8:16" s="1" customFormat="1">
      <c r="H561" s="185"/>
      <c r="I561" s="185"/>
      <c r="J561" s="185"/>
      <c r="K561"/>
      <c r="L561"/>
      <c r="M561"/>
      <c r="N561"/>
      <c r="O561"/>
      <c r="P561"/>
    </row>
    <row r="562" spans="8:16" s="1" customFormat="1">
      <c r="H562" s="185"/>
      <c r="I562" s="185"/>
      <c r="J562" s="185"/>
      <c r="K562"/>
      <c r="L562"/>
      <c r="M562"/>
      <c r="N562"/>
      <c r="O562"/>
      <c r="P562"/>
    </row>
    <row r="563" spans="8:16" s="1" customFormat="1">
      <c r="H563" s="185"/>
      <c r="I563" s="185"/>
      <c r="J563" s="185"/>
      <c r="K563"/>
      <c r="L563"/>
      <c r="M563"/>
      <c r="N563"/>
      <c r="O563"/>
      <c r="P563"/>
    </row>
    <row r="564" spans="8:16" s="1" customFormat="1">
      <c r="H564" s="185"/>
      <c r="I564" s="185"/>
      <c r="J564" s="185"/>
      <c r="K564"/>
      <c r="L564"/>
      <c r="M564"/>
      <c r="N564"/>
      <c r="O564"/>
      <c r="P564"/>
    </row>
    <row r="565" spans="8:16" s="1" customFormat="1">
      <c r="H565" s="185"/>
      <c r="I565" s="185"/>
      <c r="J565" s="185"/>
      <c r="K565"/>
      <c r="L565"/>
      <c r="M565"/>
      <c r="N565"/>
      <c r="O565"/>
      <c r="P565"/>
    </row>
    <row r="566" spans="8:16" s="1" customFormat="1">
      <c r="H566" s="185"/>
      <c r="I566" s="185"/>
      <c r="J566" s="185"/>
      <c r="K566"/>
      <c r="L566"/>
      <c r="M566"/>
      <c r="N566"/>
      <c r="O566"/>
      <c r="P566"/>
    </row>
    <row r="567" spans="8:16" s="1" customFormat="1">
      <c r="H567" s="185"/>
      <c r="I567" s="185"/>
      <c r="J567" s="185"/>
      <c r="K567"/>
      <c r="L567"/>
      <c r="M567"/>
      <c r="N567"/>
      <c r="O567"/>
      <c r="P567"/>
    </row>
    <row r="568" spans="8:16" s="1" customFormat="1">
      <c r="H568" s="185"/>
      <c r="I568" s="185"/>
      <c r="J568" s="185"/>
      <c r="K568"/>
      <c r="L568"/>
      <c r="M568"/>
      <c r="N568"/>
      <c r="O568"/>
      <c r="P568"/>
    </row>
    <row r="569" spans="8:16" s="1" customFormat="1">
      <c r="H569" s="185"/>
      <c r="I569" s="185"/>
      <c r="J569" s="185"/>
      <c r="K569"/>
      <c r="L569"/>
      <c r="M569"/>
      <c r="N569"/>
      <c r="O569"/>
      <c r="P569"/>
    </row>
    <row r="570" spans="8:16" s="1" customFormat="1">
      <c r="H570" s="185"/>
      <c r="I570" s="185"/>
      <c r="J570" s="185"/>
      <c r="K570"/>
      <c r="L570"/>
      <c r="M570"/>
      <c r="N570"/>
      <c r="O570"/>
      <c r="P570"/>
    </row>
    <row r="571" spans="8:16" s="1" customFormat="1">
      <c r="H571" s="185"/>
      <c r="I571" s="185"/>
      <c r="J571" s="185"/>
      <c r="K571"/>
      <c r="L571"/>
      <c r="M571"/>
      <c r="N571"/>
      <c r="O571"/>
      <c r="P571"/>
    </row>
    <row r="572" spans="8:16" s="1" customFormat="1">
      <c r="H572" s="185"/>
      <c r="I572" s="185"/>
      <c r="J572" s="185"/>
      <c r="K572"/>
      <c r="L572"/>
      <c r="M572"/>
      <c r="N572"/>
      <c r="O572"/>
      <c r="P572"/>
    </row>
    <row r="573" spans="8:16" s="1" customFormat="1">
      <c r="H573" s="185"/>
      <c r="I573" s="185"/>
      <c r="J573" s="185"/>
      <c r="K573"/>
      <c r="L573"/>
      <c r="M573"/>
      <c r="N573"/>
      <c r="O573"/>
      <c r="P573"/>
    </row>
    <row r="574" spans="8:16" s="1" customFormat="1">
      <c r="H574" s="185"/>
      <c r="I574" s="185"/>
      <c r="J574" s="185"/>
      <c r="K574"/>
      <c r="L574"/>
      <c r="M574"/>
      <c r="N574"/>
      <c r="O574"/>
      <c r="P574"/>
    </row>
    <row r="575" spans="8:16" s="1" customFormat="1">
      <c r="H575" s="185"/>
      <c r="I575" s="185"/>
      <c r="J575" s="185"/>
      <c r="K575"/>
      <c r="L575"/>
      <c r="M575"/>
      <c r="N575"/>
      <c r="O575"/>
      <c r="P575"/>
    </row>
    <row r="576" spans="8:16" s="1" customFormat="1">
      <c r="H576" s="185"/>
      <c r="I576" s="185"/>
      <c r="J576" s="185"/>
      <c r="K576"/>
      <c r="L576"/>
      <c r="M576"/>
      <c r="N576"/>
      <c r="O576"/>
      <c r="P576"/>
    </row>
    <row r="577" spans="8:16" s="1" customFormat="1">
      <c r="H577" s="185"/>
      <c r="I577" s="185"/>
      <c r="J577" s="185"/>
      <c r="K577"/>
      <c r="L577"/>
      <c r="M577"/>
      <c r="N577"/>
      <c r="O577"/>
      <c r="P577"/>
    </row>
    <row r="578" spans="8:16" s="1" customFormat="1">
      <c r="H578" s="185"/>
      <c r="I578" s="185"/>
      <c r="J578" s="185"/>
      <c r="K578"/>
      <c r="L578"/>
      <c r="M578"/>
      <c r="N578"/>
      <c r="O578"/>
      <c r="P578"/>
    </row>
    <row r="579" spans="8:16" s="1" customFormat="1">
      <c r="H579" s="185"/>
      <c r="I579" s="185"/>
      <c r="J579" s="185"/>
      <c r="K579"/>
      <c r="L579"/>
      <c r="M579"/>
      <c r="N579"/>
      <c r="O579"/>
      <c r="P579"/>
    </row>
    <row r="580" spans="8:16" s="1" customFormat="1">
      <c r="H580" s="185"/>
      <c r="I580" s="185"/>
      <c r="J580" s="185"/>
      <c r="K580"/>
      <c r="L580"/>
      <c r="M580"/>
      <c r="N580"/>
      <c r="O580"/>
      <c r="P580"/>
    </row>
    <row r="581" spans="8:16" s="1" customFormat="1">
      <c r="H581" s="185"/>
      <c r="I581" s="185"/>
      <c r="J581" s="185"/>
      <c r="K581"/>
      <c r="L581"/>
      <c r="M581"/>
      <c r="N581"/>
      <c r="O581"/>
      <c r="P581"/>
    </row>
    <row r="582" spans="8:16" s="1" customFormat="1">
      <c r="H582" s="185"/>
      <c r="I582" s="185"/>
      <c r="J582" s="185"/>
      <c r="K582"/>
      <c r="L582"/>
      <c r="M582"/>
      <c r="N582"/>
      <c r="O582"/>
      <c r="P582"/>
    </row>
    <row r="583" spans="8:16" s="1" customFormat="1">
      <c r="H583" s="185"/>
      <c r="I583" s="185"/>
      <c r="J583" s="185"/>
      <c r="K583"/>
      <c r="L583"/>
      <c r="M583"/>
      <c r="N583"/>
      <c r="O583"/>
      <c r="P583"/>
    </row>
    <row r="584" spans="8:16" s="1" customFormat="1">
      <c r="H584" s="185"/>
      <c r="I584" s="185"/>
      <c r="J584" s="185"/>
      <c r="K584"/>
      <c r="L584"/>
      <c r="M584"/>
      <c r="N584"/>
      <c r="O584"/>
      <c r="P584"/>
    </row>
    <row r="585" spans="8:16" s="1" customFormat="1">
      <c r="H585" s="185"/>
      <c r="I585" s="185"/>
      <c r="J585" s="185"/>
      <c r="K585"/>
      <c r="L585"/>
      <c r="M585"/>
      <c r="N585"/>
      <c r="O585"/>
      <c r="P585"/>
    </row>
    <row r="586" spans="8:16" s="1" customFormat="1">
      <c r="H586" s="185"/>
      <c r="I586" s="185"/>
      <c r="J586" s="185"/>
      <c r="K586"/>
      <c r="L586"/>
      <c r="M586"/>
      <c r="N586"/>
      <c r="O586"/>
      <c r="P586"/>
    </row>
    <row r="587" spans="8:16" s="1" customFormat="1">
      <c r="H587" s="185"/>
      <c r="I587" s="185"/>
      <c r="J587" s="185"/>
      <c r="K587"/>
      <c r="L587"/>
      <c r="M587"/>
      <c r="N587"/>
      <c r="O587"/>
      <c r="P587"/>
    </row>
    <row r="588" spans="8:16" s="1" customFormat="1">
      <c r="H588" s="185"/>
      <c r="I588" s="185"/>
      <c r="J588" s="185"/>
      <c r="K588"/>
      <c r="L588"/>
      <c r="M588"/>
      <c r="N588"/>
      <c r="O588"/>
      <c r="P588"/>
    </row>
    <row r="589" spans="8:16" s="1" customFormat="1">
      <c r="H589" s="185"/>
      <c r="I589" s="185"/>
      <c r="J589" s="185"/>
      <c r="K589"/>
      <c r="L589"/>
      <c r="M589"/>
      <c r="N589"/>
      <c r="O589"/>
      <c r="P589"/>
    </row>
    <row r="590" spans="8:16" s="1" customFormat="1">
      <c r="H590" s="185"/>
      <c r="I590" s="185"/>
      <c r="J590" s="185"/>
      <c r="K590"/>
      <c r="L590"/>
      <c r="M590"/>
      <c r="N590"/>
      <c r="O590"/>
      <c r="P590"/>
    </row>
    <row r="591" spans="8:16" s="1" customFormat="1">
      <c r="H591" s="185"/>
      <c r="I591" s="185"/>
      <c r="J591" s="185"/>
      <c r="K591"/>
      <c r="L591"/>
      <c r="M591"/>
      <c r="N591"/>
      <c r="O591"/>
      <c r="P591"/>
    </row>
    <row r="592" spans="8:16" s="1" customFormat="1">
      <c r="H592" s="185"/>
      <c r="I592" s="185"/>
      <c r="J592" s="185"/>
      <c r="K592"/>
      <c r="L592"/>
      <c r="M592"/>
      <c r="N592"/>
      <c r="O592"/>
      <c r="P592"/>
    </row>
    <row r="593" spans="8:16" s="1" customFormat="1">
      <c r="H593" s="185"/>
      <c r="I593" s="185"/>
      <c r="J593" s="185"/>
      <c r="K593"/>
      <c r="L593"/>
      <c r="M593"/>
      <c r="N593"/>
      <c r="O593"/>
      <c r="P593"/>
    </row>
    <row r="594" spans="8:16" s="1" customFormat="1">
      <c r="H594" s="185"/>
      <c r="I594" s="185"/>
      <c r="J594" s="185"/>
      <c r="K594"/>
      <c r="L594"/>
      <c r="M594"/>
      <c r="N594"/>
      <c r="O594"/>
      <c r="P594"/>
    </row>
    <row r="595" spans="8:16" s="1" customFormat="1">
      <c r="H595" s="185"/>
      <c r="I595" s="185"/>
      <c r="J595" s="185"/>
      <c r="K595"/>
      <c r="L595"/>
      <c r="M595"/>
      <c r="N595"/>
      <c r="O595"/>
      <c r="P595"/>
    </row>
    <row r="596" spans="8:16" s="1" customFormat="1">
      <c r="H596" s="185"/>
      <c r="I596" s="185"/>
      <c r="J596" s="185"/>
      <c r="K596"/>
      <c r="L596"/>
      <c r="M596"/>
      <c r="N596"/>
      <c r="O596"/>
      <c r="P596"/>
    </row>
    <row r="597" spans="8:16" s="1" customFormat="1">
      <c r="H597" s="185"/>
      <c r="I597" s="185"/>
      <c r="J597" s="185"/>
      <c r="K597"/>
      <c r="L597"/>
      <c r="M597"/>
      <c r="N597"/>
      <c r="O597"/>
      <c r="P597"/>
    </row>
    <row r="598" spans="8:16" s="1" customFormat="1">
      <c r="H598" s="185"/>
      <c r="I598" s="185"/>
      <c r="J598" s="185"/>
      <c r="K598"/>
      <c r="L598"/>
      <c r="M598"/>
      <c r="N598"/>
      <c r="O598"/>
      <c r="P598"/>
    </row>
    <row r="599" spans="8:16" s="1" customFormat="1">
      <c r="H599" s="185"/>
      <c r="I599" s="185"/>
      <c r="J599" s="185"/>
      <c r="K599"/>
      <c r="L599"/>
      <c r="M599"/>
      <c r="N599"/>
      <c r="O599"/>
      <c r="P599"/>
    </row>
    <row r="600" spans="8:16" s="1" customFormat="1">
      <c r="H600" s="185"/>
      <c r="I600" s="185"/>
      <c r="J600" s="185"/>
      <c r="K600"/>
      <c r="L600"/>
      <c r="M600"/>
      <c r="N600"/>
      <c r="O600"/>
      <c r="P600"/>
    </row>
    <row r="601" spans="8:16" s="1" customFormat="1">
      <c r="H601" s="185"/>
      <c r="I601" s="185"/>
      <c r="J601" s="185"/>
      <c r="K601"/>
      <c r="L601"/>
      <c r="M601"/>
      <c r="N601"/>
      <c r="O601"/>
      <c r="P601"/>
    </row>
    <row r="602" spans="8:16" s="1" customFormat="1">
      <c r="H602" s="185"/>
      <c r="I602" s="185"/>
      <c r="J602" s="185"/>
      <c r="K602"/>
      <c r="L602"/>
      <c r="M602"/>
      <c r="N602"/>
      <c r="O602"/>
      <c r="P602"/>
    </row>
    <row r="603" spans="8:16" s="1" customFormat="1">
      <c r="H603" s="185"/>
      <c r="I603" s="185"/>
      <c r="J603" s="185"/>
      <c r="K603"/>
      <c r="L603"/>
      <c r="M603"/>
      <c r="N603"/>
      <c r="O603"/>
      <c r="P603"/>
    </row>
    <row r="604" spans="8:16" s="1" customFormat="1">
      <c r="H604" s="185"/>
      <c r="I604" s="185"/>
      <c r="J604" s="185"/>
      <c r="K604"/>
      <c r="L604"/>
      <c r="M604"/>
      <c r="N604"/>
      <c r="O604"/>
      <c r="P604"/>
    </row>
    <row r="605" spans="8:16" s="1" customFormat="1">
      <c r="H605" s="185"/>
      <c r="I605" s="185"/>
      <c r="J605" s="185"/>
      <c r="K605"/>
      <c r="L605"/>
      <c r="M605"/>
      <c r="N605"/>
      <c r="O605"/>
      <c r="P605"/>
    </row>
    <row r="606" spans="8:16" s="1" customFormat="1">
      <c r="H606" s="185"/>
      <c r="I606" s="185"/>
      <c r="J606" s="185"/>
      <c r="K606"/>
      <c r="L606"/>
      <c r="M606"/>
      <c r="N606"/>
      <c r="O606"/>
      <c r="P606"/>
    </row>
    <row r="607" spans="8:16" s="1" customFormat="1">
      <c r="H607" s="185"/>
      <c r="I607" s="185"/>
      <c r="J607" s="185"/>
      <c r="K607"/>
      <c r="L607"/>
      <c r="M607"/>
      <c r="N607"/>
      <c r="O607"/>
      <c r="P607"/>
    </row>
    <row r="608" spans="8:16" s="1" customFormat="1">
      <c r="H608" s="185"/>
      <c r="I608" s="185"/>
      <c r="J608" s="185"/>
      <c r="K608"/>
      <c r="L608"/>
      <c r="M608"/>
      <c r="N608"/>
      <c r="O608"/>
      <c r="P608"/>
    </row>
    <row r="609" spans="8:16" s="1" customFormat="1">
      <c r="H609" s="185"/>
      <c r="I609" s="185"/>
      <c r="J609" s="185"/>
      <c r="K609"/>
      <c r="L609"/>
      <c r="M609"/>
      <c r="N609"/>
      <c r="O609"/>
      <c r="P609"/>
    </row>
    <row r="610" spans="8:16" s="1" customFormat="1">
      <c r="H610" s="185"/>
      <c r="I610" s="185"/>
      <c r="J610" s="185"/>
      <c r="K610"/>
      <c r="L610"/>
      <c r="M610"/>
      <c r="N610"/>
      <c r="O610"/>
      <c r="P610"/>
    </row>
    <row r="611" spans="8:16" s="1" customFormat="1">
      <c r="H611" s="185"/>
      <c r="I611" s="185"/>
      <c r="J611" s="185"/>
      <c r="K611"/>
      <c r="L611"/>
      <c r="M611"/>
      <c r="N611"/>
      <c r="O611"/>
      <c r="P611"/>
    </row>
    <row r="612" spans="8:16" s="1" customFormat="1">
      <c r="H612" s="185"/>
      <c r="I612" s="185"/>
      <c r="J612" s="185"/>
      <c r="K612"/>
      <c r="L612"/>
      <c r="M612"/>
      <c r="N612"/>
      <c r="O612"/>
      <c r="P612"/>
    </row>
    <row r="613" spans="8:16" s="1" customFormat="1">
      <c r="H613" s="185"/>
      <c r="I613" s="185"/>
      <c r="J613" s="185"/>
      <c r="K613"/>
      <c r="L613"/>
      <c r="M613"/>
      <c r="N613"/>
      <c r="O613"/>
      <c r="P613"/>
    </row>
    <row r="614" spans="8:16" s="1" customFormat="1">
      <c r="H614" s="185"/>
      <c r="I614" s="185"/>
      <c r="J614" s="185"/>
      <c r="K614"/>
      <c r="L614"/>
      <c r="M614"/>
      <c r="N614"/>
      <c r="O614"/>
      <c r="P614"/>
    </row>
    <row r="615" spans="8:16" s="1" customFormat="1">
      <c r="H615" s="185"/>
      <c r="I615" s="185"/>
      <c r="J615" s="185"/>
      <c r="K615"/>
      <c r="L615"/>
      <c r="M615"/>
      <c r="N615"/>
      <c r="O615"/>
      <c r="P615"/>
    </row>
    <row r="616" spans="8:16" s="1" customFormat="1">
      <c r="H616" s="185"/>
      <c r="I616" s="185"/>
      <c r="J616" s="185"/>
      <c r="K616"/>
      <c r="L616"/>
      <c r="M616"/>
      <c r="N616"/>
      <c r="O616"/>
      <c r="P616"/>
    </row>
    <row r="617" spans="8:16" s="1" customFormat="1">
      <c r="H617" s="185"/>
      <c r="I617" s="185"/>
      <c r="J617" s="185"/>
      <c r="K617"/>
      <c r="L617"/>
      <c r="M617"/>
      <c r="N617"/>
      <c r="O617"/>
      <c r="P617"/>
    </row>
    <row r="618" spans="8:16" s="1" customFormat="1">
      <c r="H618" s="185"/>
      <c r="I618" s="185"/>
      <c r="J618" s="185"/>
      <c r="K618"/>
      <c r="L618"/>
      <c r="M618"/>
      <c r="N618"/>
      <c r="O618"/>
      <c r="P618"/>
    </row>
    <row r="619" spans="8:16" s="1" customFormat="1">
      <c r="H619" s="185"/>
      <c r="I619" s="185"/>
      <c r="J619" s="185"/>
      <c r="K619"/>
      <c r="L619"/>
      <c r="M619"/>
      <c r="N619"/>
      <c r="O619"/>
      <c r="P619"/>
    </row>
    <row r="620" spans="8:16" s="1" customFormat="1">
      <c r="H620" s="185"/>
      <c r="I620" s="185"/>
      <c r="J620" s="185"/>
      <c r="K620"/>
      <c r="L620"/>
      <c r="M620"/>
      <c r="N620"/>
      <c r="O620"/>
      <c r="P620"/>
    </row>
    <row r="621" spans="8:16" s="1" customFormat="1">
      <c r="H621" s="185"/>
      <c r="I621" s="185"/>
      <c r="J621" s="185"/>
      <c r="K621"/>
      <c r="L621"/>
      <c r="M621"/>
      <c r="N621"/>
      <c r="O621"/>
      <c r="P621"/>
    </row>
    <row r="622" spans="8:16" s="1" customFormat="1">
      <c r="H622" s="185"/>
      <c r="I622" s="185"/>
      <c r="J622" s="185"/>
      <c r="K622"/>
      <c r="L622"/>
      <c r="M622"/>
      <c r="N622"/>
      <c r="O622"/>
      <c r="P622"/>
    </row>
    <row r="623" spans="8:16" s="1" customFormat="1">
      <c r="H623" s="185"/>
      <c r="I623" s="185"/>
      <c r="J623" s="185"/>
      <c r="K623"/>
      <c r="L623"/>
      <c r="M623"/>
      <c r="N623"/>
      <c r="O623"/>
      <c r="P623"/>
    </row>
    <row r="624" spans="8:16" s="1" customFormat="1">
      <c r="H624" s="185"/>
      <c r="I624" s="185"/>
      <c r="J624" s="185"/>
      <c r="K624"/>
      <c r="L624"/>
      <c r="M624"/>
      <c r="N624"/>
      <c r="O624"/>
      <c r="P624"/>
    </row>
    <row r="625" spans="8:16" s="1" customFormat="1">
      <c r="H625" s="185"/>
      <c r="I625" s="185"/>
      <c r="J625" s="185"/>
      <c r="K625"/>
      <c r="L625"/>
      <c r="M625"/>
      <c r="N625"/>
      <c r="O625"/>
      <c r="P625"/>
    </row>
    <row r="626" spans="8:16" s="1" customFormat="1">
      <c r="H626" s="185"/>
      <c r="I626" s="185"/>
      <c r="J626" s="185"/>
      <c r="K626"/>
      <c r="L626"/>
      <c r="M626"/>
      <c r="N626"/>
      <c r="O626"/>
      <c r="P626"/>
    </row>
    <row r="627" spans="8:16" s="1" customFormat="1">
      <c r="H627" s="185"/>
      <c r="I627" s="185"/>
      <c r="J627" s="185"/>
      <c r="K627"/>
      <c r="L627"/>
      <c r="M627"/>
      <c r="N627"/>
      <c r="O627"/>
      <c r="P627"/>
    </row>
    <row r="628" spans="8:16" s="1" customFormat="1">
      <c r="H628" s="185"/>
      <c r="I628" s="185"/>
      <c r="J628" s="185"/>
      <c r="K628"/>
      <c r="L628"/>
      <c r="M628"/>
      <c r="N628"/>
      <c r="O628"/>
      <c r="P628"/>
    </row>
    <row r="629" spans="8:16" s="1" customFormat="1">
      <c r="H629" s="185"/>
      <c r="I629" s="185"/>
      <c r="J629" s="185"/>
      <c r="K629"/>
      <c r="L629"/>
      <c r="M629"/>
      <c r="N629"/>
      <c r="O629"/>
      <c r="P629"/>
    </row>
    <row r="630" spans="8:16" s="1" customFormat="1">
      <c r="H630" s="185"/>
      <c r="I630" s="185"/>
      <c r="J630" s="185"/>
      <c r="K630"/>
      <c r="L630"/>
      <c r="M630"/>
      <c r="N630"/>
      <c r="O630"/>
      <c r="P630"/>
    </row>
    <row r="631" spans="8:16" s="1" customFormat="1">
      <c r="H631" s="185"/>
      <c r="I631" s="185"/>
      <c r="J631" s="185"/>
      <c r="K631"/>
      <c r="L631"/>
      <c r="M631"/>
      <c r="N631"/>
      <c r="O631"/>
      <c r="P631"/>
    </row>
    <row r="632" spans="8:16" s="1" customFormat="1">
      <c r="H632" s="185"/>
      <c r="I632" s="185"/>
      <c r="J632" s="185"/>
      <c r="K632"/>
      <c r="L632"/>
      <c r="M632"/>
      <c r="N632"/>
      <c r="O632"/>
      <c r="P632"/>
    </row>
    <row r="633" spans="8:16" s="1" customFormat="1">
      <c r="H633" s="185"/>
      <c r="I633" s="185"/>
      <c r="J633" s="185"/>
      <c r="K633"/>
      <c r="L633"/>
      <c r="M633"/>
      <c r="N633"/>
      <c r="O633"/>
      <c r="P633"/>
    </row>
    <row r="634" spans="8:16" s="1" customFormat="1">
      <c r="H634" s="185"/>
      <c r="I634" s="185"/>
      <c r="J634" s="185"/>
      <c r="K634"/>
      <c r="L634"/>
      <c r="M634"/>
      <c r="N634"/>
      <c r="O634"/>
      <c r="P634"/>
    </row>
    <row r="635" spans="8:16" s="1" customFormat="1">
      <c r="H635" s="185"/>
      <c r="I635" s="185"/>
      <c r="J635" s="185"/>
      <c r="K635"/>
      <c r="L635"/>
      <c r="M635"/>
      <c r="N635"/>
      <c r="O635"/>
      <c r="P635"/>
    </row>
    <row r="636" spans="8:16" s="1" customFormat="1">
      <c r="H636" s="185"/>
      <c r="I636" s="185"/>
      <c r="J636" s="185"/>
      <c r="K636"/>
      <c r="L636"/>
      <c r="M636"/>
      <c r="N636"/>
      <c r="O636"/>
      <c r="P636"/>
    </row>
    <row r="637" spans="8:16" s="1" customFormat="1">
      <c r="H637" s="185"/>
      <c r="I637" s="185"/>
      <c r="J637" s="185"/>
      <c r="K637"/>
      <c r="L637"/>
      <c r="M637"/>
      <c r="N637"/>
      <c r="O637"/>
      <c r="P637"/>
    </row>
    <row r="638" spans="8:16" s="1" customFormat="1">
      <c r="H638" s="185"/>
      <c r="I638" s="185"/>
      <c r="J638" s="185"/>
      <c r="K638"/>
      <c r="L638"/>
      <c r="M638"/>
      <c r="N638"/>
      <c r="O638"/>
      <c r="P638"/>
    </row>
    <row r="639" spans="8:16" s="1" customFormat="1">
      <c r="H639" s="185"/>
      <c r="I639" s="185"/>
      <c r="J639" s="185"/>
      <c r="K639"/>
      <c r="L639"/>
      <c r="M639"/>
      <c r="N639"/>
      <c r="O639"/>
      <c r="P639"/>
    </row>
    <row r="640" spans="8:16" s="1" customFormat="1">
      <c r="H640" s="185"/>
      <c r="I640" s="185"/>
      <c r="J640" s="185"/>
      <c r="K640"/>
      <c r="L640"/>
      <c r="M640"/>
      <c r="N640"/>
      <c r="O640"/>
      <c r="P640"/>
    </row>
    <row r="641" spans="8:16" s="1" customFormat="1">
      <c r="H641" s="185"/>
      <c r="I641" s="185"/>
      <c r="J641" s="185"/>
      <c r="K641"/>
      <c r="L641"/>
      <c r="M641"/>
      <c r="N641"/>
      <c r="O641"/>
      <c r="P641"/>
    </row>
    <row r="642" spans="8:16" s="1" customFormat="1">
      <c r="H642" s="185"/>
      <c r="I642" s="185"/>
      <c r="J642" s="185"/>
      <c r="K642"/>
      <c r="L642"/>
      <c r="M642"/>
      <c r="N642"/>
      <c r="O642"/>
      <c r="P642"/>
    </row>
    <row r="643" spans="8:16" s="1" customFormat="1">
      <c r="H643" s="185"/>
      <c r="I643" s="185"/>
      <c r="J643" s="185"/>
      <c r="K643"/>
      <c r="L643"/>
      <c r="M643"/>
      <c r="N643"/>
      <c r="O643"/>
      <c r="P643"/>
    </row>
    <row r="644" spans="8:16" s="1" customFormat="1">
      <c r="H644" s="185"/>
      <c r="I644" s="185"/>
      <c r="J644" s="185"/>
      <c r="K644"/>
      <c r="L644"/>
      <c r="M644"/>
      <c r="N644"/>
      <c r="O644"/>
      <c r="P644"/>
    </row>
    <row r="645" spans="8:16" s="1" customFormat="1">
      <c r="H645" s="185"/>
      <c r="I645" s="185"/>
      <c r="J645" s="185"/>
      <c r="K645"/>
      <c r="L645"/>
      <c r="M645"/>
      <c r="N645"/>
      <c r="O645"/>
      <c r="P645"/>
    </row>
    <row r="646" spans="8:16" s="1" customFormat="1">
      <c r="H646" s="185"/>
      <c r="I646" s="185"/>
      <c r="J646" s="185"/>
      <c r="K646"/>
      <c r="L646"/>
      <c r="M646"/>
      <c r="N646"/>
      <c r="O646"/>
      <c r="P646"/>
    </row>
    <row r="647" spans="8:16" s="1" customFormat="1">
      <c r="H647" s="185"/>
      <c r="I647" s="185"/>
      <c r="J647" s="185"/>
      <c r="K647"/>
      <c r="L647"/>
      <c r="M647"/>
      <c r="N647"/>
      <c r="O647"/>
      <c r="P647"/>
    </row>
    <row r="648" spans="8:16" s="1" customFormat="1">
      <c r="H648" s="185"/>
      <c r="I648" s="185"/>
      <c r="J648" s="185"/>
      <c r="K648"/>
      <c r="L648"/>
      <c r="M648"/>
      <c r="N648"/>
      <c r="O648"/>
      <c r="P648"/>
    </row>
    <row r="649" spans="8:16" s="1" customFormat="1">
      <c r="H649" s="185"/>
      <c r="I649" s="185"/>
      <c r="J649" s="185"/>
      <c r="K649"/>
      <c r="L649"/>
      <c r="M649"/>
      <c r="N649"/>
      <c r="O649"/>
      <c r="P649"/>
    </row>
    <row r="650" spans="8:16" s="1" customFormat="1">
      <c r="H650" s="185"/>
      <c r="I650" s="185"/>
      <c r="J650" s="185"/>
      <c r="K650"/>
      <c r="L650"/>
      <c r="M650"/>
      <c r="N650"/>
      <c r="O650"/>
      <c r="P650"/>
    </row>
    <row r="651" spans="8:16" s="1" customFormat="1">
      <c r="H651" s="185"/>
      <c r="I651" s="185"/>
      <c r="J651" s="185"/>
      <c r="K651"/>
      <c r="L651"/>
      <c r="M651"/>
      <c r="N651"/>
      <c r="O651"/>
      <c r="P651"/>
    </row>
    <row r="652" spans="8:16" s="1" customFormat="1">
      <c r="H652" s="185"/>
      <c r="I652" s="185"/>
      <c r="J652" s="185"/>
      <c r="K652"/>
      <c r="L652"/>
      <c r="M652"/>
      <c r="N652"/>
      <c r="O652"/>
      <c r="P652"/>
    </row>
    <row r="653" spans="8:16" s="1" customFormat="1">
      <c r="H653" s="185"/>
      <c r="I653" s="185"/>
      <c r="J653" s="185"/>
      <c r="K653"/>
      <c r="L653"/>
      <c r="M653"/>
      <c r="N653"/>
      <c r="O653"/>
      <c r="P653"/>
    </row>
    <row r="654" spans="8:16" s="1" customFormat="1">
      <c r="H654" s="185"/>
      <c r="I654" s="185"/>
      <c r="J654" s="185"/>
      <c r="K654"/>
      <c r="L654"/>
      <c r="M654"/>
      <c r="N654"/>
      <c r="O654"/>
      <c r="P654"/>
    </row>
    <row r="655" spans="8:16" s="1" customFormat="1">
      <c r="H655" s="185"/>
      <c r="I655" s="185"/>
      <c r="J655" s="185"/>
      <c r="K655"/>
      <c r="L655"/>
      <c r="M655"/>
      <c r="N655"/>
      <c r="O655"/>
      <c r="P655"/>
    </row>
    <row r="656" spans="8:16" s="1" customFormat="1">
      <c r="H656" s="185"/>
      <c r="I656" s="185"/>
      <c r="J656" s="185"/>
      <c r="K656"/>
      <c r="L656"/>
      <c r="M656"/>
      <c r="N656"/>
      <c r="O656"/>
      <c r="P656"/>
    </row>
    <row r="657" spans="8:16" s="1" customFormat="1">
      <c r="H657" s="185"/>
      <c r="I657" s="185"/>
      <c r="J657" s="185"/>
      <c r="K657"/>
      <c r="L657"/>
      <c r="M657"/>
      <c r="N657"/>
      <c r="O657"/>
      <c r="P657"/>
    </row>
    <row r="658" spans="8:16" s="1" customFormat="1">
      <c r="H658" s="185"/>
      <c r="I658" s="185"/>
      <c r="J658" s="185"/>
      <c r="K658"/>
      <c r="L658"/>
      <c r="M658"/>
      <c r="N658"/>
      <c r="O658"/>
      <c r="P658"/>
    </row>
    <row r="659" spans="8:16" s="1" customFormat="1">
      <c r="H659" s="185"/>
      <c r="I659" s="185"/>
      <c r="J659" s="185"/>
      <c r="K659"/>
      <c r="L659"/>
      <c r="M659"/>
      <c r="N659"/>
      <c r="O659"/>
      <c r="P659"/>
    </row>
    <row r="660" spans="8:16" s="1" customFormat="1">
      <c r="H660" s="185"/>
      <c r="I660" s="185"/>
      <c r="J660" s="185"/>
      <c r="K660"/>
      <c r="L660"/>
      <c r="M660"/>
      <c r="N660"/>
      <c r="O660"/>
      <c r="P660"/>
    </row>
    <row r="661" spans="8:16" s="1" customFormat="1">
      <c r="H661" s="185"/>
      <c r="I661" s="185"/>
      <c r="J661" s="185"/>
      <c r="K661"/>
      <c r="L661"/>
      <c r="M661"/>
      <c r="N661"/>
      <c r="O661"/>
      <c r="P661"/>
    </row>
    <row r="662" spans="8:16" s="1" customFormat="1">
      <c r="H662" s="185"/>
      <c r="I662" s="185"/>
      <c r="J662" s="185"/>
      <c r="K662"/>
      <c r="L662"/>
      <c r="M662"/>
      <c r="N662"/>
      <c r="O662"/>
      <c r="P662"/>
    </row>
    <row r="663" spans="8:16" s="1" customFormat="1">
      <c r="H663" s="185"/>
      <c r="I663" s="185"/>
      <c r="J663" s="185"/>
      <c r="K663"/>
      <c r="L663"/>
      <c r="M663"/>
      <c r="N663"/>
      <c r="O663"/>
      <c r="P663"/>
    </row>
    <row r="664" spans="8:16" s="1" customFormat="1">
      <c r="H664" s="185"/>
      <c r="I664" s="185"/>
      <c r="J664" s="185"/>
      <c r="K664"/>
      <c r="L664"/>
      <c r="M664"/>
      <c r="N664"/>
      <c r="O664"/>
      <c r="P664"/>
    </row>
    <row r="665" spans="8:16" s="1" customFormat="1">
      <c r="H665" s="185"/>
      <c r="I665" s="185"/>
      <c r="J665" s="185"/>
      <c r="K665"/>
      <c r="L665"/>
      <c r="M665"/>
      <c r="N665"/>
      <c r="O665"/>
      <c r="P665"/>
    </row>
    <row r="666" spans="8:16" s="1" customFormat="1">
      <c r="H666" s="185"/>
      <c r="I666" s="185"/>
      <c r="J666" s="185"/>
      <c r="K666"/>
      <c r="L666"/>
      <c r="M666"/>
      <c r="N666"/>
      <c r="O666"/>
      <c r="P666"/>
    </row>
    <row r="667" spans="8:16" s="1" customFormat="1">
      <c r="H667" s="185"/>
      <c r="I667" s="185"/>
      <c r="J667" s="185"/>
      <c r="K667"/>
      <c r="L667"/>
      <c r="M667"/>
      <c r="N667"/>
      <c r="O667"/>
      <c r="P667"/>
    </row>
    <row r="668" spans="8:16" s="1" customFormat="1">
      <c r="H668" s="185"/>
      <c r="I668" s="185"/>
      <c r="J668" s="185"/>
      <c r="K668"/>
      <c r="L668"/>
      <c r="M668"/>
      <c r="N668"/>
      <c r="O668"/>
      <c r="P668"/>
    </row>
    <row r="669" spans="8:16" s="1" customFormat="1">
      <c r="H669" s="185"/>
      <c r="I669" s="185"/>
      <c r="J669" s="185"/>
      <c r="K669"/>
      <c r="L669"/>
      <c r="M669"/>
      <c r="N669"/>
      <c r="O669"/>
      <c r="P669"/>
    </row>
    <row r="670" spans="8:16" s="1" customFormat="1">
      <c r="H670" s="185"/>
      <c r="I670" s="185"/>
      <c r="J670" s="185"/>
      <c r="K670"/>
      <c r="L670"/>
      <c r="M670"/>
      <c r="N670"/>
      <c r="O670"/>
      <c r="P670"/>
    </row>
    <row r="671" spans="8:16" s="1" customFormat="1">
      <c r="H671" s="185"/>
      <c r="I671" s="185"/>
      <c r="J671" s="185"/>
      <c r="K671"/>
      <c r="L671"/>
      <c r="M671"/>
      <c r="N671"/>
      <c r="O671"/>
      <c r="P671"/>
    </row>
    <row r="672" spans="8:16" s="1" customFormat="1">
      <c r="H672" s="185"/>
      <c r="I672" s="185"/>
      <c r="J672" s="185"/>
      <c r="K672"/>
      <c r="L672"/>
      <c r="M672"/>
      <c r="N672"/>
      <c r="O672"/>
      <c r="P672"/>
    </row>
    <row r="673" spans="8:16" s="1" customFormat="1">
      <c r="H673" s="185"/>
      <c r="I673" s="185"/>
      <c r="J673" s="185"/>
      <c r="K673"/>
      <c r="L673"/>
      <c r="M673"/>
      <c r="N673"/>
      <c r="O673"/>
      <c r="P673"/>
    </row>
    <row r="674" spans="8:16" s="1" customFormat="1">
      <c r="H674" s="185"/>
      <c r="I674" s="185"/>
      <c r="J674" s="185"/>
      <c r="K674"/>
      <c r="L674"/>
      <c r="M674"/>
      <c r="N674"/>
      <c r="O674"/>
      <c r="P674"/>
    </row>
    <row r="675" spans="8:16" s="1" customFormat="1">
      <c r="H675" s="185"/>
      <c r="I675" s="185"/>
      <c r="J675" s="185"/>
      <c r="K675"/>
      <c r="L675"/>
      <c r="M675"/>
      <c r="N675"/>
      <c r="O675"/>
      <c r="P675"/>
    </row>
    <row r="676" spans="8:16" s="1" customFormat="1">
      <c r="H676" s="185"/>
      <c r="I676" s="185"/>
      <c r="J676" s="185"/>
      <c r="K676"/>
      <c r="L676"/>
      <c r="M676"/>
      <c r="N676"/>
      <c r="O676"/>
      <c r="P676"/>
    </row>
    <row r="677" spans="8:16" s="1" customFormat="1">
      <c r="H677" s="185"/>
      <c r="I677" s="185"/>
      <c r="J677" s="185"/>
      <c r="K677"/>
      <c r="L677"/>
      <c r="M677"/>
      <c r="N677"/>
      <c r="O677"/>
      <c r="P677"/>
    </row>
    <row r="678" spans="8:16" s="1" customFormat="1">
      <c r="H678" s="185"/>
      <c r="I678" s="185"/>
      <c r="J678" s="185"/>
      <c r="K678"/>
      <c r="L678"/>
      <c r="M678"/>
      <c r="N678"/>
      <c r="O678"/>
      <c r="P678"/>
    </row>
    <row r="679" spans="8:16" s="1" customFormat="1">
      <c r="H679" s="185"/>
      <c r="I679" s="185"/>
      <c r="J679" s="185"/>
      <c r="K679"/>
      <c r="L679"/>
      <c r="M679"/>
      <c r="N679"/>
      <c r="O679"/>
      <c r="P679"/>
    </row>
    <row r="680" spans="8:16" s="1" customFormat="1">
      <c r="H680" s="185"/>
      <c r="I680" s="185"/>
      <c r="J680" s="185"/>
      <c r="K680"/>
      <c r="L680"/>
      <c r="M680"/>
      <c r="N680"/>
      <c r="O680"/>
      <c r="P680"/>
    </row>
    <row r="681" spans="8:16" s="1" customFormat="1">
      <c r="H681" s="185"/>
      <c r="I681" s="185"/>
      <c r="J681" s="185"/>
      <c r="K681"/>
      <c r="L681"/>
      <c r="M681"/>
      <c r="N681"/>
      <c r="O681"/>
      <c r="P681"/>
    </row>
    <row r="682" spans="8:16" s="1" customFormat="1">
      <c r="H682" s="185"/>
      <c r="I682" s="185"/>
      <c r="J682" s="185"/>
      <c r="K682"/>
      <c r="L682"/>
      <c r="M682"/>
      <c r="N682"/>
      <c r="O682"/>
      <c r="P682"/>
    </row>
    <row r="683" spans="8:16" s="1" customFormat="1">
      <c r="H683" s="185"/>
      <c r="I683" s="185"/>
      <c r="J683" s="185"/>
      <c r="K683"/>
      <c r="L683"/>
      <c r="M683"/>
      <c r="N683"/>
      <c r="O683"/>
      <c r="P683"/>
    </row>
    <row r="684" spans="8:16" s="1" customFormat="1">
      <c r="H684" s="185"/>
      <c r="I684" s="185"/>
      <c r="J684" s="185"/>
      <c r="K684"/>
      <c r="L684"/>
      <c r="M684"/>
      <c r="N684"/>
      <c r="O684"/>
      <c r="P684"/>
    </row>
    <row r="685" spans="8:16" s="1" customFormat="1">
      <c r="H685" s="185"/>
      <c r="I685" s="185"/>
      <c r="J685" s="185"/>
      <c r="K685"/>
      <c r="L685"/>
      <c r="M685"/>
      <c r="N685"/>
      <c r="O685"/>
      <c r="P685"/>
    </row>
    <row r="686" spans="8:16" s="1" customFormat="1">
      <c r="H686" s="185"/>
      <c r="I686" s="185"/>
      <c r="J686" s="185"/>
      <c r="K686"/>
      <c r="L686"/>
      <c r="M686"/>
      <c r="N686"/>
      <c r="O686"/>
      <c r="P686"/>
    </row>
    <row r="687" spans="8:16" s="1" customFormat="1">
      <c r="H687" s="185"/>
      <c r="I687" s="185"/>
      <c r="J687" s="185"/>
      <c r="K687"/>
      <c r="L687"/>
      <c r="M687"/>
      <c r="N687"/>
      <c r="O687"/>
      <c r="P687"/>
    </row>
    <row r="688" spans="8:16" s="1" customFormat="1">
      <c r="H688" s="185"/>
      <c r="I688" s="185"/>
      <c r="J688" s="185"/>
      <c r="K688"/>
      <c r="L688"/>
      <c r="M688"/>
      <c r="N688"/>
      <c r="O688"/>
      <c r="P688"/>
    </row>
    <row r="689" spans="8:16" s="1" customFormat="1">
      <c r="H689" s="185"/>
      <c r="I689" s="185"/>
      <c r="J689" s="185"/>
      <c r="K689"/>
      <c r="L689"/>
      <c r="M689"/>
      <c r="N689"/>
      <c r="O689"/>
      <c r="P689"/>
    </row>
    <row r="690" spans="8:16" s="1" customFormat="1">
      <c r="H690" s="185"/>
      <c r="I690" s="185"/>
      <c r="J690" s="185"/>
      <c r="K690"/>
      <c r="L690"/>
      <c r="M690"/>
      <c r="N690"/>
      <c r="O690"/>
      <c r="P690"/>
    </row>
    <row r="691" spans="8:16" s="1" customFormat="1">
      <c r="H691" s="185"/>
      <c r="I691" s="185"/>
      <c r="J691" s="185"/>
      <c r="K691"/>
      <c r="L691"/>
      <c r="M691"/>
      <c r="N691"/>
      <c r="O691"/>
      <c r="P691"/>
    </row>
    <row r="692" spans="8:16" s="1" customFormat="1">
      <c r="H692" s="185"/>
      <c r="I692" s="185"/>
      <c r="J692" s="185"/>
      <c r="K692"/>
      <c r="L692"/>
      <c r="M692"/>
      <c r="N692"/>
      <c r="O692"/>
      <c r="P692"/>
    </row>
    <row r="693" spans="8:16" s="1" customFormat="1">
      <c r="H693" s="185"/>
      <c r="I693" s="185"/>
      <c r="J693" s="185"/>
      <c r="K693"/>
      <c r="L693"/>
      <c r="M693"/>
      <c r="N693"/>
      <c r="O693"/>
      <c r="P693"/>
    </row>
    <row r="694" spans="8:16" s="1" customFormat="1">
      <c r="H694" s="185"/>
      <c r="I694" s="185"/>
      <c r="J694" s="185"/>
      <c r="K694"/>
      <c r="L694"/>
      <c r="M694"/>
      <c r="N694"/>
      <c r="O694"/>
      <c r="P694"/>
    </row>
    <row r="695" spans="8:16" s="1" customFormat="1">
      <c r="H695" s="185"/>
      <c r="I695" s="185"/>
      <c r="J695" s="185"/>
      <c r="K695"/>
      <c r="L695"/>
      <c r="M695"/>
      <c r="N695"/>
      <c r="O695"/>
      <c r="P695"/>
    </row>
    <row r="696" spans="8:16" s="1" customFormat="1">
      <c r="H696" s="185"/>
      <c r="I696" s="185"/>
      <c r="J696" s="185"/>
      <c r="K696"/>
      <c r="L696"/>
      <c r="M696"/>
      <c r="N696"/>
      <c r="O696"/>
      <c r="P696"/>
    </row>
    <row r="697" spans="8:16" s="1" customFormat="1">
      <c r="H697" s="185"/>
      <c r="I697" s="185"/>
      <c r="J697" s="185"/>
      <c r="K697"/>
      <c r="L697"/>
      <c r="M697"/>
      <c r="N697"/>
      <c r="O697"/>
      <c r="P697"/>
    </row>
    <row r="698" spans="8:16" s="1" customFormat="1">
      <c r="H698" s="185"/>
      <c r="I698" s="185"/>
      <c r="J698" s="185"/>
      <c r="K698"/>
      <c r="L698"/>
      <c r="M698"/>
      <c r="N698"/>
      <c r="O698"/>
      <c r="P698"/>
    </row>
    <row r="699" spans="8:16" s="1" customFormat="1">
      <c r="H699" s="185"/>
      <c r="I699" s="185"/>
      <c r="J699" s="185"/>
      <c r="K699"/>
      <c r="L699"/>
      <c r="M699"/>
      <c r="N699"/>
      <c r="O699"/>
      <c r="P699"/>
    </row>
    <row r="700" spans="8:16" s="1" customFormat="1">
      <c r="H700" s="185"/>
      <c r="I700" s="185"/>
      <c r="J700" s="185"/>
      <c r="K700"/>
      <c r="L700"/>
      <c r="M700"/>
      <c r="N700"/>
      <c r="O700"/>
      <c r="P700"/>
    </row>
    <row r="701" spans="8:16" s="1" customFormat="1">
      <c r="H701" s="185"/>
      <c r="I701" s="185"/>
      <c r="J701" s="185"/>
      <c r="K701"/>
      <c r="L701"/>
      <c r="M701"/>
      <c r="N701"/>
      <c r="O701"/>
      <c r="P701"/>
    </row>
    <row r="702" spans="8:16" s="1" customFormat="1">
      <c r="H702" s="185"/>
      <c r="I702" s="185"/>
      <c r="J702" s="185"/>
      <c r="K702"/>
      <c r="L702"/>
      <c r="M702"/>
      <c r="N702"/>
      <c r="O702"/>
      <c r="P702"/>
    </row>
    <row r="703" spans="8:16" s="1" customFormat="1">
      <c r="H703" s="185"/>
      <c r="I703" s="185"/>
      <c r="J703" s="185"/>
      <c r="K703"/>
      <c r="L703"/>
      <c r="M703"/>
      <c r="N703"/>
      <c r="O703"/>
      <c r="P703"/>
    </row>
    <row r="704" spans="8:16" s="1" customFormat="1">
      <c r="H704" s="185"/>
      <c r="I704" s="185"/>
      <c r="J704" s="185"/>
      <c r="K704"/>
      <c r="L704"/>
      <c r="M704"/>
      <c r="N704"/>
      <c r="O704"/>
      <c r="P704"/>
    </row>
    <row r="705" spans="8:16" s="1" customFormat="1">
      <c r="H705" s="185"/>
      <c r="I705" s="185"/>
      <c r="J705" s="185"/>
      <c r="K705"/>
      <c r="L705"/>
      <c r="M705"/>
      <c r="N705"/>
      <c r="O705"/>
      <c r="P705"/>
    </row>
    <row r="706" spans="8:16" s="1" customFormat="1">
      <c r="H706" s="185"/>
      <c r="I706" s="185"/>
      <c r="J706" s="185"/>
      <c r="K706"/>
      <c r="L706"/>
      <c r="M706"/>
      <c r="N706"/>
      <c r="O706"/>
      <c r="P706"/>
    </row>
    <row r="707" spans="8:16" s="1" customFormat="1">
      <c r="H707" s="185"/>
      <c r="I707" s="185"/>
      <c r="J707" s="185"/>
      <c r="K707"/>
      <c r="L707"/>
      <c r="M707"/>
      <c r="N707"/>
      <c r="O707"/>
      <c r="P707"/>
    </row>
    <row r="708" spans="8:16" s="1" customFormat="1">
      <c r="H708" s="185"/>
      <c r="I708" s="185"/>
      <c r="J708" s="185"/>
      <c r="K708"/>
      <c r="L708"/>
      <c r="M708"/>
      <c r="N708"/>
      <c r="O708"/>
      <c r="P708"/>
    </row>
    <row r="709" spans="8:16" s="1" customFormat="1">
      <c r="H709" s="185"/>
      <c r="I709" s="185"/>
      <c r="J709" s="185"/>
      <c r="K709"/>
      <c r="L709"/>
      <c r="M709"/>
      <c r="N709"/>
      <c r="O709"/>
      <c r="P709"/>
    </row>
    <row r="710" spans="8:16" s="1" customFormat="1">
      <c r="H710" s="185"/>
      <c r="I710" s="185"/>
      <c r="J710" s="185"/>
      <c r="K710"/>
      <c r="L710"/>
      <c r="M710"/>
      <c r="N710"/>
      <c r="O710"/>
      <c r="P710"/>
    </row>
    <row r="711" spans="8:16" s="1" customFormat="1">
      <c r="H711" s="185"/>
      <c r="I711" s="185"/>
      <c r="J711" s="185"/>
      <c r="K711"/>
      <c r="L711"/>
      <c r="M711"/>
      <c r="N711"/>
      <c r="O711"/>
      <c r="P711"/>
    </row>
    <row r="712" spans="8:16" s="1" customFormat="1">
      <c r="H712" s="185"/>
      <c r="I712" s="185"/>
      <c r="J712" s="185"/>
      <c r="K712"/>
      <c r="L712"/>
      <c r="M712"/>
      <c r="N712"/>
      <c r="O712"/>
      <c r="P712"/>
    </row>
    <row r="713" spans="8:16" s="1" customFormat="1">
      <c r="H713" s="185"/>
      <c r="I713" s="185"/>
      <c r="J713" s="185"/>
      <c r="K713"/>
      <c r="L713"/>
      <c r="M713"/>
      <c r="N713"/>
      <c r="O713"/>
      <c r="P713"/>
    </row>
    <row r="714" spans="8:16" s="1" customFormat="1">
      <c r="H714" s="185"/>
      <c r="I714" s="185"/>
      <c r="J714" s="185"/>
      <c r="K714"/>
      <c r="L714"/>
      <c r="M714"/>
      <c r="N714"/>
      <c r="O714"/>
      <c r="P714"/>
    </row>
    <row r="715" spans="8:16" s="1" customFormat="1">
      <c r="H715" s="185"/>
      <c r="I715" s="185"/>
      <c r="J715" s="185"/>
      <c r="K715"/>
      <c r="L715"/>
      <c r="M715"/>
      <c r="N715"/>
      <c r="O715"/>
      <c r="P715"/>
    </row>
    <row r="716" spans="8:16" s="1" customFormat="1">
      <c r="H716" s="185"/>
      <c r="I716" s="185"/>
      <c r="J716" s="185"/>
      <c r="K716"/>
      <c r="L716"/>
      <c r="M716"/>
      <c r="N716"/>
      <c r="O716"/>
      <c r="P716"/>
    </row>
    <row r="717" spans="8:16" s="1" customFormat="1">
      <c r="H717" s="185"/>
      <c r="I717" s="185"/>
      <c r="J717" s="185"/>
      <c r="K717"/>
      <c r="L717"/>
      <c r="M717"/>
      <c r="N717"/>
      <c r="O717"/>
      <c r="P717"/>
    </row>
    <row r="718" spans="8:16" s="1" customFormat="1">
      <c r="H718" s="185"/>
      <c r="I718" s="185"/>
      <c r="J718" s="185"/>
      <c r="K718"/>
      <c r="L718"/>
      <c r="M718"/>
      <c r="N718"/>
      <c r="O718"/>
      <c r="P718"/>
    </row>
    <row r="719" spans="8:16" s="1" customFormat="1">
      <c r="H719" s="185"/>
      <c r="I719" s="185"/>
      <c r="J719" s="185"/>
      <c r="K719"/>
      <c r="L719"/>
      <c r="M719"/>
      <c r="N719"/>
      <c r="O719"/>
      <c r="P719"/>
    </row>
    <row r="720" spans="8:16" s="1" customFormat="1">
      <c r="H720" s="185"/>
      <c r="I720" s="185"/>
      <c r="J720" s="185"/>
      <c r="K720"/>
      <c r="L720"/>
      <c r="M720"/>
      <c r="N720"/>
      <c r="O720"/>
      <c r="P720"/>
    </row>
    <row r="721" spans="8:16" s="1" customFormat="1">
      <c r="H721" s="185"/>
      <c r="I721" s="185"/>
      <c r="J721" s="185"/>
      <c r="K721"/>
      <c r="L721"/>
      <c r="M721"/>
      <c r="N721"/>
      <c r="O721"/>
      <c r="P721"/>
    </row>
    <row r="722" spans="8:16" s="1" customFormat="1">
      <c r="H722" s="185"/>
      <c r="I722" s="185"/>
      <c r="J722" s="185"/>
      <c r="K722"/>
      <c r="L722"/>
      <c r="M722"/>
      <c r="N722"/>
      <c r="O722"/>
      <c r="P722"/>
    </row>
    <row r="723" spans="8:16" s="1" customFormat="1">
      <c r="H723" s="185"/>
      <c r="I723" s="185"/>
      <c r="J723" s="185"/>
      <c r="K723"/>
      <c r="L723"/>
      <c r="M723"/>
      <c r="N723"/>
      <c r="O723"/>
      <c r="P723"/>
    </row>
    <row r="724" spans="8:16" s="1" customFormat="1">
      <c r="H724" s="185"/>
      <c r="I724" s="185"/>
      <c r="J724" s="185"/>
      <c r="K724"/>
      <c r="L724"/>
      <c r="M724"/>
      <c r="N724"/>
      <c r="O724"/>
      <c r="P724"/>
    </row>
    <row r="725" spans="8:16" s="1" customFormat="1">
      <c r="H725" s="185"/>
      <c r="I725" s="185"/>
      <c r="J725" s="185"/>
      <c r="K725"/>
      <c r="L725"/>
      <c r="M725"/>
      <c r="N725"/>
      <c r="O725"/>
      <c r="P725"/>
    </row>
    <row r="726" spans="8:16" s="1" customFormat="1">
      <c r="H726" s="185"/>
      <c r="I726" s="185"/>
      <c r="J726" s="185"/>
      <c r="K726"/>
      <c r="L726"/>
      <c r="M726"/>
      <c r="N726"/>
      <c r="O726"/>
      <c r="P726"/>
    </row>
    <row r="727" spans="8:16" s="1" customFormat="1">
      <c r="H727" s="185"/>
      <c r="I727" s="185"/>
      <c r="J727" s="185"/>
      <c r="K727"/>
      <c r="L727"/>
      <c r="M727"/>
      <c r="N727"/>
      <c r="O727"/>
      <c r="P727"/>
    </row>
    <row r="728" spans="8:16" s="1" customFormat="1">
      <c r="H728" s="185"/>
      <c r="I728" s="185"/>
      <c r="J728" s="185"/>
      <c r="K728"/>
      <c r="L728"/>
      <c r="M728"/>
      <c r="N728"/>
      <c r="O728"/>
      <c r="P728"/>
    </row>
    <row r="729" spans="8:16" s="1" customFormat="1">
      <c r="H729" s="185"/>
      <c r="I729" s="185"/>
      <c r="J729" s="185"/>
      <c r="K729"/>
      <c r="L729"/>
      <c r="M729"/>
      <c r="N729"/>
      <c r="O729"/>
      <c r="P729"/>
    </row>
    <row r="730" spans="8:16" s="1" customFormat="1">
      <c r="H730" s="185"/>
      <c r="I730" s="185"/>
      <c r="J730" s="185"/>
      <c r="K730"/>
      <c r="L730"/>
      <c r="M730"/>
      <c r="N730"/>
      <c r="O730"/>
      <c r="P730"/>
    </row>
    <row r="731" spans="8:16" s="1" customFormat="1">
      <c r="H731" s="185"/>
      <c r="I731" s="185"/>
      <c r="J731" s="185"/>
      <c r="K731"/>
      <c r="L731"/>
      <c r="M731"/>
      <c r="N731"/>
      <c r="O731"/>
      <c r="P731"/>
    </row>
    <row r="732" spans="8:16" s="1" customFormat="1">
      <c r="H732" s="185"/>
      <c r="I732" s="185"/>
      <c r="J732" s="185"/>
      <c r="K732"/>
      <c r="L732"/>
      <c r="M732"/>
      <c r="N732"/>
      <c r="O732"/>
      <c r="P732"/>
    </row>
    <row r="733" spans="8:16" s="1" customFormat="1">
      <c r="H733" s="185"/>
      <c r="I733" s="185"/>
      <c r="J733" s="185"/>
      <c r="K733"/>
      <c r="L733"/>
      <c r="M733"/>
      <c r="N733"/>
      <c r="O733"/>
      <c r="P733"/>
    </row>
    <row r="734" spans="8:16" s="1" customFormat="1">
      <c r="H734" s="185"/>
      <c r="I734" s="185"/>
      <c r="J734" s="185"/>
      <c r="K734"/>
      <c r="L734"/>
      <c r="M734"/>
      <c r="N734"/>
      <c r="O734"/>
      <c r="P734"/>
    </row>
    <row r="735" spans="8:16" s="1" customFormat="1">
      <c r="H735" s="185"/>
      <c r="I735" s="185"/>
      <c r="J735" s="185"/>
      <c r="K735"/>
      <c r="L735"/>
      <c r="M735"/>
      <c r="N735"/>
      <c r="O735"/>
      <c r="P735"/>
    </row>
    <row r="736" spans="8:16" s="1" customFormat="1">
      <c r="H736" s="185"/>
      <c r="I736" s="185"/>
      <c r="J736" s="185"/>
      <c r="K736"/>
      <c r="L736"/>
      <c r="M736"/>
      <c r="N736"/>
      <c r="O736"/>
      <c r="P736"/>
    </row>
    <row r="737" spans="8:16" s="1" customFormat="1">
      <c r="H737" s="185"/>
      <c r="I737" s="185"/>
      <c r="J737" s="185"/>
      <c r="K737"/>
      <c r="L737"/>
      <c r="M737"/>
      <c r="N737"/>
      <c r="O737"/>
      <c r="P737"/>
    </row>
    <row r="738" spans="8:16" s="1" customFormat="1">
      <c r="H738" s="185"/>
      <c r="I738" s="185"/>
      <c r="J738" s="185"/>
      <c r="K738"/>
      <c r="L738"/>
      <c r="M738"/>
      <c r="N738"/>
      <c r="O738"/>
      <c r="P738"/>
    </row>
    <row r="739" spans="8:16" s="1" customFormat="1">
      <c r="H739" s="185"/>
      <c r="I739" s="185"/>
      <c r="J739" s="185"/>
      <c r="K739"/>
      <c r="L739"/>
      <c r="M739"/>
      <c r="N739"/>
      <c r="O739"/>
      <c r="P739"/>
    </row>
    <row r="740" spans="8:16" s="1" customFormat="1">
      <c r="H740" s="185"/>
      <c r="I740" s="185"/>
      <c r="J740" s="185"/>
      <c r="K740"/>
      <c r="L740"/>
      <c r="M740"/>
      <c r="N740"/>
      <c r="O740"/>
      <c r="P740"/>
    </row>
    <row r="741" spans="8:16" s="1" customFormat="1">
      <c r="H741" s="185"/>
      <c r="I741" s="185"/>
      <c r="J741" s="185"/>
      <c r="K741"/>
      <c r="L741"/>
      <c r="M741"/>
      <c r="N741"/>
      <c r="O741"/>
      <c r="P741"/>
    </row>
    <row r="742" spans="8:16" s="1" customFormat="1">
      <c r="H742" s="185"/>
      <c r="I742" s="185"/>
      <c r="J742" s="185"/>
      <c r="K742"/>
      <c r="L742"/>
      <c r="M742"/>
      <c r="N742"/>
      <c r="O742"/>
      <c r="P742"/>
    </row>
    <row r="743" spans="8:16" s="1" customFormat="1">
      <c r="H743" s="185"/>
      <c r="I743" s="185"/>
      <c r="J743" s="185"/>
      <c r="K743"/>
      <c r="L743"/>
      <c r="M743"/>
      <c r="N743"/>
      <c r="O743"/>
      <c r="P743"/>
    </row>
    <row r="744" spans="8:16" s="1" customFormat="1">
      <c r="H744" s="185"/>
      <c r="I744" s="185"/>
      <c r="J744" s="185"/>
      <c r="K744"/>
      <c r="L744"/>
      <c r="M744"/>
      <c r="N744"/>
      <c r="O744"/>
      <c r="P744"/>
    </row>
    <row r="745" spans="8:16" s="1" customFormat="1">
      <c r="H745" s="185"/>
      <c r="I745" s="185"/>
      <c r="J745" s="185"/>
      <c r="K745"/>
      <c r="L745"/>
      <c r="M745"/>
      <c r="N745"/>
      <c r="O745"/>
      <c r="P745"/>
    </row>
    <row r="746" spans="8:16" s="1" customFormat="1">
      <c r="H746" s="185"/>
      <c r="I746" s="185"/>
      <c r="J746" s="185"/>
      <c r="K746"/>
      <c r="L746"/>
      <c r="M746"/>
      <c r="N746"/>
      <c r="O746"/>
      <c r="P746"/>
    </row>
    <row r="747" spans="8:16" s="1" customFormat="1">
      <c r="H747" s="185"/>
      <c r="I747" s="185"/>
      <c r="J747" s="185"/>
      <c r="K747"/>
      <c r="L747"/>
      <c r="M747"/>
      <c r="N747"/>
      <c r="O747"/>
      <c r="P747"/>
    </row>
    <row r="748" spans="8:16" s="1" customFormat="1">
      <c r="H748" s="185"/>
      <c r="I748" s="185"/>
      <c r="J748" s="185"/>
      <c r="K748"/>
      <c r="L748"/>
      <c r="M748"/>
      <c r="N748"/>
      <c r="O748"/>
      <c r="P748"/>
    </row>
    <row r="749" spans="8:16" s="1" customFormat="1">
      <c r="H749" s="185"/>
      <c r="I749" s="185"/>
      <c r="J749" s="185"/>
      <c r="K749"/>
      <c r="L749"/>
      <c r="M749"/>
      <c r="N749"/>
      <c r="O749"/>
      <c r="P749"/>
    </row>
    <row r="750" spans="8:16" s="1" customFormat="1">
      <c r="H750" s="185"/>
      <c r="I750" s="185"/>
      <c r="J750" s="185"/>
      <c r="K750"/>
      <c r="L750"/>
      <c r="M750"/>
      <c r="N750"/>
      <c r="O750"/>
      <c r="P750"/>
    </row>
    <row r="751" spans="8:16" s="1" customFormat="1">
      <c r="H751" s="185"/>
      <c r="I751" s="185"/>
      <c r="J751" s="185"/>
      <c r="K751"/>
      <c r="L751"/>
      <c r="M751"/>
      <c r="N751"/>
      <c r="O751"/>
      <c r="P751"/>
    </row>
    <row r="752" spans="8:16" s="1" customFormat="1">
      <c r="H752" s="185"/>
      <c r="I752" s="185"/>
      <c r="J752" s="185"/>
      <c r="K752"/>
      <c r="L752"/>
      <c r="M752"/>
      <c r="N752"/>
      <c r="O752"/>
      <c r="P752"/>
    </row>
    <row r="753" spans="8:16" s="1" customFormat="1">
      <c r="H753" s="185"/>
      <c r="I753" s="185"/>
      <c r="J753" s="185"/>
      <c r="K753"/>
      <c r="L753"/>
      <c r="M753"/>
      <c r="N753"/>
      <c r="O753"/>
      <c r="P753"/>
    </row>
    <row r="754" spans="8:16" s="1" customFormat="1">
      <c r="H754" s="185"/>
      <c r="I754" s="185"/>
      <c r="J754" s="185"/>
      <c r="K754"/>
      <c r="L754"/>
      <c r="M754"/>
      <c r="N754"/>
      <c r="O754"/>
      <c r="P754"/>
    </row>
    <row r="755" spans="8:16" s="1" customFormat="1">
      <c r="H755" s="185"/>
      <c r="I755" s="185"/>
      <c r="J755" s="185"/>
      <c r="K755"/>
      <c r="L755"/>
      <c r="M755"/>
      <c r="N755"/>
      <c r="O755"/>
      <c r="P755"/>
    </row>
    <row r="756" spans="8:16" s="1" customFormat="1">
      <c r="H756" s="185"/>
      <c r="I756" s="185"/>
      <c r="J756" s="185"/>
      <c r="K756"/>
      <c r="L756"/>
      <c r="M756"/>
      <c r="N756"/>
      <c r="O756"/>
      <c r="P756"/>
    </row>
    <row r="757" spans="8:16" s="1" customFormat="1">
      <c r="H757" s="185"/>
      <c r="I757" s="185"/>
      <c r="J757" s="185"/>
      <c r="K757"/>
      <c r="L757"/>
      <c r="M757"/>
      <c r="N757"/>
      <c r="O757"/>
      <c r="P757"/>
    </row>
    <row r="758" spans="8:16" s="1" customFormat="1">
      <c r="H758" s="185"/>
      <c r="I758" s="185"/>
      <c r="J758" s="185"/>
      <c r="K758"/>
      <c r="L758"/>
      <c r="M758"/>
      <c r="N758"/>
      <c r="O758"/>
      <c r="P758"/>
    </row>
    <row r="759" spans="8:16" s="1" customFormat="1">
      <c r="H759" s="185"/>
      <c r="I759" s="185"/>
      <c r="J759" s="185"/>
      <c r="K759"/>
      <c r="L759"/>
      <c r="M759"/>
      <c r="N759"/>
      <c r="O759"/>
      <c r="P759"/>
    </row>
    <row r="760" spans="8:16" s="1" customFormat="1">
      <c r="H760" s="185"/>
      <c r="I760" s="185"/>
      <c r="J760" s="185"/>
      <c r="K760"/>
      <c r="L760"/>
      <c r="M760"/>
      <c r="N760"/>
      <c r="O760"/>
      <c r="P760"/>
    </row>
    <row r="761" spans="8:16" s="1" customFormat="1">
      <c r="H761" s="185"/>
      <c r="I761" s="185"/>
      <c r="J761" s="185"/>
      <c r="K761"/>
      <c r="L761"/>
      <c r="M761"/>
      <c r="N761"/>
      <c r="O761"/>
      <c r="P761"/>
    </row>
    <row r="762" spans="8:16" s="1" customFormat="1">
      <c r="H762" s="185"/>
      <c r="I762" s="185"/>
      <c r="J762" s="185"/>
      <c r="K762"/>
      <c r="L762"/>
      <c r="M762"/>
      <c r="N762"/>
      <c r="O762"/>
      <c r="P762"/>
    </row>
    <row r="763" spans="8:16" s="1" customFormat="1">
      <c r="H763" s="185"/>
      <c r="I763" s="185"/>
      <c r="J763" s="185"/>
      <c r="K763"/>
      <c r="L763"/>
      <c r="M763"/>
      <c r="N763"/>
      <c r="O763"/>
      <c r="P763"/>
    </row>
    <row r="764" spans="8:16" s="1" customFormat="1">
      <c r="H764" s="185"/>
      <c r="I764" s="185"/>
      <c r="J764" s="185"/>
      <c r="K764"/>
      <c r="L764"/>
      <c r="M764"/>
      <c r="N764"/>
      <c r="O764"/>
      <c r="P764"/>
    </row>
    <row r="765" spans="8:16" s="1" customFormat="1">
      <c r="H765" s="185"/>
      <c r="I765" s="185"/>
      <c r="J765" s="185"/>
      <c r="K765"/>
      <c r="L765"/>
      <c r="M765"/>
      <c r="N765"/>
      <c r="O765"/>
      <c r="P765"/>
    </row>
    <row r="766" spans="8:16" s="1" customFormat="1">
      <c r="H766" s="185"/>
      <c r="I766" s="185"/>
      <c r="J766" s="185"/>
      <c r="K766"/>
      <c r="L766"/>
      <c r="M766"/>
      <c r="N766"/>
      <c r="O766"/>
      <c r="P766"/>
    </row>
    <row r="767" spans="8:16" s="1" customFormat="1">
      <c r="H767" s="185"/>
      <c r="I767" s="185"/>
      <c r="J767" s="185"/>
      <c r="K767"/>
      <c r="L767"/>
      <c r="M767"/>
      <c r="N767"/>
      <c r="O767"/>
      <c r="P767"/>
    </row>
    <row r="768" spans="8:16" s="1" customFormat="1">
      <c r="H768" s="185"/>
      <c r="I768" s="185"/>
      <c r="J768" s="185"/>
      <c r="K768"/>
      <c r="L768"/>
      <c r="M768"/>
      <c r="N768"/>
      <c r="O768"/>
      <c r="P768"/>
    </row>
    <row r="769" spans="8:16" s="1" customFormat="1">
      <c r="H769" s="185"/>
      <c r="I769" s="185"/>
      <c r="J769" s="185"/>
      <c r="K769"/>
      <c r="L769"/>
      <c r="M769"/>
      <c r="N769"/>
      <c r="O769"/>
      <c r="P769"/>
    </row>
    <row r="770" spans="8:16" s="1" customFormat="1">
      <c r="H770" s="185"/>
      <c r="I770" s="185"/>
      <c r="J770" s="185"/>
      <c r="K770"/>
      <c r="L770"/>
      <c r="M770"/>
      <c r="N770"/>
      <c r="O770"/>
      <c r="P770"/>
    </row>
    <row r="771" spans="8:16" s="1" customFormat="1">
      <c r="H771" s="185"/>
      <c r="I771" s="185"/>
      <c r="J771" s="185"/>
      <c r="K771"/>
      <c r="L771"/>
      <c r="M771"/>
      <c r="N771"/>
      <c r="O771"/>
      <c r="P771"/>
    </row>
    <row r="772" spans="8:16" s="1" customFormat="1">
      <c r="H772" s="185"/>
      <c r="I772" s="185"/>
      <c r="J772" s="185"/>
      <c r="K772"/>
      <c r="L772"/>
      <c r="M772"/>
      <c r="N772"/>
      <c r="O772"/>
      <c r="P772"/>
    </row>
    <row r="773" spans="8:16" s="1" customFormat="1">
      <c r="H773" s="185"/>
      <c r="I773" s="185"/>
      <c r="J773" s="185"/>
      <c r="K773"/>
      <c r="L773"/>
      <c r="M773"/>
      <c r="N773"/>
      <c r="O773"/>
      <c r="P773"/>
    </row>
    <row r="774" spans="8:16" s="1" customFormat="1">
      <c r="H774" s="185"/>
      <c r="I774" s="185"/>
      <c r="J774" s="185"/>
      <c r="K774"/>
      <c r="L774"/>
      <c r="M774"/>
      <c r="N774"/>
      <c r="O774"/>
      <c r="P774"/>
    </row>
    <row r="775" spans="8:16" s="1" customFormat="1">
      <c r="H775" s="185"/>
      <c r="I775" s="185"/>
      <c r="J775" s="185"/>
      <c r="K775"/>
      <c r="L775"/>
      <c r="M775"/>
      <c r="N775"/>
      <c r="O775"/>
      <c r="P775"/>
    </row>
    <row r="776" spans="8:16" s="1" customFormat="1">
      <c r="H776" s="185"/>
      <c r="I776" s="185"/>
      <c r="J776" s="185"/>
      <c r="K776"/>
      <c r="L776"/>
      <c r="M776"/>
      <c r="N776"/>
      <c r="O776"/>
      <c r="P776"/>
    </row>
    <row r="777" spans="8:16" s="1" customFormat="1">
      <c r="H777" s="185"/>
      <c r="I777" s="185"/>
      <c r="J777" s="185"/>
      <c r="K777"/>
      <c r="L777"/>
      <c r="M777"/>
      <c r="N777"/>
      <c r="O777"/>
      <c r="P777"/>
    </row>
    <row r="778" spans="8:16" s="1" customFormat="1">
      <c r="H778" s="185"/>
      <c r="I778" s="185"/>
      <c r="J778" s="185"/>
      <c r="K778"/>
      <c r="L778"/>
      <c r="M778"/>
      <c r="N778"/>
      <c r="O778"/>
      <c r="P778"/>
    </row>
    <row r="779" spans="8:16" s="1" customFormat="1">
      <c r="H779" s="185"/>
      <c r="I779" s="185"/>
      <c r="J779" s="185"/>
      <c r="K779"/>
      <c r="L779"/>
      <c r="M779"/>
      <c r="N779"/>
      <c r="O779"/>
      <c r="P779"/>
    </row>
    <row r="780" spans="8:16" s="1" customFormat="1">
      <c r="H780" s="185"/>
      <c r="I780" s="185"/>
      <c r="J780" s="185"/>
      <c r="K780"/>
      <c r="L780"/>
      <c r="M780"/>
      <c r="N780"/>
      <c r="O780"/>
      <c r="P780"/>
    </row>
    <row r="781" spans="8:16" s="1" customFormat="1">
      <c r="H781" s="185"/>
      <c r="I781" s="185"/>
      <c r="J781" s="185"/>
      <c r="K781"/>
      <c r="L781"/>
      <c r="M781"/>
      <c r="N781"/>
      <c r="O781"/>
      <c r="P781"/>
    </row>
    <row r="782" spans="8:16" s="1" customFormat="1">
      <c r="H782" s="185"/>
      <c r="I782" s="185"/>
      <c r="J782" s="185"/>
      <c r="K782"/>
      <c r="L782"/>
      <c r="M782"/>
      <c r="N782"/>
      <c r="O782"/>
      <c r="P782"/>
    </row>
    <row r="783" spans="8:16" s="1" customFormat="1">
      <c r="H783" s="185"/>
      <c r="I783" s="185"/>
      <c r="J783" s="185"/>
      <c r="K783"/>
      <c r="L783"/>
      <c r="M783"/>
      <c r="N783"/>
      <c r="O783"/>
      <c r="P783"/>
    </row>
    <row r="784" spans="8:16" s="1" customFormat="1">
      <c r="H784" s="185"/>
      <c r="I784" s="185"/>
      <c r="J784" s="185"/>
      <c r="K784"/>
      <c r="L784"/>
      <c r="M784"/>
      <c r="N784"/>
      <c r="O784"/>
      <c r="P784"/>
    </row>
    <row r="785" spans="8:16" s="1" customFormat="1">
      <c r="H785" s="185"/>
      <c r="I785" s="185"/>
      <c r="J785" s="185"/>
      <c r="K785"/>
      <c r="L785"/>
      <c r="M785"/>
      <c r="N785"/>
      <c r="O785"/>
      <c r="P785"/>
    </row>
    <row r="786" spans="8:16" s="1" customFormat="1">
      <c r="H786" s="185"/>
      <c r="I786" s="185"/>
      <c r="J786" s="185"/>
      <c r="K786"/>
      <c r="L786"/>
      <c r="M786"/>
      <c r="N786"/>
      <c r="O786"/>
      <c r="P786"/>
    </row>
    <row r="787" spans="8:16" s="1" customFormat="1">
      <c r="H787" s="185"/>
      <c r="I787" s="185"/>
      <c r="J787" s="185"/>
      <c r="K787"/>
      <c r="L787"/>
      <c r="M787"/>
      <c r="N787"/>
      <c r="O787"/>
      <c r="P787"/>
    </row>
    <row r="788" spans="8:16" s="1" customFormat="1">
      <c r="H788" s="185"/>
      <c r="I788" s="185"/>
      <c r="J788" s="185"/>
      <c r="K788"/>
      <c r="L788"/>
      <c r="M788"/>
      <c r="N788"/>
      <c r="O788"/>
      <c r="P788"/>
    </row>
    <row r="789" spans="8:16" s="1" customFormat="1">
      <c r="H789" s="185"/>
      <c r="I789" s="185"/>
      <c r="J789" s="185"/>
      <c r="K789"/>
      <c r="L789"/>
      <c r="M789"/>
      <c r="N789"/>
      <c r="O789"/>
      <c r="P789"/>
    </row>
    <row r="790" spans="8:16" s="1" customFormat="1">
      <c r="H790" s="185"/>
      <c r="I790" s="185"/>
      <c r="J790" s="185"/>
      <c r="K790"/>
      <c r="L790"/>
      <c r="M790"/>
      <c r="N790"/>
      <c r="O790"/>
      <c r="P790"/>
    </row>
    <row r="791" spans="8:16" s="1" customFormat="1">
      <c r="H791" s="185"/>
      <c r="I791" s="185"/>
      <c r="J791" s="185"/>
      <c r="K791"/>
      <c r="L791"/>
      <c r="M791"/>
      <c r="N791"/>
      <c r="O791"/>
      <c r="P791"/>
    </row>
    <row r="792" spans="8:16" s="1" customFormat="1">
      <c r="H792" s="185"/>
      <c r="I792" s="185"/>
      <c r="J792" s="185"/>
      <c r="K792"/>
      <c r="L792"/>
      <c r="M792"/>
      <c r="N792"/>
      <c r="O792"/>
      <c r="P792"/>
    </row>
    <row r="793" spans="8:16" s="1" customFormat="1">
      <c r="H793" s="185"/>
      <c r="I793" s="185"/>
      <c r="J793" s="185"/>
      <c r="K793"/>
      <c r="L793"/>
      <c r="M793"/>
      <c r="N793"/>
      <c r="O793"/>
      <c r="P793"/>
    </row>
    <row r="794" spans="8:16" s="1" customFormat="1">
      <c r="H794" s="185"/>
      <c r="I794" s="185"/>
      <c r="J794" s="185"/>
      <c r="K794"/>
      <c r="L794"/>
      <c r="M794"/>
      <c r="N794"/>
      <c r="O794"/>
      <c r="P794"/>
    </row>
    <row r="795" spans="8:16" s="1" customFormat="1">
      <c r="H795" s="185"/>
      <c r="I795" s="185"/>
      <c r="J795" s="185"/>
      <c r="K795"/>
      <c r="L795"/>
      <c r="M795"/>
      <c r="N795"/>
      <c r="O795"/>
      <c r="P795"/>
    </row>
    <row r="796" spans="8:16" s="1" customFormat="1">
      <c r="H796" s="185"/>
      <c r="I796" s="185"/>
      <c r="J796" s="185"/>
      <c r="K796"/>
      <c r="L796"/>
      <c r="M796"/>
      <c r="N796"/>
      <c r="O796"/>
      <c r="P796"/>
    </row>
    <row r="797" spans="8:16" s="1" customFormat="1">
      <c r="H797" s="185"/>
      <c r="I797" s="185"/>
      <c r="J797" s="185"/>
      <c r="K797"/>
      <c r="L797"/>
      <c r="M797"/>
      <c r="N797"/>
      <c r="O797"/>
      <c r="P797"/>
    </row>
    <row r="798" spans="8:16" s="1" customFormat="1">
      <c r="H798" s="185"/>
      <c r="I798" s="185"/>
      <c r="J798" s="185"/>
      <c r="K798"/>
      <c r="L798"/>
      <c r="M798"/>
      <c r="N798"/>
      <c r="O798"/>
      <c r="P798"/>
    </row>
    <row r="799" spans="8:16" s="1" customFormat="1">
      <c r="H799" s="185"/>
      <c r="I799" s="185"/>
      <c r="J799" s="185"/>
      <c r="K799"/>
      <c r="L799"/>
      <c r="M799"/>
      <c r="N799"/>
      <c r="O799"/>
      <c r="P799"/>
    </row>
    <row r="800" spans="8:16" s="1" customFormat="1">
      <c r="H800" s="185"/>
      <c r="I800" s="185"/>
      <c r="J800" s="185"/>
      <c r="K800"/>
      <c r="L800"/>
      <c r="M800"/>
      <c r="N800"/>
      <c r="O800"/>
      <c r="P800"/>
    </row>
    <row r="801" spans="8:16" s="1" customFormat="1">
      <c r="H801" s="185"/>
      <c r="I801" s="185"/>
      <c r="J801" s="185"/>
      <c r="K801"/>
      <c r="L801"/>
      <c r="M801"/>
      <c r="N801"/>
      <c r="O801"/>
      <c r="P801"/>
    </row>
    <row r="802" spans="8:16" s="1" customFormat="1">
      <c r="H802" s="185"/>
      <c r="I802" s="185"/>
      <c r="J802" s="185"/>
      <c r="K802"/>
      <c r="L802"/>
      <c r="M802"/>
      <c r="N802"/>
      <c r="O802"/>
      <c r="P802"/>
    </row>
    <row r="803" spans="8:16" s="1" customFormat="1">
      <c r="H803" s="185"/>
      <c r="I803" s="185"/>
      <c r="J803" s="185"/>
      <c r="K803"/>
      <c r="L803"/>
      <c r="M803"/>
      <c r="N803"/>
      <c r="O803"/>
      <c r="P803"/>
    </row>
    <row r="804" spans="8:16" s="1" customFormat="1">
      <c r="H804" s="185"/>
      <c r="I804" s="185"/>
      <c r="J804" s="185"/>
      <c r="K804"/>
      <c r="L804"/>
      <c r="M804"/>
      <c r="N804"/>
      <c r="O804"/>
      <c r="P804"/>
    </row>
    <row r="805" spans="8:16" s="1" customFormat="1">
      <c r="H805" s="185"/>
      <c r="I805" s="185"/>
      <c r="J805" s="185"/>
      <c r="K805"/>
      <c r="L805"/>
      <c r="M805"/>
      <c r="N805"/>
      <c r="O805"/>
      <c r="P805"/>
    </row>
    <row r="806" spans="8:16" s="1" customFormat="1">
      <c r="H806" s="185"/>
      <c r="I806" s="185"/>
      <c r="J806" s="185"/>
      <c r="K806"/>
      <c r="L806"/>
      <c r="M806"/>
      <c r="N806"/>
      <c r="O806"/>
      <c r="P806"/>
    </row>
    <row r="807" spans="8:16" s="1" customFormat="1">
      <c r="H807" s="185"/>
      <c r="I807" s="185"/>
      <c r="J807" s="185"/>
      <c r="K807"/>
      <c r="L807"/>
      <c r="M807"/>
      <c r="N807"/>
      <c r="O807"/>
      <c r="P807"/>
    </row>
    <row r="808" spans="8:16" s="1" customFormat="1">
      <c r="H808" s="185"/>
      <c r="I808" s="185"/>
      <c r="J808" s="185"/>
      <c r="K808"/>
      <c r="L808"/>
      <c r="M808"/>
      <c r="N808"/>
      <c r="O808"/>
      <c r="P808"/>
    </row>
    <row r="809" spans="8:16" s="1" customFormat="1">
      <c r="H809" s="185"/>
      <c r="I809" s="185"/>
      <c r="J809" s="185"/>
      <c r="K809"/>
      <c r="L809"/>
      <c r="M809"/>
      <c r="N809"/>
      <c r="O809"/>
      <c r="P809"/>
    </row>
    <row r="810" spans="8:16" s="1" customFormat="1">
      <c r="H810" s="185"/>
      <c r="I810" s="185"/>
      <c r="J810" s="185"/>
      <c r="K810"/>
      <c r="L810"/>
      <c r="M810"/>
      <c r="N810"/>
      <c r="O810"/>
      <c r="P810"/>
    </row>
    <row r="811" spans="8:16" s="1" customFormat="1">
      <c r="H811" s="185"/>
      <c r="I811" s="185"/>
      <c r="J811" s="185"/>
      <c r="K811"/>
      <c r="L811"/>
      <c r="M811"/>
      <c r="N811"/>
      <c r="O811"/>
      <c r="P811"/>
    </row>
    <row r="812" spans="8:16" s="1" customFormat="1">
      <c r="H812" s="185"/>
      <c r="I812" s="185"/>
      <c r="J812" s="185"/>
      <c r="K812"/>
      <c r="L812"/>
      <c r="M812"/>
      <c r="N812"/>
      <c r="O812"/>
      <c r="P812"/>
    </row>
    <row r="813" spans="8:16" s="1" customFormat="1">
      <c r="H813" s="185"/>
      <c r="I813" s="185"/>
      <c r="J813" s="185"/>
      <c r="K813"/>
      <c r="L813"/>
      <c r="M813"/>
      <c r="N813"/>
      <c r="O813"/>
      <c r="P813"/>
    </row>
    <row r="814" spans="8:16" s="1" customFormat="1">
      <c r="H814" s="185"/>
      <c r="I814" s="185"/>
      <c r="J814" s="185"/>
      <c r="K814"/>
      <c r="L814"/>
      <c r="M814"/>
      <c r="N814"/>
      <c r="O814"/>
      <c r="P814"/>
    </row>
    <row r="815" spans="8:16" s="1" customFormat="1">
      <c r="H815" s="185"/>
      <c r="I815" s="185"/>
      <c r="J815" s="185"/>
      <c r="K815"/>
      <c r="L815"/>
      <c r="M815"/>
      <c r="N815"/>
      <c r="O815"/>
      <c r="P815"/>
    </row>
    <row r="816" spans="8:16" s="1" customFormat="1">
      <c r="H816" s="185"/>
      <c r="I816" s="185"/>
      <c r="J816" s="185"/>
      <c r="K816"/>
      <c r="L816"/>
      <c r="M816"/>
      <c r="N816"/>
      <c r="O816"/>
      <c r="P816"/>
    </row>
    <row r="817" spans="8:16" s="1" customFormat="1">
      <c r="H817" s="185"/>
      <c r="I817" s="185"/>
      <c r="J817" s="185"/>
      <c r="K817"/>
      <c r="L817"/>
      <c r="M817"/>
      <c r="N817"/>
      <c r="O817"/>
      <c r="P817"/>
    </row>
    <row r="818" spans="8:16" s="1" customFormat="1">
      <c r="H818" s="185"/>
      <c r="I818" s="185"/>
      <c r="J818" s="185"/>
      <c r="K818"/>
      <c r="L818"/>
      <c r="M818"/>
      <c r="N818"/>
      <c r="O818"/>
      <c r="P818"/>
    </row>
    <row r="819" spans="8:16" s="1" customFormat="1">
      <c r="H819" s="185"/>
      <c r="I819" s="185"/>
      <c r="J819" s="185"/>
      <c r="K819"/>
      <c r="L819"/>
      <c r="M819"/>
      <c r="N819"/>
      <c r="O819"/>
      <c r="P819"/>
    </row>
    <row r="820" spans="8:16" s="1" customFormat="1">
      <c r="H820" s="185"/>
      <c r="I820" s="185"/>
      <c r="J820" s="185"/>
      <c r="K820"/>
      <c r="L820"/>
      <c r="M820"/>
      <c r="N820"/>
      <c r="O820"/>
      <c r="P820"/>
    </row>
    <row r="821" spans="8:16" s="1" customFormat="1">
      <c r="H821" s="185"/>
      <c r="I821" s="185"/>
      <c r="J821" s="185"/>
      <c r="K821"/>
      <c r="L821"/>
      <c r="M821"/>
      <c r="N821"/>
      <c r="O821"/>
      <c r="P821"/>
    </row>
    <row r="822" spans="8:16" s="1" customFormat="1">
      <c r="H822" s="185"/>
      <c r="I822" s="185"/>
      <c r="J822" s="185"/>
      <c r="K822"/>
      <c r="L822"/>
      <c r="M822"/>
      <c r="N822"/>
      <c r="O822"/>
      <c r="P822"/>
    </row>
    <row r="823" spans="8:16" s="1" customFormat="1">
      <c r="H823" s="185"/>
      <c r="I823" s="185"/>
      <c r="J823" s="185"/>
      <c r="K823"/>
      <c r="L823"/>
      <c r="M823"/>
      <c r="N823"/>
      <c r="O823"/>
      <c r="P823"/>
    </row>
    <row r="824" spans="8:16" s="1" customFormat="1">
      <c r="H824" s="185"/>
      <c r="I824" s="185"/>
      <c r="J824" s="185"/>
      <c r="K824"/>
      <c r="L824"/>
      <c r="M824"/>
      <c r="N824"/>
      <c r="O824"/>
      <c r="P824"/>
    </row>
    <row r="825" spans="8:16" s="1" customFormat="1">
      <c r="H825" s="185"/>
      <c r="I825" s="185"/>
      <c r="J825" s="185"/>
      <c r="K825"/>
      <c r="L825"/>
      <c r="M825"/>
      <c r="N825"/>
      <c r="O825"/>
      <c r="P825"/>
    </row>
    <row r="826" spans="8:16" s="1" customFormat="1">
      <c r="H826" s="185"/>
      <c r="I826" s="185"/>
      <c r="J826" s="185"/>
      <c r="K826"/>
      <c r="L826"/>
      <c r="M826"/>
      <c r="N826"/>
      <c r="O826"/>
      <c r="P826"/>
    </row>
    <row r="827" spans="8:16" s="1" customFormat="1">
      <c r="H827" s="185"/>
      <c r="I827" s="185"/>
      <c r="J827" s="185"/>
      <c r="K827"/>
      <c r="L827"/>
      <c r="M827"/>
      <c r="N827"/>
      <c r="O827"/>
      <c r="P827"/>
    </row>
    <row r="828" spans="8:16" s="1" customFormat="1">
      <c r="H828" s="185"/>
      <c r="I828" s="185"/>
      <c r="J828" s="185"/>
      <c r="K828"/>
      <c r="L828"/>
      <c r="M828"/>
      <c r="N828"/>
      <c r="O828"/>
      <c r="P828"/>
    </row>
    <row r="829" spans="8:16" s="1" customFormat="1">
      <c r="H829" s="185"/>
      <c r="I829" s="185"/>
      <c r="J829" s="185"/>
      <c r="K829"/>
      <c r="L829"/>
      <c r="M829"/>
      <c r="N829"/>
      <c r="O829"/>
      <c r="P829"/>
    </row>
    <row r="830" spans="8:16" s="1" customFormat="1">
      <c r="H830" s="185"/>
      <c r="I830" s="185"/>
      <c r="J830" s="185"/>
      <c r="K830"/>
      <c r="L830"/>
      <c r="M830"/>
      <c r="N830"/>
      <c r="O830"/>
      <c r="P830"/>
    </row>
    <row r="831" spans="8:16" s="1" customFormat="1">
      <c r="H831" s="185"/>
      <c r="I831" s="185"/>
      <c r="J831" s="185"/>
      <c r="K831"/>
      <c r="L831"/>
      <c r="M831"/>
      <c r="N831"/>
      <c r="O831"/>
      <c r="P831"/>
    </row>
    <row r="832" spans="8:16" s="1" customFormat="1">
      <c r="H832" s="185"/>
      <c r="I832" s="185"/>
      <c r="J832" s="185"/>
      <c r="K832"/>
      <c r="L832"/>
      <c r="M832"/>
      <c r="N832"/>
      <c r="O832"/>
      <c r="P832"/>
    </row>
    <row r="833" spans="8:16" s="1" customFormat="1">
      <c r="H833" s="185"/>
      <c r="I833" s="185"/>
      <c r="J833" s="185"/>
      <c r="K833"/>
      <c r="L833"/>
      <c r="M833"/>
      <c r="N833"/>
      <c r="O833"/>
      <c r="P833"/>
    </row>
    <row r="834" spans="8:16" s="1" customFormat="1">
      <c r="H834" s="185"/>
      <c r="I834" s="185"/>
      <c r="J834" s="185"/>
      <c r="K834"/>
      <c r="L834"/>
      <c r="M834"/>
      <c r="N834"/>
      <c r="O834"/>
      <c r="P834"/>
    </row>
    <row r="835" spans="8:16" s="1" customFormat="1">
      <c r="H835" s="185"/>
      <c r="I835" s="185"/>
      <c r="J835" s="185"/>
      <c r="K835"/>
      <c r="L835"/>
      <c r="M835"/>
      <c r="N835"/>
      <c r="O835"/>
      <c r="P835"/>
    </row>
    <row r="836" spans="8:16" s="1" customFormat="1">
      <c r="H836" s="185"/>
      <c r="I836" s="185"/>
      <c r="J836" s="185"/>
      <c r="K836"/>
      <c r="L836"/>
      <c r="M836"/>
      <c r="N836"/>
      <c r="O836"/>
      <c r="P836"/>
    </row>
    <row r="837" spans="8:16" s="1" customFormat="1">
      <c r="H837" s="185"/>
      <c r="I837" s="185"/>
      <c r="J837" s="185"/>
      <c r="K837"/>
      <c r="L837"/>
      <c r="M837"/>
      <c r="N837"/>
      <c r="O837"/>
      <c r="P837"/>
    </row>
    <row r="838" spans="8:16" s="1" customFormat="1">
      <c r="H838" s="185"/>
      <c r="I838" s="185"/>
      <c r="J838" s="185"/>
      <c r="K838"/>
      <c r="L838"/>
      <c r="M838"/>
      <c r="N838"/>
      <c r="O838"/>
      <c r="P838"/>
    </row>
    <row r="839" spans="8:16" s="1" customFormat="1">
      <c r="H839" s="185"/>
      <c r="I839" s="185"/>
      <c r="J839" s="185"/>
      <c r="K839"/>
      <c r="L839"/>
      <c r="M839"/>
      <c r="N839"/>
      <c r="O839"/>
      <c r="P839"/>
    </row>
    <row r="840" spans="8:16" s="1" customFormat="1">
      <c r="H840" s="185"/>
      <c r="I840" s="185"/>
      <c r="J840" s="185"/>
      <c r="K840"/>
      <c r="L840"/>
      <c r="M840"/>
      <c r="N840"/>
      <c r="O840"/>
      <c r="P840"/>
    </row>
    <row r="841" spans="8:16" s="1" customFormat="1">
      <c r="H841" s="185"/>
      <c r="I841" s="185"/>
      <c r="J841" s="185"/>
      <c r="K841"/>
      <c r="L841"/>
      <c r="M841"/>
      <c r="N841"/>
      <c r="O841"/>
      <c r="P841"/>
    </row>
    <row r="842" spans="8:16" s="1" customFormat="1">
      <c r="H842" s="185"/>
      <c r="I842" s="185"/>
      <c r="J842" s="185"/>
      <c r="K842"/>
      <c r="L842"/>
      <c r="M842"/>
      <c r="N842"/>
      <c r="O842"/>
      <c r="P842"/>
    </row>
    <row r="843" spans="8:16" s="1" customFormat="1">
      <c r="H843" s="185"/>
      <c r="I843" s="185"/>
      <c r="J843" s="185"/>
      <c r="K843"/>
      <c r="L843"/>
      <c r="M843"/>
      <c r="N843"/>
      <c r="O843"/>
      <c r="P843"/>
    </row>
    <row r="844" spans="8:16" s="1" customFormat="1">
      <c r="H844" s="185"/>
      <c r="I844" s="185"/>
      <c r="J844" s="185"/>
      <c r="K844"/>
      <c r="L844"/>
      <c r="M844"/>
      <c r="N844"/>
      <c r="O844"/>
      <c r="P844"/>
    </row>
    <row r="845" spans="8:16" s="1" customFormat="1">
      <c r="H845" s="185"/>
      <c r="I845" s="185"/>
      <c r="J845" s="185"/>
      <c r="K845"/>
      <c r="L845"/>
      <c r="M845"/>
      <c r="N845"/>
      <c r="O845"/>
      <c r="P845"/>
    </row>
    <row r="846" spans="8:16" s="1" customFormat="1">
      <c r="H846" s="185"/>
      <c r="I846" s="185"/>
      <c r="J846" s="185"/>
      <c r="K846"/>
      <c r="L846"/>
      <c r="M846"/>
      <c r="N846"/>
      <c r="O846"/>
      <c r="P846"/>
    </row>
    <row r="847" spans="8:16" s="1" customFormat="1">
      <c r="H847" s="185"/>
      <c r="I847" s="185"/>
      <c r="J847" s="185"/>
      <c r="K847"/>
      <c r="L847"/>
      <c r="M847"/>
      <c r="N847"/>
      <c r="O847"/>
      <c r="P847"/>
    </row>
    <row r="848" spans="8:16" s="1" customFormat="1">
      <c r="H848" s="185"/>
      <c r="I848" s="185"/>
      <c r="J848" s="185"/>
      <c r="K848"/>
      <c r="L848"/>
      <c r="M848"/>
      <c r="N848"/>
      <c r="O848"/>
      <c r="P848"/>
    </row>
    <row r="849" spans="8:16" s="1" customFormat="1">
      <c r="H849" s="185"/>
      <c r="I849" s="185"/>
      <c r="J849" s="185"/>
      <c r="K849"/>
      <c r="L849"/>
      <c r="M849"/>
      <c r="N849"/>
      <c r="O849"/>
      <c r="P849"/>
    </row>
    <row r="850" spans="8:16" s="1" customFormat="1">
      <c r="H850" s="185"/>
      <c r="I850" s="185"/>
      <c r="J850" s="185"/>
      <c r="K850"/>
      <c r="L850"/>
      <c r="M850"/>
      <c r="N850"/>
      <c r="O850"/>
      <c r="P850"/>
    </row>
    <row r="851" spans="8:16" s="1" customFormat="1">
      <c r="H851" s="185"/>
      <c r="I851" s="185"/>
      <c r="J851" s="185"/>
      <c r="K851"/>
      <c r="L851"/>
      <c r="M851"/>
      <c r="N851"/>
      <c r="O851"/>
      <c r="P851"/>
    </row>
    <row r="852" spans="8:16" s="1" customFormat="1">
      <c r="H852" s="185"/>
      <c r="I852" s="185"/>
      <c r="J852" s="185"/>
      <c r="K852"/>
      <c r="L852"/>
      <c r="M852"/>
      <c r="N852"/>
      <c r="O852"/>
      <c r="P852"/>
    </row>
    <row r="853" spans="8:16" s="1" customFormat="1">
      <c r="H853" s="185"/>
      <c r="I853" s="185"/>
      <c r="J853" s="185"/>
      <c r="K853"/>
      <c r="L853"/>
      <c r="M853"/>
      <c r="N853"/>
      <c r="O853"/>
      <c r="P853"/>
    </row>
    <row r="854" spans="8:16" s="1" customFormat="1">
      <c r="H854" s="185"/>
      <c r="I854" s="185"/>
      <c r="J854" s="185"/>
      <c r="K854"/>
      <c r="L854"/>
      <c r="M854"/>
      <c r="N854"/>
      <c r="O854"/>
      <c r="P854"/>
    </row>
    <row r="855" spans="8:16" s="1" customFormat="1">
      <c r="H855" s="185"/>
      <c r="I855" s="185"/>
      <c r="J855" s="185"/>
      <c r="K855"/>
      <c r="L855"/>
      <c r="M855"/>
      <c r="N855"/>
      <c r="O855"/>
      <c r="P855"/>
    </row>
    <row r="856" spans="8:16" s="1" customFormat="1">
      <c r="H856" s="185"/>
      <c r="I856" s="185"/>
      <c r="J856" s="185"/>
      <c r="K856"/>
      <c r="L856"/>
      <c r="M856"/>
      <c r="N856"/>
      <c r="O856"/>
      <c r="P856"/>
    </row>
    <row r="857" spans="8:16" s="1" customFormat="1">
      <c r="H857" s="185"/>
      <c r="I857" s="185"/>
      <c r="J857" s="185"/>
      <c r="K857"/>
      <c r="L857"/>
      <c r="M857"/>
      <c r="N857"/>
      <c r="O857"/>
      <c r="P857"/>
    </row>
    <row r="858" spans="8:16" s="1" customFormat="1">
      <c r="H858" s="185"/>
      <c r="I858" s="185"/>
      <c r="J858" s="185"/>
      <c r="K858"/>
      <c r="L858"/>
      <c r="M858"/>
      <c r="N858"/>
      <c r="O858"/>
      <c r="P858"/>
    </row>
    <row r="859" spans="8:16" s="1" customFormat="1">
      <c r="H859" s="185"/>
      <c r="I859" s="185"/>
      <c r="J859" s="185"/>
      <c r="K859"/>
      <c r="L859"/>
      <c r="M859"/>
      <c r="N859"/>
      <c r="O859"/>
      <c r="P859"/>
    </row>
    <row r="860" spans="8:16" s="1" customFormat="1">
      <c r="H860" s="185"/>
      <c r="I860" s="185"/>
      <c r="J860" s="185"/>
      <c r="K860"/>
      <c r="L860"/>
      <c r="M860"/>
      <c r="N860"/>
      <c r="O860"/>
      <c r="P860"/>
    </row>
    <row r="861" spans="8:16" s="1" customFormat="1">
      <c r="H861" s="185"/>
      <c r="I861" s="185"/>
      <c r="J861" s="185"/>
      <c r="K861"/>
      <c r="L861"/>
      <c r="M861"/>
      <c r="N861"/>
      <c r="O861"/>
      <c r="P861"/>
    </row>
    <row r="862" spans="8:16" s="1" customFormat="1">
      <c r="H862" s="185"/>
      <c r="I862" s="185"/>
      <c r="J862" s="185"/>
      <c r="K862"/>
      <c r="L862"/>
      <c r="M862"/>
      <c r="N862"/>
      <c r="O862"/>
      <c r="P862"/>
    </row>
    <row r="863" spans="8:16" s="1" customFormat="1">
      <c r="H863" s="185"/>
      <c r="I863" s="185"/>
      <c r="J863" s="185"/>
      <c r="K863"/>
      <c r="L863"/>
      <c r="M863"/>
      <c r="N863"/>
      <c r="O863"/>
      <c r="P863"/>
    </row>
    <row r="864" spans="8:16" s="1" customFormat="1">
      <c r="H864" s="185"/>
      <c r="I864" s="185"/>
      <c r="J864" s="185"/>
      <c r="K864"/>
      <c r="L864"/>
      <c r="M864"/>
      <c r="N864"/>
      <c r="O864"/>
      <c r="P864"/>
    </row>
    <row r="865" spans="8:16" s="1" customFormat="1">
      <c r="H865" s="185"/>
      <c r="I865" s="185"/>
      <c r="J865" s="185"/>
      <c r="K865"/>
      <c r="L865"/>
      <c r="M865"/>
      <c r="N865"/>
      <c r="O865"/>
      <c r="P865"/>
    </row>
    <row r="866" spans="8:16" s="1" customFormat="1">
      <c r="H866" s="185"/>
      <c r="I866" s="185"/>
      <c r="J866" s="185"/>
      <c r="K866"/>
      <c r="L866"/>
      <c r="M866"/>
      <c r="N866"/>
      <c r="O866"/>
      <c r="P866"/>
    </row>
    <row r="867" spans="8:16" s="1" customFormat="1">
      <c r="H867" s="185"/>
      <c r="I867" s="185"/>
      <c r="J867" s="185"/>
      <c r="K867"/>
      <c r="L867"/>
      <c r="M867"/>
      <c r="N867"/>
      <c r="O867"/>
      <c r="P867"/>
    </row>
    <row r="868" spans="8:16" s="1" customFormat="1">
      <c r="H868" s="185"/>
      <c r="I868" s="185"/>
      <c r="J868" s="185"/>
      <c r="K868"/>
      <c r="L868"/>
      <c r="M868"/>
      <c r="N868"/>
      <c r="O868"/>
      <c r="P868"/>
    </row>
    <row r="869" spans="8:16" s="1" customFormat="1">
      <c r="H869" s="185"/>
      <c r="I869" s="185"/>
      <c r="J869" s="185"/>
      <c r="K869"/>
      <c r="L869"/>
      <c r="M869"/>
      <c r="N869"/>
      <c r="O869"/>
      <c r="P869"/>
    </row>
    <row r="870" spans="8:16" s="1" customFormat="1">
      <c r="H870" s="185"/>
      <c r="I870" s="185"/>
      <c r="J870" s="185"/>
      <c r="K870"/>
      <c r="L870"/>
      <c r="M870"/>
      <c r="N870"/>
      <c r="O870"/>
      <c r="P870"/>
    </row>
    <row r="871" spans="8:16" s="1" customFormat="1">
      <c r="H871" s="185"/>
      <c r="I871" s="185"/>
      <c r="J871" s="185"/>
      <c r="K871"/>
      <c r="L871"/>
      <c r="M871"/>
      <c r="N871"/>
      <c r="O871"/>
      <c r="P871"/>
    </row>
    <row r="872" spans="8:16" s="1" customFormat="1">
      <c r="H872" s="185"/>
      <c r="I872" s="185"/>
      <c r="J872" s="185"/>
      <c r="K872"/>
      <c r="L872"/>
      <c r="M872"/>
      <c r="N872"/>
      <c r="O872"/>
      <c r="P872"/>
    </row>
    <row r="873" spans="8:16" s="1" customFormat="1">
      <c r="H873" s="185"/>
      <c r="I873" s="185"/>
      <c r="J873" s="185"/>
      <c r="K873"/>
      <c r="L873"/>
      <c r="M873"/>
      <c r="N873"/>
      <c r="O873"/>
      <c r="P873"/>
    </row>
    <row r="874" spans="8:16" s="1" customFormat="1">
      <c r="H874" s="185"/>
      <c r="I874" s="185"/>
      <c r="J874" s="185"/>
      <c r="K874"/>
      <c r="L874"/>
      <c r="M874"/>
      <c r="N874"/>
      <c r="O874"/>
      <c r="P874"/>
    </row>
    <row r="875" spans="8:16" s="1" customFormat="1">
      <c r="H875" s="185"/>
      <c r="I875" s="185"/>
      <c r="J875" s="185"/>
      <c r="K875"/>
      <c r="L875"/>
      <c r="M875"/>
      <c r="N875"/>
      <c r="O875"/>
      <c r="P875"/>
    </row>
    <row r="876" spans="8:16" s="1" customFormat="1">
      <c r="H876" s="185"/>
      <c r="I876" s="185"/>
      <c r="J876" s="185"/>
      <c r="K876"/>
      <c r="L876"/>
      <c r="M876"/>
      <c r="N876"/>
      <c r="O876"/>
      <c r="P876"/>
    </row>
    <row r="877" spans="8:16" s="1" customFormat="1">
      <c r="H877" s="185"/>
      <c r="I877" s="185"/>
      <c r="J877" s="185"/>
      <c r="K877"/>
      <c r="L877"/>
      <c r="M877"/>
      <c r="N877"/>
      <c r="O877"/>
      <c r="P877"/>
    </row>
    <row r="878" spans="8:16" s="1" customFormat="1">
      <c r="H878" s="185"/>
      <c r="I878" s="185"/>
      <c r="J878" s="185"/>
      <c r="K878"/>
      <c r="L878"/>
      <c r="M878"/>
      <c r="N878"/>
      <c r="O878"/>
      <c r="P878"/>
    </row>
    <row r="879" spans="8:16" s="1" customFormat="1">
      <c r="H879" s="185"/>
      <c r="I879" s="185"/>
      <c r="J879" s="185"/>
      <c r="K879"/>
      <c r="L879"/>
      <c r="M879"/>
      <c r="N879"/>
      <c r="O879"/>
      <c r="P879"/>
    </row>
    <row r="880" spans="8:16" s="1" customFormat="1">
      <c r="H880" s="185"/>
      <c r="I880" s="185"/>
      <c r="J880" s="185"/>
      <c r="K880"/>
      <c r="L880"/>
      <c r="M880"/>
      <c r="N880"/>
      <c r="O880"/>
      <c r="P880"/>
    </row>
    <row r="881" spans="8:16" s="1" customFormat="1">
      <c r="H881" s="185"/>
      <c r="I881" s="185"/>
      <c r="J881" s="185"/>
      <c r="K881"/>
      <c r="L881"/>
      <c r="M881"/>
      <c r="N881"/>
      <c r="O881"/>
      <c r="P881"/>
    </row>
    <row r="882" spans="8:16" s="1" customFormat="1">
      <c r="H882" s="185"/>
      <c r="I882" s="185"/>
      <c r="J882" s="185"/>
      <c r="K882"/>
      <c r="L882"/>
      <c r="M882"/>
      <c r="N882"/>
      <c r="O882"/>
      <c r="P882"/>
    </row>
    <row r="883" spans="8:16" s="1" customFormat="1">
      <c r="H883" s="185"/>
      <c r="I883" s="185"/>
      <c r="J883" s="185"/>
      <c r="K883"/>
      <c r="L883"/>
      <c r="M883"/>
      <c r="N883"/>
      <c r="O883"/>
      <c r="P883"/>
    </row>
    <row r="884" spans="8:16" s="1" customFormat="1">
      <c r="H884" s="185"/>
      <c r="I884" s="185"/>
      <c r="J884" s="185"/>
      <c r="K884"/>
      <c r="L884"/>
      <c r="M884"/>
      <c r="N884"/>
      <c r="O884"/>
      <c r="P884"/>
    </row>
    <row r="885" spans="8:16" s="1" customFormat="1">
      <c r="H885" s="185"/>
      <c r="I885" s="185"/>
      <c r="J885" s="185"/>
      <c r="K885"/>
      <c r="L885"/>
      <c r="M885"/>
      <c r="N885"/>
      <c r="O885"/>
      <c r="P885"/>
    </row>
    <row r="886" spans="8:16" s="1" customFormat="1">
      <c r="H886" s="185"/>
      <c r="I886" s="185"/>
      <c r="J886" s="185"/>
      <c r="K886"/>
      <c r="L886"/>
      <c r="M886"/>
      <c r="N886"/>
      <c r="O886"/>
      <c r="P886"/>
    </row>
    <row r="887" spans="8:16" s="1" customFormat="1">
      <c r="H887" s="185"/>
      <c r="I887" s="185"/>
      <c r="J887" s="185"/>
      <c r="K887"/>
      <c r="L887"/>
      <c r="M887"/>
      <c r="N887"/>
      <c r="O887"/>
      <c r="P887"/>
    </row>
    <row r="888" spans="8:16" s="1" customFormat="1">
      <c r="H888" s="185"/>
      <c r="I888" s="185"/>
      <c r="J888" s="185"/>
      <c r="K888"/>
      <c r="L888"/>
      <c r="M888"/>
      <c r="N888"/>
      <c r="O888"/>
      <c r="P888"/>
    </row>
    <row r="889" spans="8:16" s="1" customFormat="1">
      <c r="H889" s="185"/>
      <c r="I889" s="185"/>
      <c r="J889" s="185"/>
      <c r="K889"/>
      <c r="L889"/>
      <c r="M889"/>
      <c r="N889"/>
      <c r="O889"/>
      <c r="P889"/>
    </row>
    <row r="890" spans="8:16" s="1" customFormat="1">
      <c r="H890" s="185"/>
      <c r="I890" s="185"/>
      <c r="J890" s="185"/>
      <c r="K890"/>
      <c r="L890"/>
      <c r="M890"/>
      <c r="N890"/>
      <c r="O890"/>
      <c r="P890"/>
    </row>
    <row r="891" spans="8:16" s="1" customFormat="1">
      <c r="H891" s="185"/>
      <c r="I891" s="185"/>
      <c r="J891" s="185"/>
      <c r="K891"/>
      <c r="L891"/>
      <c r="M891"/>
      <c r="N891"/>
      <c r="O891"/>
      <c r="P891"/>
    </row>
    <row r="892" spans="8:16" s="1" customFormat="1">
      <c r="H892" s="185"/>
      <c r="I892" s="185"/>
      <c r="J892" s="185"/>
      <c r="K892"/>
      <c r="L892"/>
      <c r="M892"/>
      <c r="N892"/>
      <c r="O892"/>
      <c r="P892"/>
    </row>
    <row r="893" spans="8:16" s="1" customFormat="1">
      <c r="H893" s="185"/>
      <c r="I893" s="185"/>
      <c r="J893" s="185"/>
      <c r="K893"/>
      <c r="L893"/>
      <c r="M893"/>
      <c r="N893"/>
      <c r="O893"/>
      <c r="P893"/>
    </row>
    <row r="894" spans="8:16" s="1" customFormat="1">
      <c r="H894" s="185"/>
      <c r="I894" s="185"/>
      <c r="J894" s="185"/>
      <c r="K894"/>
      <c r="L894"/>
      <c r="M894"/>
      <c r="N894"/>
      <c r="O894"/>
      <c r="P894"/>
    </row>
    <row r="895" spans="8:16" s="1" customFormat="1">
      <c r="H895" s="185"/>
      <c r="I895" s="185"/>
      <c r="J895" s="185"/>
      <c r="K895"/>
      <c r="L895"/>
      <c r="M895"/>
      <c r="N895"/>
      <c r="O895"/>
      <c r="P895"/>
    </row>
    <row r="896" spans="8:16" s="1" customFormat="1">
      <c r="H896" s="185"/>
      <c r="I896" s="185"/>
      <c r="J896" s="185"/>
      <c r="K896"/>
      <c r="L896"/>
      <c r="M896"/>
      <c r="N896"/>
      <c r="O896"/>
      <c r="P896"/>
    </row>
    <row r="897" spans="8:16" s="1" customFormat="1">
      <c r="H897" s="185"/>
      <c r="I897" s="185"/>
      <c r="J897" s="185"/>
      <c r="K897"/>
      <c r="L897"/>
      <c r="M897"/>
      <c r="N897"/>
      <c r="O897"/>
      <c r="P897"/>
    </row>
    <row r="898" spans="8:16" s="1" customFormat="1">
      <c r="H898" s="185"/>
      <c r="I898" s="185"/>
      <c r="J898" s="185"/>
      <c r="K898"/>
      <c r="L898"/>
      <c r="M898"/>
      <c r="N898"/>
      <c r="O898"/>
      <c r="P898"/>
    </row>
    <row r="899" spans="8:16" s="1" customFormat="1">
      <c r="H899" s="185"/>
      <c r="I899" s="185"/>
      <c r="J899" s="185"/>
      <c r="K899"/>
      <c r="L899"/>
      <c r="M899"/>
      <c r="N899"/>
      <c r="O899"/>
      <c r="P899"/>
    </row>
    <row r="900" spans="8:16" s="1" customFormat="1">
      <c r="H900" s="185"/>
      <c r="I900" s="185"/>
      <c r="J900" s="185"/>
      <c r="K900"/>
      <c r="L900"/>
      <c r="M900"/>
      <c r="N900"/>
      <c r="O900"/>
      <c r="P900"/>
    </row>
    <row r="901" spans="8:16" s="1" customFormat="1">
      <c r="H901" s="185"/>
      <c r="I901" s="185"/>
      <c r="J901" s="185"/>
      <c r="K901"/>
      <c r="L901"/>
      <c r="M901"/>
      <c r="N901"/>
      <c r="O901"/>
      <c r="P901"/>
    </row>
    <row r="902" spans="8:16" s="1" customFormat="1">
      <c r="H902" s="185"/>
      <c r="I902" s="185"/>
      <c r="J902" s="185"/>
      <c r="K902"/>
      <c r="L902"/>
      <c r="M902"/>
      <c r="N902"/>
      <c r="O902"/>
      <c r="P902"/>
    </row>
    <row r="903" spans="8:16" s="1" customFormat="1">
      <c r="H903" s="185"/>
      <c r="I903" s="185"/>
      <c r="J903" s="185"/>
      <c r="K903"/>
      <c r="L903"/>
      <c r="M903"/>
      <c r="N903"/>
      <c r="O903"/>
      <c r="P903"/>
    </row>
    <row r="904" spans="8:16" s="1" customFormat="1">
      <c r="H904" s="185"/>
      <c r="I904" s="185"/>
      <c r="J904" s="185"/>
      <c r="K904"/>
      <c r="L904"/>
      <c r="M904"/>
      <c r="N904"/>
      <c r="O904"/>
      <c r="P904"/>
    </row>
    <row r="905" spans="8:16" s="1" customFormat="1">
      <c r="H905" s="185"/>
      <c r="I905" s="185"/>
      <c r="J905" s="185"/>
      <c r="K905"/>
      <c r="L905"/>
      <c r="M905"/>
      <c r="N905"/>
      <c r="O905"/>
      <c r="P905"/>
    </row>
    <row r="906" spans="8:16" s="1" customFormat="1">
      <c r="H906" s="185"/>
      <c r="I906" s="185"/>
      <c r="J906" s="185"/>
      <c r="K906"/>
      <c r="L906"/>
      <c r="M906"/>
      <c r="N906"/>
      <c r="O906"/>
      <c r="P906"/>
    </row>
    <row r="907" spans="8:16" s="1" customFormat="1">
      <c r="H907" s="185"/>
      <c r="I907" s="185"/>
      <c r="J907" s="185"/>
      <c r="K907"/>
      <c r="L907"/>
      <c r="M907"/>
      <c r="N907"/>
      <c r="O907"/>
      <c r="P907"/>
    </row>
    <row r="908" spans="8:16" s="1" customFormat="1">
      <c r="H908" s="185"/>
      <c r="I908" s="185"/>
      <c r="J908" s="185"/>
      <c r="K908"/>
      <c r="L908"/>
      <c r="M908"/>
      <c r="N908"/>
      <c r="O908"/>
      <c r="P908"/>
    </row>
    <row r="909" spans="8:16" s="1" customFormat="1">
      <c r="H909" s="185"/>
      <c r="I909" s="185"/>
      <c r="J909" s="185"/>
      <c r="K909"/>
      <c r="L909"/>
      <c r="M909"/>
      <c r="N909"/>
      <c r="O909"/>
      <c r="P909"/>
    </row>
    <row r="910" spans="8:16" s="1" customFormat="1">
      <c r="H910" s="185"/>
      <c r="I910" s="185"/>
      <c r="J910" s="185"/>
      <c r="K910"/>
      <c r="L910"/>
      <c r="M910"/>
      <c r="N910"/>
      <c r="O910"/>
      <c r="P910"/>
    </row>
    <row r="911" spans="8:16" s="1" customFormat="1">
      <c r="H911" s="185"/>
      <c r="I911" s="185"/>
      <c r="J911" s="185"/>
      <c r="K911"/>
      <c r="L911"/>
      <c r="M911"/>
      <c r="N911"/>
      <c r="O911"/>
      <c r="P911"/>
    </row>
    <row r="912" spans="8:16" s="1" customFormat="1">
      <c r="H912" s="185"/>
      <c r="I912" s="185"/>
      <c r="J912" s="185"/>
      <c r="K912"/>
      <c r="L912"/>
      <c r="M912"/>
      <c r="N912"/>
      <c r="O912"/>
      <c r="P912"/>
    </row>
    <row r="913" spans="8:16" s="1" customFormat="1">
      <c r="H913" s="185"/>
      <c r="I913" s="185"/>
      <c r="J913" s="185"/>
      <c r="K913"/>
      <c r="L913"/>
      <c r="M913"/>
      <c r="N913"/>
      <c r="O913"/>
      <c r="P913"/>
    </row>
    <row r="914" spans="8:16" s="1" customFormat="1">
      <c r="H914" s="185"/>
      <c r="I914" s="185"/>
      <c r="J914" s="185"/>
      <c r="K914"/>
      <c r="L914"/>
      <c r="M914"/>
      <c r="N914"/>
      <c r="O914"/>
      <c r="P914"/>
    </row>
    <row r="915" spans="8:16" s="1" customFormat="1">
      <c r="H915" s="185"/>
      <c r="I915" s="185"/>
      <c r="J915" s="185"/>
      <c r="K915"/>
      <c r="L915"/>
      <c r="M915"/>
      <c r="N915"/>
      <c r="O915"/>
      <c r="P915"/>
    </row>
    <row r="916" spans="8:16" s="1" customFormat="1">
      <c r="H916" s="185"/>
      <c r="I916" s="185"/>
      <c r="J916" s="185"/>
      <c r="K916"/>
      <c r="L916"/>
      <c r="M916"/>
      <c r="N916"/>
      <c r="O916"/>
      <c r="P916"/>
    </row>
    <row r="917" spans="8:16" s="1" customFormat="1">
      <c r="H917" s="185"/>
      <c r="I917" s="185"/>
      <c r="J917" s="185"/>
      <c r="K917"/>
      <c r="L917"/>
      <c r="M917"/>
      <c r="N917"/>
      <c r="O917"/>
      <c r="P917"/>
    </row>
    <row r="918" spans="8:16" s="1" customFormat="1">
      <c r="H918" s="185"/>
      <c r="I918" s="185"/>
      <c r="J918" s="185"/>
      <c r="K918"/>
      <c r="L918"/>
      <c r="M918"/>
      <c r="N918"/>
      <c r="O918"/>
      <c r="P918"/>
    </row>
    <row r="919" spans="8:16" s="1" customFormat="1">
      <c r="H919" s="185"/>
      <c r="I919" s="185"/>
      <c r="J919" s="185"/>
      <c r="K919"/>
      <c r="L919"/>
      <c r="M919"/>
      <c r="N919"/>
      <c r="O919"/>
      <c r="P919"/>
    </row>
    <row r="920" spans="8:16" s="1" customFormat="1">
      <c r="H920" s="185"/>
      <c r="I920" s="185"/>
      <c r="J920" s="185"/>
      <c r="K920"/>
      <c r="L920"/>
      <c r="M920"/>
      <c r="N920"/>
      <c r="O920"/>
      <c r="P920"/>
    </row>
    <row r="921" spans="8:16" s="1" customFormat="1">
      <c r="H921" s="185"/>
      <c r="I921" s="185"/>
      <c r="J921" s="185"/>
      <c r="K921"/>
      <c r="L921"/>
      <c r="M921"/>
      <c r="N921"/>
      <c r="O921"/>
      <c r="P921"/>
    </row>
    <row r="922" spans="8:16" s="1" customFormat="1">
      <c r="H922" s="185"/>
      <c r="I922" s="185"/>
      <c r="J922" s="185"/>
      <c r="K922"/>
      <c r="L922"/>
      <c r="M922"/>
      <c r="N922"/>
      <c r="O922"/>
      <c r="P922"/>
    </row>
    <row r="923" spans="8:16" s="1" customFormat="1">
      <c r="H923" s="185"/>
      <c r="I923" s="185"/>
      <c r="J923" s="185"/>
      <c r="K923"/>
      <c r="L923"/>
      <c r="M923"/>
      <c r="N923"/>
      <c r="O923"/>
      <c r="P923"/>
    </row>
    <row r="924" spans="8:16" s="1" customFormat="1">
      <c r="H924" s="185"/>
      <c r="I924" s="185"/>
      <c r="J924" s="185"/>
      <c r="K924"/>
      <c r="L924"/>
      <c r="M924"/>
      <c r="N924"/>
      <c r="O924"/>
      <c r="P924"/>
    </row>
    <row r="925" spans="8:16" s="1" customFormat="1">
      <c r="H925" s="185"/>
      <c r="I925" s="185"/>
      <c r="J925" s="185"/>
      <c r="K925"/>
      <c r="L925"/>
      <c r="M925"/>
      <c r="N925"/>
      <c r="O925"/>
      <c r="P925"/>
    </row>
    <row r="926" spans="8:16" s="1" customFormat="1">
      <c r="H926" s="185"/>
      <c r="I926" s="185"/>
      <c r="J926" s="185"/>
      <c r="K926"/>
      <c r="L926"/>
      <c r="M926"/>
      <c r="N926"/>
      <c r="O926"/>
      <c r="P926"/>
    </row>
    <row r="927" spans="8:16" s="1" customFormat="1">
      <c r="H927" s="185"/>
      <c r="I927" s="185"/>
      <c r="J927" s="185"/>
      <c r="K927"/>
      <c r="L927"/>
      <c r="M927"/>
      <c r="N927"/>
      <c r="O927"/>
      <c r="P927"/>
    </row>
    <row r="928" spans="8:16" s="1" customFormat="1">
      <c r="H928" s="185"/>
      <c r="I928" s="185"/>
      <c r="J928" s="185"/>
      <c r="K928"/>
      <c r="L928"/>
      <c r="M928"/>
      <c r="N928"/>
      <c r="O928"/>
      <c r="P928"/>
    </row>
    <row r="929" spans="8:16" s="1" customFormat="1">
      <c r="H929" s="185"/>
      <c r="I929" s="185"/>
      <c r="J929" s="185"/>
      <c r="K929"/>
      <c r="L929"/>
      <c r="M929"/>
      <c r="N929"/>
      <c r="O929"/>
      <c r="P929"/>
    </row>
    <row r="930" spans="8:16" s="1" customFormat="1">
      <c r="H930" s="185"/>
      <c r="I930" s="185"/>
      <c r="J930" s="185"/>
      <c r="K930"/>
      <c r="L930"/>
      <c r="M930"/>
      <c r="N930"/>
      <c r="O930"/>
      <c r="P930"/>
    </row>
    <row r="931" spans="8:16" s="1" customFormat="1">
      <c r="H931" s="185"/>
      <c r="I931" s="185"/>
      <c r="J931" s="185"/>
      <c r="K931"/>
      <c r="L931"/>
      <c r="M931"/>
      <c r="N931"/>
      <c r="O931"/>
      <c r="P931"/>
    </row>
    <row r="932" spans="8:16" s="1" customFormat="1">
      <c r="H932" s="185"/>
      <c r="I932" s="185"/>
      <c r="J932" s="185"/>
      <c r="K932"/>
      <c r="L932"/>
      <c r="M932"/>
      <c r="N932"/>
      <c r="O932"/>
      <c r="P932"/>
    </row>
    <row r="933" spans="8:16" s="1" customFormat="1">
      <c r="H933" s="185"/>
      <c r="I933" s="185"/>
      <c r="J933" s="185"/>
      <c r="K933"/>
      <c r="L933"/>
      <c r="M933"/>
      <c r="N933"/>
      <c r="O933"/>
      <c r="P933"/>
    </row>
    <row r="934" spans="8:16" s="1" customFormat="1">
      <c r="H934" s="185"/>
      <c r="I934" s="185"/>
      <c r="J934" s="185"/>
      <c r="K934"/>
      <c r="L934"/>
      <c r="M934"/>
      <c r="N934"/>
      <c r="O934"/>
      <c r="P934"/>
    </row>
    <row r="935" spans="8:16" s="1" customFormat="1">
      <c r="H935" s="185"/>
      <c r="I935" s="185"/>
      <c r="J935" s="185"/>
      <c r="K935"/>
      <c r="L935"/>
      <c r="M935"/>
      <c r="N935"/>
      <c r="O935"/>
      <c r="P935"/>
    </row>
    <row r="936" spans="8:16" s="1" customFormat="1">
      <c r="H936" s="185"/>
      <c r="I936" s="185"/>
      <c r="J936" s="185"/>
      <c r="K936"/>
      <c r="L936"/>
      <c r="M936"/>
      <c r="N936"/>
      <c r="O936"/>
      <c r="P936"/>
    </row>
    <row r="937" spans="8:16" s="1" customFormat="1">
      <c r="H937" s="185"/>
      <c r="I937" s="185"/>
      <c r="J937" s="185"/>
      <c r="K937"/>
      <c r="L937"/>
      <c r="M937"/>
      <c r="N937"/>
      <c r="O937"/>
      <c r="P937"/>
    </row>
    <row r="938" spans="8:16" s="1" customFormat="1">
      <c r="H938" s="185"/>
      <c r="I938" s="185"/>
      <c r="J938" s="185"/>
      <c r="K938"/>
      <c r="L938"/>
      <c r="M938"/>
      <c r="N938"/>
      <c r="O938"/>
      <c r="P938"/>
    </row>
    <row r="939" spans="8:16" s="1" customFormat="1">
      <c r="H939" s="185"/>
      <c r="I939" s="185"/>
      <c r="J939" s="185"/>
      <c r="K939"/>
      <c r="L939"/>
      <c r="M939"/>
      <c r="N939"/>
      <c r="O939"/>
      <c r="P939"/>
    </row>
    <row r="940" spans="8:16" s="1" customFormat="1">
      <c r="H940" s="185"/>
      <c r="I940" s="185"/>
      <c r="J940" s="185"/>
      <c r="K940"/>
      <c r="L940"/>
      <c r="M940"/>
      <c r="N940"/>
      <c r="O940"/>
      <c r="P940"/>
    </row>
    <row r="941" spans="8:16" s="1" customFormat="1">
      <c r="H941" s="185"/>
      <c r="I941" s="185"/>
      <c r="J941" s="185"/>
      <c r="K941"/>
      <c r="L941"/>
      <c r="M941"/>
      <c r="N941"/>
      <c r="O941"/>
      <c r="P941"/>
    </row>
    <row r="942" spans="8:16" s="1" customFormat="1">
      <c r="H942" s="185"/>
      <c r="I942" s="185"/>
      <c r="J942" s="185"/>
      <c r="K942"/>
      <c r="L942"/>
      <c r="M942"/>
      <c r="N942"/>
      <c r="O942"/>
      <c r="P942"/>
    </row>
    <row r="943" spans="8:16" s="1" customFormat="1">
      <c r="H943" s="185"/>
      <c r="I943" s="185"/>
      <c r="J943" s="185"/>
      <c r="K943"/>
      <c r="L943"/>
      <c r="M943"/>
      <c r="N943"/>
      <c r="O943"/>
      <c r="P943"/>
    </row>
    <row r="944" spans="8:16" s="1" customFormat="1">
      <c r="H944" s="185"/>
      <c r="I944" s="185"/>
      <c r="J944" s="185"/>
      <c r="K944"/>
      <c r="L944"/>
      <c r="M944"/>
      <c r="N944"/>
      <c r="O944"/>
      <c r="P944"/>
    </row>
    <row r="945" spans="8:16" s="1" customFormat="1">
      <c r="H945" s="185"/>
      <c r="I945" s="185"/>
      <c r="J945" s="185"/>
      <c r="K945"/>
      <c r="L945"/>
      <c r="M945"/>
      <c r="N945"/>
      <c r="O945"/>
      <c r="P945"/>
    </row>
    <row r="946" spans="8:16" s="1" customFormat="1">
      <c r="H946" s="185"/>
      <c r="I946" s="185"/>
      <c r="J946" s="185"/>
      <c r="K946"/>
      <c r="L946"/>
      <c r="M946"/>
      <c r="N946"/>
      <c r="O946"/>
      <c r="P946"/>
    </row>
    <row r="947" spans="8:16" s="1" customFormat="1">
      <c r="H947" s="185"/>
      <c r="I947" s="185"/>
      <c r="J947" s="185"/>
      <c r="K947"/>
      <c r="L947"/>
      <c r="M947"/>
      <c r="N947"/>
      <c r="O947"/>
      <c r="P947"/>
    </row>
    <row r="948" spans="8:16" s="1" customFormat="1">
      <c r="H948" s="185"/>
      <c r="I948" s="185"/>
      <c r="J948" s="185"/>
      <c r="K948"/>
      <c r="L948"/>
      <c r="M948"/>
      <c r="N948"/>
      <c r="O948"/>
      <c r="P948"/>
    </row>
    <row r="949" spans="8:16" s="1" customFormat="1">
      <c r="H949" s="185"/>
      <c r="I949" s="185"/>
      <c r="J949" s="185"/>
      <c r="K949"/>
      <c r="L949"/>
      <c r="M949"/>
      <c r="N949"/>
      <c r="O949"/>
      <c r="P949"/>
    </row>
    <row r="950" spans="8:16" s="1" customFormat="1">
      <c r="H950" s="185"/>
      <c r="I950" s="185"/>
      <c r="J950" s="185"/>
      <c r="K950"/>
      <c r="L950"/>
      <c r="M950"/>
      <c r="N950"/>
      <c r="O950"/>
      <c r="P950"/>
    </row>
    <row r="951" spans="8:16" s="1" customFormat="1">
      <c r="H951" s="185"/>
      <c r="I951" s="185"/>
      <c r="J951" s="185"/>
      <c r="K951"/>
      <c r="L951"/>
      <c r="M951"/>
      <c r="N951"/>
      <c r="O951"/>
      <c r="P951"/>
    </row>
    <row r="952" spans="8:16" s="1" customFormat="1">
      <c r="H952" s="185"/>
      <c r="I952" s="185"/>
      <c r="J952" s="185"/>
      <c r="K952"/>
      <c r="L952"/>
      <c r="M952"/>
      <c r="N952"/>
      <c r="O952"/>
      <c r="P952"/>
    </row>
    <row r="953" spans="8:16" s="1" customFormat="1">
      <c r="H953" s="185"/>
      <c r="I953" s="185"/>
      <c r="J953" s="185"/>
      <c r="K953"/>
      <c r="L953"/>
      <c r="M953"/>
      <c r="N953"/>
      <c r="O953"/>
      <c r="P953"/>
    </row>
    <row r="954" spans="8:16" s="1" customFormat="1">
      <c r="H954" s="185"/>
      <c r="I954" s="185"/>
      <c r="J954" s="185"/>
      <c r="K954"/>
      <c r="L954"/>
      <c r="M954"/>
      <c r="N954"/>
      <c r="O954"/>
      <c r="P954"/>
    </row>
    <row r="955" spans="8:16" s="1" customFormat="1">
      <c r="H955" s="185"/>
      <c r="I955" s="185"/>
      <c r="J955" s="185"/>
      <c r="K955"/>
      <c r="L955"/>
      <c r="M955"/>
      <c r="N955"/>
      <c r="O955"/>
      <c r="P955"/>
    </row>
    <row r="956" spans="8:16" s="1" customFormat="1">
      <c r="H956" s="185"/>
      <c r="I956" s="185"/>
      <c r="J956" s="185"/>
      <c r="K956"/>
      <c r="L956"/>
      <c r="M956"/>
      <c r="N956"/>
      <c r="O956"/>
      <c r="P956"/>
    </row>
    <row r="957" spans="8:16" s="1" customFormat="1">
      <c r="H957" s="185"/>
      <c r="I957" s="185"/>
      <c r="J957" s="185"/>
      <c r="K957"/>
      <c r="L957"/>
      <c r="M957"/>
      <c r="N957"/>
      <c r="O957"/>
      <c r="P957"/>
    </row>
    <row r="958" spans="8:16" s="1" customFormat="1">
      <c r="H958" s="185"/>
      <c r="I958" s="185"/>
      <c r="J958" s="185"/>
      <c r="K958"/>
      <c r="L958"/>
      <c r="M958"/>
      <c r="N958"/>
      <c r="O958"/>
      <c r="P958"/>
    </row>
    <row r="959" spans="8:16" s="1" customFormat="1">
      <c r="H959" s="185"/>
      <c r="I959" s="185"/>
      <c r="J959" s="185"/>
      <c r="K959"/>
      <c r="L959"/>
      <c r="M959"/>
      <c r="N959"/>
      <c r="O959"/>
      <c r="P959"/>
    </row>
    <row r="960" spans="8:16" s="1" customFormat="1">
      <c r="H960" s="185"/>
      <c r="I960" s="185"/>
      <c r="J960" s="185"/>
      <c r="K960"/>
      <c r="L960"/>
      <c r="M960"/>
      <c r="N960"/>
      <c r="O960"/>
      <c r="P960"/>
    </row>
    <row r="961" spans="8:16" s="1" customFormat="1">
      <c r="H961" s="185"/>
      <c r="I961" s="185"/>
      <c r="J961" s="185"/>
      <c r="K961"/>
      <c r="L961"/>
      <c r="M961"/>
      <c r="N961"/>
      <c r="O961"/>
      <c r="P961"/>
    </row>
    <row r="962" spans="8:16" s="1" customFormat="1">
      <c r="H962" s="185"/>
      <c r="I962" s="185"/>
      <c r="J962" s="185"/>
      <c r="K962"/>
      <c r="L962"/>
      <c r="M962"/>
      <c r="N962"/>
      <c r="O962"/>
      <c r="P962"/>
    </row>
    <row r="963" spans="8:16" s="1" customFormat="1">
      <c r="H963" s="185"/>
      <c r="I963" s="185"/>
      <c r="J963" s="185"/>
      <c r="K963"/>
      <c r="L963"/>
      <c r="M963"/>
      <c r="N963"/>
      <c r="O963"/>
      <c r="P963"/>
    </row>
    <row r="964" spans="8:16" s="1" customFormat="1">
      <c r="H964" s="185"/>
      <c r="I964" s="185"/>
      <c r="J964" s="185"/>
      <c r="K964"/>
      <c r="L964"/>
      <c r="M964"/>
      <c r="N964"/>
      <c r="O964"/>
      <c r="P964"/>
    </row>
    <row r="965" spans="8:16" s="1" customFormat="1">
      <c r="H965" s="185"/>
      <c r="I965" s="185"/>
      <c r="J965" s="185"/>
      <c r="K965"/>
      <c r="L965"/>
      <c r="M965"/>
      <c r="N965"/>
      <c r="O965"/>
      <c r="P965"/>
    </row>
    <row r="966" spans="8:16" s="1" customFormat="1">
      <c r="H966" s="185"/>
      <c r="I966" s="185"/>
      <c r="J966" s="185"/>
      <c r="K966"/>
      <c r="L966"/>
      <c r="M966"/>
      <c r="N966"/>
      <c r="O966"/>
      <c r="P966"/>
    </row>
    <row r="967" spans="8:16" s="1" customFormat="1">
      <c r="H967" s="185"/>
      <c r="I967" s="185"/>
      <c r="J967" s="185"/>
      <c r="K967"/>
      <c r="L967"/>
      <c r="M967"/>
      <c r="N967"/>
      <c r="O967"/>
      <c r="P967"/>
    </row>
    <row r="968" spans="8:16" s="1" customFormat="1">
      <c r="H968" s="185"/>
      <c r="I968" s="185"/>
      <c r="J968" s="185"/>
      <c r="K968"/>
      <c r="L968"/>
      <c r="M968"/>
      <c r="N968"/>
      <c r="O968"/>
      <c r="P968"/>
    </row>
    <row r="969" spans="8:16" s="1" customFormat="1">
      <c r="H969" s="185"/>
      <c r="I969" s="185"/>
      <c r="J969" s="185"/>
      <c r="K969"/>
      <c r="L969"/>
      <c r="M969"/>
      <c r="N969"/>
      <c r="O969"/>
      <c r="P969"/>
    </row>
    <row r="970" spans="8:16" s="1" customFormat="1">
      <c r="H970" s="185"/>
      <c r="I970" s="185"/>
      <c r="J970" s="185"/>
      <c r="K970"/>
      <c r="L970"/>
      <c r="M970"/>
      <c r="N970"/>
      <c r="O970"/>
      <c r="P970"/>
    </row>
    <row r="971" spans="8:16" s="1" customFormat="1">
      <c r="H971" s="185"/>
      <c r="I971" s="185"/>
      <c r="J971" s="185"/>
      <c r="K971"/>
      <c r="L971"/>
      <c r="M971"/>
      <c r="N971"/>
      <c r="O971"/>
      <c r="P971"/>
    </row>
    <row r="972" spans="8:16" s="1" customFormat="1">
      <c r="H972" s="185"/>
      <c r="I972" s="185"/>
      <c r="J972" s="185"/>
      <c r="K972"/>
      <c r="L972"/>
      <c r="M972"/>
      <c r="N972"/>
      <c r="O972"/>
      <c r="P972"/>
    </row>
    <row r="973" spans="8:16" s="1" customFormat="1">
      <c r="H973" s="185"/>
      <c r="I973" s="185"/>
      <c r="J973" s="185"/>
      <c r="K973"/>
      <c r="L973"/>
      <c r="M973"/>
      <c r="N973"/>
      <c r="O973"/>
      <c r="P973"/>
    </row>
    <row r="974" spans="8:16" s="1" customFormat="1">
      <c r="H974" s="185"/>
      <c r="I974" s="185"/>
      <c r="J974" s="185"/>
      <c r="K974"/>
      <c r="L974"/>
      <c r="M974"/>
      <c r="N974"/>
      <c r="O974"/>
      <c r="P974"/>
    </row>
    <row r="975" spans="8:16" s="1" customFormat="1">
      <c r="H975" s="185"/>
      <c r="I975" s="185"/>
      <c r="J975" s="185"/>
      <c r="K975"/>
      <c r="L975"/>
      <c r="M975"/>
      <c r="N975"/>
      <c r="O975"/>
      <c r="P975"/>
    </row>
    <row r="976" spans="8:16" s="1" customFormat="1">
      <c r="H976" s="185"/>
      <c r="I976" s="185"/>
      <c r="J976" s="185"/>
      <c r="K976"/>
      <c r="L976"/>
      <c r="M976"/>
      <c r="N976"/>
      <c r="O976"/>
      <c r="P976"/>
    </row>
    <row r="977" spans="8:16" s="1" customFormat="1">
      <c r="H977" s="185"/>
      <c r="I977" s="185"/>
      <c r="J977" s="185"/>
      <c r="K977"/>
      <c r="L977"/>
      <c r="M977"/>
      <c r="N977"/>
      <c r="O977"/>
      <c r="P977"/>
    </row>
    <row r="978" spans="8:16" s="1" customFormat="1">
      <c r="H978" s="185"/>
      <c r="I978" s="185"/>
      <c r="J978" s="185"/>
      <c r="K978"/>
      <c r="L978"/>
      <c r="M978"/>
      <c r="N978"/>
      <c r="O978"/>
      <c r="P978"/>
    </row>
    <row r="979" spans="8:16" s="1" customFormat="1">
      <c r="H979" s="185"/>
      <c r="I979" s="185"/>
      <c r="J979" s="185"/>
      <c r="K979"/>
      <c r="L979"/>
      <c r="M979"/>
      <c r="N979"/>
      <c r="O979"/>
      <c r="P979"/>
    </row>
    <row r="980" spans="8:16" s="1" customFormat="1">
      <c r="H980" s="185"/>
      <c r="I980" s="185"/>
      <c r="J980" s="185"/>
      <c r="K980"/>
      <c r="L980"/>
      <c r="M980"/>
      <c r="N980"/>
      <c r="O980"/>
      <c r="P980"/>
    </row>
    <row r="981" spans="8:16" s="1" customFormat="1">
      <c r="H981" s="185"/>
      <c r="I981" s="185"/>
      <c r="J981" s="185"/>
      <c r="K981"/>
      <c r="L981"/>
      <c r="M981"/>
      <c r="N981"/>
      <c r="O981"/>
      <c r="P981"/>
    </row>
    <row r="982" spans="8:16" s="1" customFormat="1">
      <c r="H982" s="185"/>
      <c r="I982" s="185"/>
      <c r="J982" s="185"/>
      <c r="K982"/>
      <c r="L982"/>
      <c r="M982"/>
      <c r="N982"/>
      <c r="O982"/>
      <c r="P982"/>
    </row>
    <row r="983" spans="8:16" s="1" customFormat="1">
      <c r="H983" s="185"/>
      <c r="I983" s="185"/>
      <c r="J983" s="185"/>
      <c r="K983"/>
      <c r="L983"/>
      <c r="M983"/>
      <c r="N983"/>
      <c r="O983"/>
      <c r="P983"/>
    </row>
    <row r="984" spans="8:16" s="1" customFormat="1">
      <c r="H984" s="185"/>
      <c r="I984" s="185"/>
      <c r="J984" s="185"/>
      <c r="K984"/>
      <c r="L984"/>
      <c r="M984"/>
      <c r="N984"/>
      <c r="O984"/>
      <c r="P984"/>
    </row>
    <row r="985" spans="8:16" s="1" customFormat="1">
      <c r="H985" s="185"/>
      <c r="I985" s="185"/>
      <c r="J985" s="185"/>
      <c r="K985"/>
      <c r="L985"/>
      <c r="M985"/>
      <c r="N985"/>
      <c r="O985"/>
      <c r="P985"/>
    </row>
    <row r="986" spans="8:16" s="1" customFormat="1">
      <c r="H986" s="185"/>
      <c r="I986" s="185"/>
      <c r="J986" s="185"/>
      <c r="K986"/>
      <c r="L986"/>
      <c r="M986"/>
      <c r="N986"/>
      <c r="O986"/>
      <c r="P986"/>
    </row>
    <row r="987" spans="8:16" s="1" customFormat="1">
      <c r="H987" s="185"/>
      <c r="I987" s="185"/>
      <c r="J987" s="185"/>
      <c r="K987"/>
      <c r="L987"/>
      <c r="M987"/>
      <c r="N987"/>
      <c r="O987"/>
      <c r="P987"/>
    </row>
    <row r="988" spans="8:16" s="1" customFormat="1">
      <c r="H988" s="185"/>
      <c r="I988" s="185"/>
      <c r="J988" s="185"/>
      <c r="K988"/>
      <c r="L988"/>
      <c r="M988"/>
      <c r="N988"/>
      <c r="O988"/>
      <c r="P988"/>
    </row>
    <row r="989" spans="8:16" s="1" customFormat="1">
      <c r="H989" s="185"/>
      <c r="I989" s="185"/>
      <c r="J989" s="185"/>
      <c r="K989"/>
      <c r="L989"/>
      <c r="M989"/>
      <c r="N989"/>
      <c r="O989"/>
      <c r="P989"/>
    </row>
    <row r="990" spans="8:16" s="1" customFormat="1">
      <c r="H990" s="185"/>
      <c r="I990" s="185"/>
      <c r="J990" s="185"/>
      <c r="K990"/>
      <c r="L990"/>
      <c r="M990"/>
      <c r="N990"/>
      <c r="O990"/>
      <c r="P990"/>
    </row>
    <row r="991" spans="8:16" s="1" customFormat="1">
      <c r="H991" s="185"/>
      <c r="I991" s="185"/>
      <c r="J991" s="185"/>
      <c r="K991"/>
      <c r="L991"/>
      <c r="M991"/>
      <c r="N991"/>
      <c r="O991"/>
      <c r="P991"/>
    </row>
    <row r="992" spans="8:16" s="1" customFormat="1">
      <c r="H992" s="185"/>
      <c r="I992" s="185"/>
      <c r="J992" s="185"/>
      <c r="K992"/>
      <c r="L992"/>
      <c r="M992"/>
      <c r="N992"/>
      <c r="O992"/>
      <c r="P992"/>
    </row>
    <row r="993" spans="8:16" s="1" customFormat="1">
      <c r="H993" s="185"/>
      <c r="I993" s="185"/>
      <c r="J993" s="185"/>
      <c r="K993"/>
      <c r="L993"/>
      <c r="M993"/>
      <c r="N993"/>
      <c r="O993"/>
      <c r="P993"/>
    </row>
    <row r="994" spans="8:16" s="1" customFormat="1">
      <c r="H994" s="185"/>
      <c r="I994" s="185"/>
      <c r="J994" s="185"/>
      <c r="K994"/>
      <c r="L994"/>
      <c r="M994"/>
      <c r="N994"/>
      <c r="O994"/>
      <c r="P994"/>
    </row>
    <row r="995" spans="8:16" s="1" customFormat="1">
      <c r="H995" s="185"/>
      <c r="I995" s="185"/>
      <c r="J995" s="185"/>
      <c r="K995"/>
      <c r="L995"/>
      <c r="M995"/>
      <c r="N995"/>
      <c r="O995"/>
      <c r="P995"/>
    </row>
    <row r="996" spans="8:16" s="1" customFormat="1">
      <c r="H996" s="185"/>
      <c r="I996" s="185"/>
      <c r="J996" s="185"/>
      <c r="K996"/>
      <c r="L996"/>
      <c r="M996"/>
      <c r="N996"/>
      <c r="O996"/>
      <c r="P996"/>
    </row>
    <row r="997" spans="8:16" s="1" customFormat="1">
      <c r="H997" s="185"/>
      <c r="I997" s="185"/>
      <c r="J997" s="185"/>
      <c r="K997"/>
      <c r="L997"/>
      <c r="M997"/>
      <c r="N997"/>
      <c r="O997"/>
      <c r="P997"/>
    </row>
    <row r="998" spans="8:16" s="1" customFormat="1">
      <c r="H998" s="185"/>
      <c r="I998" s="185"/>
      <c r="J998" s="185"/>
      <c r="K998"/>
      <c r="L998"/>
      <c r="M998"/>
      <c r="N998"/>
      <c r="O998"/>
      <c r="P998"/>
    </row>
    <row r="999" spans="8:16" s="1" customFormat="1">
      <c r="H999" s="185"/>
      <c r="I999" s="185"/>
      <c r="J999" s="185"/>
      <c r="K999"/>
      <c r="L999"/>
      <c r="M999"/>
      <c r="N999"/>
      <c r="O999"/>
      <c r="P999"/>
    </row>
    <row r="1000" spans="8:16" s="1" customFormat="1">
      <c r="H1000" s="185"/>
      <c r="I1000" s="185"/>
      <c r="J1000" s="185"/>
      <c r="K1000"/>
      <c r="L1000"/>
      <c r="M1000"/>
      <c r="N1000"/>
      <c r="O1000"/>
      <c r="P1000"/>
    </row>
    <row r="1001" spans="8:16" s="1" customFormat="1">
      <c r="H1001" s="185"/>
      <c r="I1001" s="185"/>
      <c r="J1001" s="185"/>
      <c r="K1001"/>
      <c r="L1001"/>
      <c r="M1001"/>
      <c r="N1001"/>
      <c r="O1001"/>
      <c r="P1001"/>
    </row>
    <row r="1002" spans="8:16" s="1" customFormat="1">
      <c r="H1002" s="185"/>
      <c r="I1002" s="185"/>
      <c r="J1002" s="185"/>
      <c r="K1002"/>
      <c r="L1002"/>
      <c r="M1002"/>
      <c r="N1002"/>
      <c r="O1002"/>
      <c r="P1002"/>
    </row>
    <row r="1003" spans="8:16" s="1" customFormat="1">
      <c r="H1003" s="185"/>
      <c r="I1003" s="185"/>
      <c r="J1003" s="185"/>
      <c r="K1003"/>
      <c r="L1003"/>
      <c r="M1003"/>
      <c r="N1003"/>
      <c r="O1003"/>
      <c r="P1003"/>
    </row>
    <row r="1004" spans="8:16" s="1" customFormat="1">
      <c r="H1004" s="185"/>
      <c r="I1004" s="185"/>
      <c r="J1004" s="185"/>
      <c r="K1004"/>
      <c r="L1004"/>
      <c r="M1004"/>
      <c r="N1004"/>
      <c r="O1004"/>
      <c r="P1004"/>
    </row>
    <row r="1005" spans="8:16" s="1" customFormat="1">
      <c r="H1005" s="185"/>
      <c r="I1005" s="185"/>
      <c r="J1005" s="185"/>
      <c r="K1005"/>
      <c r="L1005"/>
      <c r="M1005"/>
      <c r="N1005"/>
      <c r="O1005"/>
      <c r="P1005"/>
    </row>
    <row r="1006" spans="8:16" s="1" customFormat="1">
      <c r="H1006" s="185"/>
      <c r="I1006" s="185"/>
      <c r="J1006" s="185"/>
      <c r="K1006"/>
      <c r="L1006"/>
      <c r="M1006"/>
      <c r="N1006"/>
      <c r="O1006"/>
      <c r="P1006"/>
    </row>
    <row r="1007" spans="8:16" s="1" customFormat="1">
      <c r="H1007" s="185"/>
      <c r="I1007" s="185"/>
      <c r="J1007" s="185"/>
      <c r="K1007"/>
      <c r="L1007"/>
      <c r="M1007"/>
      <c r="N1007"/>
      <c r="O1007"/>
      <c r="P1007"/>
    </row>
    <row r="1008" spans="8:16" s="1" customFormat="1">
      <c r="H1008" s="185"/>
      <c r="I1008" s="185"/>
      <c r="J1008" s="185"/>
      <c r="K1008"/>
      <c r="L1008"/>
      <c r="M1008"/>
      <c r="N1008"/>
      <c r="O1008"/>
      <c r="P1008"/>
    </row>
    <row r="1009" spans="8:16" s="1" customFormat="1">
      <c r="H1009" s="185"/>
      <c r="I1009" s="185"/>
      <c r="J1009" s="185"/>
      <c r="K1009"/>
      <c r="L1009"/>
      <c r="M1009"/>
      <c r="N1009"/>
      <c r="O1009"/>
      <c r="P1009"/>
    </row>
    <row r="1010" spans="8:16" s="1" customFormat="1">
      <c r="H1010" s="185"/>
      <c r="I1010" s="185"/>
      <c r="J1010" s="185"/>
      <c r="K1010"/>
      <c r="L1010"/>
      <c r="M1010"/>
      <c r="N1010"/>
      <c r="O1010"/>
      <c r="P1010"/>
    </row>
    <row r="1011" spans="8:16" s="1" customFormat="1">
      <c r="H1011" s="185"/>
      <c r="I1011" s="185"/>
      <c r="J1011" s="185"/>
      <c r="K1011"/>
      <c r="L1011"/>
      <c r="M1011"/>
      <c r="N1011"/>
      <c r="O1011"/>
      <c r="P1011"/>
    </row>
    <row r="1012" spans="8:16" s="1" customFormat="1">
      <c r="H1012" s="185"/>
      <c r="I1012" s="185"/>
      <c r="J1012" s="185"/>
      <c r="K1012"/>
      <c r="L1012"/>
      <c r="M1012"/>
      <c r="N1012"/>
      <c r="O1012"/>
      <c r="P1012"/>
    </row>
    <row r="1013" spans="8:16" s="1" customFormat="1">
      <c r="H1013" s="185"/>
      <c r="I1013" s="185"/>
      <c r="J1013" s="185"/>
      <c r="K1013"/>
      <c r="L1013"/>
      <c r="M1013"/>
      <c r="N1013"/>
      <c r="O1013"/>
      <c r="P1013"/>
    </row>
    <row r="1014" spans="8:16" s="1" customFormat="1">
      <c r="H1014" s="185"/>
      <c r="I1014" s="185"/>
      <c r="J1014" s="185"/>
      <c r="K1014"/>
      <c r="L1014"/>
      <c r="M1014"/>
      <c r="N1014"/>
      <c r="O1014"/>
      <c r="P1014"/>
    </row>
    <row r="1015" spans="8:16" s="1" customFormat="1">
      <c r="H1015" s="185"/>
      <c r="I1015" s="185"/>
      <c r="J1015" s="185"/>
      <c r="K1015"/>
      <c r="L1015"/>
      <c r="M1015"/>
      <c r="N1015"/>
      <c r="O1015"/>
      <c r="P1015"/>
    </row>
    <row r="1016" spans="8:16" s="1" customFormat="1">
      <c r="H1016" s="185"/>
      <c r="I1016" s="185"/>
      <c r="J1016" s="185"/>
      <c r="K1016"/>
      <c r="L1016"/>
      <c r="M1016"/>
      <c r="N1016"/>
      <c r="O1016"/>
      <c r="P1016"/>
    </row>
    <row r="1017" spans="8:16" s="1" customFormat="1">
      <c r="H1017" s="185"/>
      <c r="I1017" s="185"/>
      <c r="J1017" s="185"/>
      <c r="K1017"/>
      <c r="L1017"/>
      <c r="M1017"/>
      <c r="N1017"/>
      <c r="O1017"/>
      <c r="P1017"/>
    </row>
    <row r="1018" spans="8:16" s="1" customFormat="1">
      <c r="H1018" s="185"/>
      <c r="I1018" s="185"/>
      <c r="J1018" s="185"/>
      <c r="K1018"/>
      <c r="L1018"/>
      <c r="M1018"/>
      <c r="N1018"/>
      <c r="O1018"/>
      <c r="P1018"/>
    </row>
    <row r="1019" spans="8:16" s="1" customFormat="1">
      <c r="H1019" s="185"/>
      <c r="I1019" s="185"/>
      <c r="J1019" s="185"/>
      <c r="K1019"/>
      <c r="L1019"/>
      <c r="M1019"/>
      <c r="N1019"/>
      <c r="O1019"/>
      <c r="P1019"/>
    </row>
    <row r="1020" spans="8:16" s="1" customFormat="1">
      <c r="H1020" s="185"/>
      <c r="I1020" s="185"/>
      <c r="J1020" s="185"/>
      <c r="K1020"/>
      <c r="L1020"/>
      <c r="M1020"/>
      <c r="N1020"/>
      <c r="O1020"/>
      <c r="P1020"/>
    </row>
    <row r="1021" spans="8:16" s="1" customFormat="1">
      <c r="H1021" s="185"/>
      <c r="I1021" s="185"/>
      <c r="J1021" s="185"/>
      <c r="K1021"/>
      <c r="L1021"/>
      <c r="M1021"/>
      <c r="N1021"/>
      <c r="O1021"/>
      <c r="P1021"/>
    </row>
    <row r="1022" spans="8:16" s="1" customFormat="1">
      <c r="H1022" s="185"/>
      <c r="I1022" s="185"/>
      <c r="J1022" s="185"/>
      <c r="K1022"/>
      <c r="L1022"/>
      <c r="M1022"/>
      <c r="N1022"/>
      <c r="O1022"/>
      <c r="P1022"/>
    </row>
    <row r="1023" spans="8:16" s="1" customFormat="1">
      <c r="H1023" s="185"/>
      <c r="I1023" s="185"/>
      <c r="J1023" s="185"/>
      <c r="K1023"/>
      <c r="L1023"/>
      <c r="M1023"/>
      <c r="N1023"/>
      <c r="O1023"/>
      <c r="P1023"/>
    </row>
    <row r="1024" spans="8:16" s="1" customFormat="1">
      <c r="H1024" s="185"/>
      <c r="I1024" s="185"/>
      <c r="J1024" s="185"/>
      <c r="K1024"/>
      <c r="L1024"/>
      <c r="M1024"/>
      <c r="N1024"/>
      <c r="O1024"/>
      <c r="P1024"/>
    </row>
    <row r="1025" spans="8:16" s="1" customFormat="1">
      <c r="H1025" s="185"/>
      <c r="I1025" s="185"/>
      <c r="J1025" s="185"/>
      <c r="K1025"/>
      <c r="L1025"/>
      <c r="M1025"/>
      <c r="N1025"/>
      <c r="O1025"/>
      <c r="P1025"/>
    </row>
    <row r="1026" spans="8:16" s="1" customFormat="1">
      <c r="H1026" s="185"/>
      <c r="I1026" s="185"/>
      <c r="J1026" s="185"/>
      <c r="K1026"/>
      <c r="L1026"/>
      <c r="M1026"/>
      <c r="N1026"/>
      <c r="O1026"/>
      <c r="P1026"/>
    </row>
    <row r="1027" spans="8:16" s="1" customFormat="1">
      <c r="H1027" s="185"/>
      <c r="I1027" s="185"/>
      <c r="J1027" s="185"/>
      <c r="K1027"/>
      <c r="L1027"/>
      <c r="M1027"/>
      <c r="N1027"/>
      <c r="O1027"/>
      <c r="P1027"/>
    </row>
    <row r="1028" spans="8:16" s="1" customFormat="1">
      <c r="H1028" s="185"/>
      <c r="I1028" s="185"/>
      <c r="J1028" s="185"/>
      <c r="K1028"/>
      <c r="L1028"/>
      <c r="M1028"/>
      <c r="N1028"/>
      <c r="O1028"/>
      <c r="P1028"/>
    </row>
    <row r="1029" spans="8:16" s="1" customFormat="1">
      <c r="H1029" s="185"/>
      <c r="I1029" s="185"/>
      <c r="J1029" s="185"/>
      <c r="K1029"/>
      <c r="L1029"/>
      <c r="M1029"/>
      <c r="N1029"/>
      <c r="O1029"/>
      <c r="P1029"/>
    </row>
    <row r="1030" spans="8:16" s="1" customFormat="1">
      <c r="H1030" s="185"/>
      <c r="I1030" s="185"/>
      <c r="J1030" s="185"/>
      <c r="K1030"/>
      <c r="L1030"/>
      <c r="M1030"/>
      <c r="N1030"/>
      <c r="O1030"/>
      <c r="P1030"/>
    </row>
    <row r="1031" spans="8:16" s="1" customFormat="1">
      <c r="H1031" s="185"/>
      <c r="I1031" s="185"/>
      <c r="J1031" s="185"/>
      <c r="K1031"/>
      <c r="L1031"/>
      <c r="M1031"/>
      <c r="N1031"/>
      <c r="O1031"/>
      <c r="P1031"/>
    </row>
    <row r="1032" spans="8:16" s="1" customFormat="1">
      <c r="H1032" s="185"/>
      <c r="I1032" s="185"/>
      <c r="J1032" s="185"/>
      <c r="K1032"/>
      <c r="L1032"/>
      <c r="M1032"/>
      <c r="N1032"/>
      <c r="O1032"/>
      <c r="P1032"/>
    </row>
    <row r="1033" spans="8:16" s="1" customFormat="1">
      <c r="H1033" s="185"/>
      <c r="I1033" s="185"/>
      <c r="J1033" s="185"/>
      <c r="K1033"/>
      <c r="L1033"/>
      <c r="M1033"/>
      <c r="N1033"/>
      <c r="O1033"/>
      <c r="P1033"/>
    </row>
    <row r="1034" spans="8:16" s="1" customFormat="1">
      <c r="H1034" s="185"/>
      <c r="I1034" s="185"/>
      <c r="J1034" s="185"/>
      <c r="K1034"/>
      <c r="L1034"/>
      <c r="M1034"/>
      <c r="N1034"/>
      <c r="O1034"/>
      <c r="P1034"/>
    </row>
    <row r="1035" spans="8:16" s="1" customFormat="1">
      <c r="H1035" s="185"/>
      <c r="I1035" s="185"/>
      <c r="J1035" s="185"/>
      <c r="K1035"/>
      <c r="L1035"/>
      <c r="M1035"/>
      <c r="N1035"/>
      <c r="O1035"/>
      <c r="P1035"/>
    </row>
    <row r="1036" spans="8:16" s="1" customFormat="1">
      <c r="H1036" s="185"/>
      <c r="I1036" s="185"/>
      <c r="J1036" s="185"/>
      <c r="K1036"/>
      <c r="L1036"/>
      <c r="M1036"/>
      <c r="N1036"/>
      <c r="O1036"/>
      <c r="P1036"/>
    </row>
    <row r="1037" spans="8:16" s="1" customFormat="1">
      <c r="H1037" s="185"/>
      <c r="I1037" s="185"/>
      <c r="J1037" s="185"/>
      <c r="K1037"/>
      <c r="L1037"/>
      <c r="M1037"/>
      <c r="N1037"/>
      <c r="O1037"/>
      <c r="P1037"/>
    </row>
    <row r="1038" spans="8:16" s="1" customFormat="1">
      <c r="H1038" s="185"/>
      <c r="I1038" s="185"/>
      <c r="J1038" s="185"/>
      <c r="K1038"/>
      <c r="L1038"/>
      <c r="M1038"/>
      <c r="N1038"/>
      <c r="O1038"/>
      <c r="P1038"/>
    </row>
    <row r="1039" spans="8:16" s="1" customFormat="1">
      <c r="H1039" s="185"/>
      <c r="I1039" s="185"/>
      <c r="J1039" s="185"/>
      <c r="K1039"/>
      <c r="L1039"/>
      <c r="M1039"/>
      <c r="N1039"/>
      <c r="O1039"/>
      <c r="P1039"/>
    </row>
    <row r="1040" spans="8:16" s="1" customFormat="1">
      <c r="H1040" s="185"/>
      <c r="I1040" s="185"/>
      <c r="J1040" s="185"/>
      <c r="K1040"/>
      <c r="L1040"/>
      <c r="M1040"/>
      <c r="N1040"/>
      <c r="O1040"/>
      <c r="P1040"/>
    </row>
    <row r="1041" spans="8:16" s="1" customFormat="1">
      <c r="H1041" s="185"/>
      <c r="I1041" s="185"/>
      <c r="J1041" s="185"/>
      <c r="K1041"/>
      <c r="L1041"/>
      <c r="M1041"/>
      <c r="N1041"/>
      <c r="O1041"/>
      <c r="P1041"/>
    </row>
    <row r="1042" spans="8:16" s="1" customFormat="1">
      <c r="H1042" s="185"/>
      <c r="I1042" s="185"/>
      <c r="J1042" s="185"/>
      <c r="K1042"/>
      <c r="L1042"/>
      <c r="M1042"/>
      <c r="N1042"/>
      <c r="O1042"/>
      <c r="P1042"/>
    </row>
    <row r="1043" spans="8:16" s="1" customFormat="1">
      <c r="H1043" s="185"/>
      <c r="I1043" s="185"/>
      <c r="J1043" s="185"/>
      <c r="K1043"/>
      <c r="L1043"/>
      <c r="M1043"/>
      <c r="N1043"/>
      <c r="O1043"/>
      <c r="P1043"/>
    </row>
    <row r="1044" spans="8:16" s="1" customFormat="1">
      <c r="H1044" s="185"/>
      <c r="I1044" s="185"/>
      <c r="J1044" s="185"/>
      <c r="K1044"/>
      <c r="L1044"/>
      <c r="M1044"/>
      <c r="N1044"/>
      <c r="O1044"/>
      <c r="P1044"/>
    </row>
    <row r="1045" spans="8:16" s="1" customFormat="1">
      <c r="H1045" s="185"/>
      <c r="I1045" s="185"/>
      <c r="J1045" s="185"/>
      <c r="K1045"/>
      <c r="L1045"/>
      <c r="M1045"/>
      <c r="N1045"/>
      <c r="O1045"/>
      <c r="P1045"/>
    </row>
    <row r="1046" spans="8:16" s="1" customFormat="1">
      <c r="H1046" s="185"/>
      <c r="I1046" s="185"/>
      <c r="J1046" s="185"/>
      <c r="K1046"/>
      <c r="L1046"/>
      <c r="M1046"/>
      <c r="N1046"/>
      <c r="O1046"/>
      <c r="P1046"/>
    </row>
    <row r="1047" spans="8:16" s="1" customFormat="1">
      <c r="H1047" s="185"/>
      <c r="I1047" s="185"/>
      <c r="J1047" s="185"/>
      <c r="K1047"/>
      <c r="L1047"/>
      <c r="M1047"/>
      <c r="N1047"/>
      <c r="O1047"/>
      <c r="P1047"/>
    </row>
    <row r="1048" spans="8:16" s="1" customFormat="1">
      <c r="H1048" s="185"/>
      <c r="I1048" s="185"/>
      <c r="J1048" s="185"/>
      <c r="K1048"/>
      <c r="L1048"/>
      <c r="M1048"/>
      <c r="N1048"/>
      <c r="O1048"/>
      <c r="P1048"/>
    </row>
    <row r="1049" spans="8:16" s="1" customFormat="1">
      <c r="H1049" s="185"/>
      <c r="I1049" s="185"/>
      <c r="J1049" s="185"/>
      <c r="K1049"/>
      <c r="L1049"/>
      <c r="M1049"/>
      <c r="N1049"/>
      <c r="O1049"/>
      <c r="P1049"/>
    </row>
    <row r="1050" spans="8:16" s="1" customFormat="1">
      <c r="H1050" s="185"/>
      <c r="I1050" s="185"/>
      <c r="J1050" s="185"/>
      <c r="K1050"/>
      <c r="L1050"/>
      <c r="M1050"/>
      <c r="N1050"/>
      <c r="O1050"/>
      <c r="P1050"/>
    </row>
    <row r="1051" spans="8:16" s="1" customFormat="1">
      <c r="H1051" s="185"/>
      <c r="I1051" s="185"/>
      <c r="J1051" s="185"/>
      <c r="K1051"/>
      <c r="L1051"/>
      <c r="M1051"/>
      <c r="N1051"/>
      <c r="O1051"/>
      <c r="P1051"/>
    </row>
    <row r="1052" spans="8:16" s="1" customFormat="1">
      <c r="H1052" s="185"/>
      <c r="I1052" s="185"/>
      <c r="J1052" s="185"/>
      <c r="K1052"/>
      <c r="L1052"/>
      <c r="M1052"/>
      <c r="N1052"/>
      <c r="O1052"/>
      <c r="P1052"/>
    </row>
    <row r="1053" spans="8:16" s="1" customFormat="1">
      <c r="H1053" s="185"/>
      <c r="I1053" s="185"/>
      <c r="J1053" s="185"/>
      <c r="K1053"/>
      <c r="L1053"/>
      <c r="M1053"/>
      <c r="N1053"/>
      <c r="O1053"/>
      <c r="P1053"/>
    </row>
    <row r="1054" spans="8:16" s="1" customFormat="1">
      <c r="H1054" s="185"/>
      <c r="I1054" s="185"/>
      <c r="J1054" s="185"/>
      <c r="K1054"/>
      <c r="L1054"/>
      <c r="M1054"/>
      <c r="N1054"/>
      <c r="O1054"/>
      <c r="P1054"/>
    </row>
    <row r="1055" spans="8:16" s="1" customFormat="1">
      <c r="H1055" s="185"/>
      <c r="I1055" s="185"/>
      <c r="J1055" s="185"/>
      <c r="K1055"/>
      <c r="L1055"/>
      <c r="M1055"/>
      <c r="N1055"/>
      <c r="O1055"/>
      <c r="P1055"/>
    </row>
    <row r="1056" spans="8:16" s="1" customFormat="1">
      <c r="H1056" s="185"/>
      <c r="I1056" s="185"/>
      <c r="J1056" s="185"/>
      <c r="K1056"/>
      <c r="L1056"/>
      <c r="M1056"/>
      <c r="N1056"/>
      <c r="O1056"/>
      <c r="P1056"/>
    </row>
    <row r="1057" spans="8:16" s="1" customFormat="1">
      <c r="H1057" s="185"/>
      <c r="I1057" s="185"/>
      <c r="J1057" s="185"/>
      <c r="K1057"/>
      <c r="L1057"/>
      <c r="M1057"/>
      <c r="N1057"/>
      <c r="O1057"/>
      <c r="P1057"/>
    </row>
    <row r="1058" spans="8:16" s="1" customFormat="1">
      <c r="H1058" s="185"/>
      <c r="I1058" s="185"/>
      <c r="J1058" s="185"/>
      <c r="K1058"/>
      <c r="L1058"/>
      <c r="M1058"/>
      <c r="N1058"/>
      <c r="O1058"/>
      <c r="P1058"/>
    </row>
    <row r="1059" spans="8:16" s="1" customFormat="1">
      <c r="H1059" s="185"/>
      <c r="I1059" s="185"/>
      <c r="J1059" s="185"/>
      <c r="K1059"/>
      <c r="L1059"/>
      <c r="M1059"/>
      <c r="N1059"/>
      <c r="O1059"/>
      <c r="P1059"/>
    </row>
    <row r="1060" spans="8:16" s="1" customFormat="1">
      <c r="H1060" s="185"/>
      <c r="I1060" s="185"/>
      <c r="J1060" s="185"/>
      <c r="K1060"/>
      <c r="L1060"/>
      <c r="M1060"/>
      <c r="N1060"/>
      <c r="O1060"/>
      <c r="P1060"/>
    </row>
    <row r="1061" spans="8:16" s="1" customFormat="1">
      <c r="H1061" s="185"/>
      <c r="I1061" s="185"/>
      <c r="J1061" s="185"/>
      <c r="K1061"/>
      <c r="L1061"/>
      <c r="M1061"/>
      <c r="N1061"/>
      <c r="O1061"/>
      <c r="P1061"/>
    </row>
    <row r="1062" spans="8:16" s="1" customFormat="1">
      <c r="H1062" s="185"/>
      <c r="I1062" s="185"/>
      <c r="J1062" s="185"/>
      <c r="K1062"/>
      <c r="L1062"/>
      <c r="M1062"/>
      <c r="N1062"/>
      <c r="O1062"/>
      <c r="P1062"/>
    </row>
    <row r="1063" spans="8:16" s="1" customFormat="1">
      <c r="H1063" s="185"/>
      <c r="I1063" s="185"/>
      <c r="J1063" s="185"/>
      <c r="K1063"/>
      <c r="L1063"/>
      <c r="M1063"/>
      <c r="N1063"/>
      <c r="O1063"/>
      <c r="P1063"/>
    </row>
    <row r="1064" spans="8:16" s="1" customFormat="1">
      <c r="H1064" s="185"/>
      <c r="I1064" s="185"/>
      <c r="J1064" s="185"/>
      <c r="K1064"/>
      <c r="L1064"/>
      <c r="M1064"/>
      <c r="N1064"/>
      <c r="O1064"/>
      <c r="P1064"/>
    </row>
    <row r="1065" spans="8:16" s="1" customFormat="1">
      <c r="H1065" s="185"/>
      <c r="I1065" s="185"/>
      <c r="J1065" s="185"/>
      <c r="K1065"/>
      <c r="L1065"/>
      <c r="M1065"/>
      <c r="N1065"/>
      <c r="O1065"/>
      <c r="P1065"/>
    </row>
    <row r="1066" spans="8:16" s="1" customFormat="1">
      <c r="H1066" s="185"/>
      <c r="I1066" s="185"/>
      <c r="J1066" s="185"/>
      <c r="K1066"/>
      <c r="L1066"/>
      <c r="M1066"/>
      <c r="N1066"/>
      <c r="O1066"/>
      <c r="P1066"/>
    </row>
    <row r="1067" spans="8:16" s="1" customFormat="1">
      <c r="H1067" s="185"/>
      <c r="I1067" s="185"/>
      <c r="J1067" s="185"/>
      <c r="K1067"/>
      <c r="L1067"/>
      <c r="M1067"/>
      <c r="N1067"/>
      <c r="O1067"/>
      <c r="P1067"/>
    </row>
    <row r="1068" spans="8:16" s="1" customFormat="1">
      <c r="H1068" s="185"/>
      <c r="I1068" s="185"/>
      <c r="J1068" s="185"/>
      <c r="K1068"/>
      <c r="L1068"/>
      <c r="M1068"/>
      <c r="N1068"/>
      <c r="O1068"/>
      <c r="P1068"/>
    </row>
    <row r="1069" spans="8:16" s="1" customFormat="1">
      <c r="H1069" s="185"/>
      <c r="I1069" s="185"/>
      <c r="J1069" s="185"/>
      <c r="K1069"/>
      <c r="L1069"/>
      <c r="M1069"/>
      <c r="N1069"/>
      <c r="O1069"/>
      <c r="P1069"/>
    </row>
    <row r="1070" spans="8:16" s="1" customFormat="1">
      <c r="H1070" s="185"/>
      <c r="I1070" s="185"/>
      <c r="J1070" s="185"/>
      <c r="K1070"/>
      <c r="L1070"/>
      <c r="M1070"/>
      <c r="N1070"/>
      <c r="O1070"/>
      <c r="P1070"/>
    </row>
    <row r="1071" spans="8:16" s="1" customFormat="1">
      <c r="H1071" s="185"/>
      <c r="I1071" s="185"/>
      <c r="J1071" s="185"/>
      <c r="K1071"/>
      <c r="L1071"/>
      <c r="M1071"/>
      <c r="N1071"/>
      <c r="O1071"/>
      <c r="P1071"/>
    </row>
    <row r="1072" spans="8:16" s="1" customFormat="1">
      <c r="H1072" s="185"/>
      <c r="I1072" s="185"/>
      <c r="J1072" s="185"/>
      <c r="K1072"/>
      <c r="L1072"/>
      <c r="M1072"/>
      <c r="N1072"/>
      <c r="O1072"/>
      <c r="P1072"/>
    </row>
    <row r="1073" spans="8:16" s="1" customFormat="1">
      <c r="H1073" s="185"/>
      <c r="I1073" s="185"/>
      <c r="J1073" s="185"/>
      <c r="K1073"/>
      <c r="L1073"/>
      <c r="M1073"/>
      <c r="N1073"/>
      <c r="O1073"/>
      <c r="P1073"/>
    </row>
    <row r="1074" spans="8:16" s="1" customFormat="1">
      <c r="H1074" s="185"/>
      <c r="I1074" s="185"/>
      <c r="J1074" s="185"/>
      <c r="K1074"/>
      <c r="L1074"/>
      <c r="M1074"/>
      <c r="N1074"/>
      <c r="O1074"/>
      <c r="P1074"/>
    </row>
    <row r="1075" spans="8:16" s="1" customFormat="1">
      <c r="H1075" s="185"/>
      <c r="I1075" s="185"/>
      <c r="J1075" s="185"/>
      <c r="K1075"/>
      <c r="L1075"/>
      <c r="M1075"/>
      <c r="N1075"/>
      <c r="O1075"/>
      <c r="P1075"/>
    </row>
    <row r="1076" spans="8:16" s="1" customFormat="1">
      <c r="H1076" s="185"/>
      <c r="I1076" s="185"/>
      <c r="J1076" s="185"/>
      <c r="K1076"/>
      <c r="L1076"/>
      <c r="M1076"/>
      <c r="N1076"/>
      <c r="O1076"/>
      <c r="P1076"/>
    </row>
    <row r="1077" spans="8:16" s="1" customFormat="1">
      <c r="H1077" s="185"/>
      <c r="I1077" s="185"/>
      <c r="J1077" s="185"/>
      <c r="K1077"/>
      <c r="L1077"/>
      <c r="M1077"/>
      <c r="N1077"/>
      <c r="O1077"/>
      <c r="P1077"/>
    </row>
    <row r="1078" spans="8:16" s="1" customFormat="1">
      <c r="H1078" s="185"/>
      <c r="I1078" s="185"/>
      <c r="J1078" s="185"/>
      <c r="K1078"/>
      <c r="L1078"/>
      <c r="M1078"/>
      <c r="N1078"/>
      <c r="O1078"/>
      <c r="P1078"/>
    </row>
    <row r="1079" spans="8:16" s="1" customFormat="1">
      <c r="H1079" s="185"/>
      <c r="I1079" s="185"/>
      <c r="J1079" s="185"/>
      <c r="K1079"/>
      <c r="L1079"/>
      <c r="M1079"/>
      <c r="N1079"/>
      <c r="O1079"/>
      <c r="P1079"/>
    </row>
    <row r="1080" spans="8:16" s="1" customFormat="1">
      <c r="H1080" s="185"/>
      <c r="I1080" s="185"/>
      <c r="J1080" s="185"/>
      <c r="K1080"/>
      <c r="L1080"/>
      <c r="M1080"/>
      <c r="N1080"/>
      <c r="O1080"/>
      <c r="P1080"/>
    </row>
    <row r="1081" spans="8:16" s="1" customFormat="1">
      <c r="H1081" s="185"/>
      <c r="I1081" s="185"/>
      <c r="J1081" s="185"/>
      <c r="K1081"/>
      <c r="L1081"/>
      <c r="M1081"/>
      <c r="N1081"/>
      <c r="O1081"/>
      <c r="P1081"/>
    </row>
    <row r="1082" spans="8:16" s="1" customFormat="1">
      <c r="H1082" s="185"/>
      <c r="I1082" s="185"/>
      <c r="J1082" s="185"/>
      <c r="K1082"/>
      <c r="L1082"/>
      <c r="M1082"/>
      <c r="N1082"/>
      <c r="O1082"/>
      <c r="P1082"/>
    </row>
    <row r="1083" spans="8:16" s="1" customFormat="1">
      <c r="H1083" s="185"/>
      <c r="I1083" s="185"/>
      <c r="J1083" s="185"/>
      <c r="K1083"/>
      <c r="L1083"/>
      <c r="M1083"/>
      <c r="N1083"/>
      <c r="O1083"/>
      <c r="P1083"/>
    </row>
    <row r="1084" spans="8:16" s="1" customFormat="1">
      <c r="H1084" s="185"/>
      <c r="I1084" s="185"/>
      <c r="J1084" s="185"/>
      <c r="K1084"/>
      <c r="L1084"/>
      <c r="M1084"/>
      <c r="N1084"/>
      <c r="O1084"/>
      <c r="P1084"/>
    </row>
    <row r="1085" spans="8:16" s="1" customFormat="1">
      <c r="H1085" s="185"/>
      <c r="I1085" s="185"/>
      <c r="J1085" s="185"/>
      <c r="K1085"/>
      <c r="L1085"/>
      <c r="M1085"/>
      <c r="N1085"/>
      <c r="O1085"/>
      <c r="P1085"/>
    </row>
    <row r="1086" spans="8:16" s="1" customFormat="1">
      <c r="H1086" s="185"/>
      <c r="I1086" s="185"/>
      <c r="J1086" s="185"/>
      <c r="K1086"/>
      <c r="L1086"/>
      <c r="M1086"/>
      <c r="N1086"/>
      <c r="O1086"/>
      <c r="P1086"/>
    </row>
    <row r="1087" spans="8:16" s="1" customFormat="1">
      <c r="H1087" s="185"/>
      <c r="I1087" s="185"/>
      <c r="J1087" s="185"/>
      <c r="K1087"/>
      <c r="L1087"/>
      <c r="M1087"/>
      <c r="N1087"/>
      <c r="O1087"/>
      <c r="P1087"/>
    </row>
    <row r="1088" spans="8:16" s="1" customFormat="1">
      <c r="H1088" s="185"/>
      <c r="I1088" s="185"/>
      <c r="J1088" s="185"/>
      <c r="K1088"/>
      <c r="L1088"/>
      <c r="M1088"/>
      <c r="N1088"/>
      <c r="O1088"/>
      <c r="P1088"/>
    </row>
    <row r="1089" spans="8:16" s="1" customFormat="1">
      <c r="H1089" s="185"/>
      <c r="I1089" s="185"/>
      <c r="J1089" s="185"/>
      <c r="K1089"/>
      <c r="L1089"/>
      <c r="M1089"/>
      <c r="N1089"/>
      <c r="O1089"/>
      <c r="P1089"/>
    </row>
    <row r="1090" spans="8:16" s="1" customFormat="1">
      <c r="H1090" s="185"/>
      <c r="I1090" s="185"/>
      <c r="J1090" s="185"/>
      <c r="K1090"/>
      <c r="L1090"/>
      <c r="M1090"/>
      <c r="N1090"/>
      <c r="O1090"/>
      <c r="P1090"/>
    </row>
    <row r="1091" spans="8:16" s="1" customFormat="1">
      <c r="H1091" s="185"/>
      <c r="I1091" s="185"/>
      <c r="J1091" s="185"/>
      <c r="K1091"/>
      <c r="L1091"/>
      <c r="M1091"/>
      <c r="N1091"/>
      <c r="O1091"/>
      <c r="P1091"/>
    </row>
    <row r="1092" spans="8:16" s="1" customFormat="1">
      <c r="H1092" s="185"/>
      <c r="I1092" s="185"/>
      <c r="J1092" s="185"/>
      <c r="K1092"/>
      <c r="L1092"/>
      <c r="M1092"/>
      <c r="N1092"/>
      <c r="O1092"/>
      <c r="P1092"/>
    </row>
    <row r="1093" spans="8:16" s="1" customFormat="1">
      <c r="H1093" s="185"/>
      <c r="I1093" s="185"/>
      <c r="J1093" s="185"/>
      <c r="K1093"/>
      <c r="L1093"/>
      <c r="M1093"/>
      <c r="N1093"/>
      <c r="O1093"/>
      <c r="P1093"/>
    </row>
    <row r="1094" spans="8:16" s="1" customFormat="1">
      <c r="H1094" s="185"/>
      <c r="I1094" s="185"/>
      <c r="J1094" s="185"/>
      <c r="K1094"/>
      <c r="L1094"/>
      <c r="M1094"/>
      <c r="N1094"/>
      <c r="O1094"/>
      <c r="P1094"/>
    </row>
    <row r="1095" spans="8:16" s="1" customFormat="1">
      <c r="H1095" s="185"/>
      <c r="I1095" s="185"/>
      <c r="J1095" s="185"/>
      <c r="K1095"/>
      <c r="L1095"/>
      <c r="M1095"/>
      <c r="N1095"/>
      <c r="O1095"/>
      <c r="P1095"/>
    </row>
    <row r="1096" spans="8:16" s="1" customFormat="1">
      <c r="H1096" s="185"/>
      <c r="I1096" s="185"/>
      <c r="J1096" s="185"/>
      <c r="K1096"/>
      <c r="L1096"/>
      <c r="M1096"/>
      <c r="N1096"/>
      <c r="O1096"/>
      <c r="P1096"/>
    </row>
    <row r="1097" spans="8:16" s="1" customFormat="1">
      <c r="H1097" s="185"/>
      <c r="I1097" s="185"/>
      <c r="J1097" s="185"/>
      <c r="K1097"/>
      <c r="L1097"/>
      <c r="M1097"/>
      <c r="N1097"/>
      <c r="O1097"/>
      <c r="P1097"/>
    </row>
    <row r="1098" spans="8:16" s="1" customFormat="1">
      <c r="H1098" s="185"/>
      <c r="I1098" s="185"/>
      <c r="J1098" s="185"/>
      <c r="K1098"/>
      <c r="L1098"/>
      <c r="M1098"/>
      <c r="N1098"/>
      <c r="O1098"/>
      <c r="P1098"/>
    </row>
    <row r="1099" spans="8:16" s="1" customFormat="1">
      <c r="H1099" s="185"/>
      <c r="I1099" s="185"/>
      <c r="J1099" s="185"/>
      <c r="K1099"/>
      <c r="L1099"/>
      <c r="M1099"/>
      <c r="N1099"/>
      <c r="O1099"/>
      <c r="P1099"/>
    </row>
    <row r="1100" spans="8:16" s="1" customFormat="1">
      <c r="H1100" s="185"/>
      <c r="I1100" s="185"/>
      <c r="J1100" s="185"/>
      <c r="K1100"/>
      <c r="L1100"/>
      <c r="M1100"/>
      <c r="N1100"/>
      <c r="O1100"/>
      <c r="P1100"/>
    </row>
    <row r="1101" spans="8:16" s="1" customFormat="1">
      <c r="H1101" s="185"/>
      <c r="I1101" s="185"/>
      <c r="J1101" s="185"/>
      <c r="K1101"/>
      <c r="L1101"/>
      <c r="M1101"/>
      <c r="N1101"/>
      <c r="O1101"/>
      <c r="P1101"/>
    </row>
    <row r="1102" spans="8:16" s="1" customFormat="1">
      <c r="H1102" s="185"/>
      <c r="I1102" s="185"/>
      <c r="J1102" s="185"/>
      <c r="K1102"/>
      <c r="L1102"/>
      <c r="M1102"/>
      <c r="N1102"/>
      <c r="O1102"/>
      <c r="P1102"/>
    </row>
    <row r="1103" spans="8:16" s="1" customFormat="1">
      <c r="H1103" s="185"/>
      <c r="I1103" s="185"/>
      <c r="J1103" s="185"/>
      <c r="K1103"/>
      <c r="L1103"/>
      <c r="M1103"/>
      <c r="N1103"/>
      <c r="O1103"/>
      <c r="P1103"/>
    </row>
    <row r="1104" spans="8:16" s="1" customFormat="1">
      <c r="H1104" s="185"/>
      <c r="I1104" s="185"/>
      <c r="J1104" s="185"/>
      <c r="K1104"/>
      <c r="L1104"/>
      <c r="M1104"/>
      <c r="N1104"/>
      <c r="O1104"/>
      <c r="P1104"/>
    </row>
    <row r="1105" spans="8:16" s="1" customFormat="1">
      <c r="H1105" s="185"/>
      <c r="I1105" s="185"/>
      <c r="J1105" s="185"/>
      <c r="K1105"/>
      <c r="L1105"/>
      <c r="M1105"/>
      <c r="N1105"/>
      <c r="O1105"/>
      <c r="P1105"/>
    </row>
    <row r="1106" spans="8:16" s="1" customFormat="1">
      <c r="H1106" s="185"/>
      <c r="I1106" s="185"/>
      <c r="J1106" s="185"/>
      <c r="K1106"/>
      <c r="L1106"/>
      <c r="M1106"/>
      <c r="N1106"/>
      <c r="O1106"/>
      <c r="P1106"/>
    </row>
    <row r="1107" spans="8:16" s="1" customFormat="1">
      <c r="H1107" s="185"/>
      <c r="I1107" s="185"/>
      <c r="J1107" s="185"/>
      <c r="K1107"/>
      <c r="L1107"/>
      <c r="M1107"/>
      <c r="N1107"/>
      <c r="O1107"/>
      <c r="P1107"/>
    </row>
    <row r="1108" spans="8:16" s="1" customFormat="1">
      <c r="H1108" s="185"/>
      <c r="I1108" s="185"/>
      <c r="J1108" s="185"/>
      <c r="K1108"/>
      <c r="L1108"/>
      <c r="M1108"/>
      <c r="N1108"/>
      <c r="O1108"/>
      <c r="P1108"/>
    </row>
    <row r="1109" spans="8:16" s="1" customFormat="1">
      <c r="H1109" s="185"/>
      <c r="I1109" s="185"/>
      <c r="J1109" s="185"/>
      <c r="K1109"/>
      <c r="L1109"/>
      <c r="M1109"/>
      <c r="N1109"/>
      <c r="O1109"/>
      <c r="P1109"/>
    </row>
    <row r="1110" spans="8:16" s="1" customFormat="1">
      <c r="H1110" s="185"/>
      <c r="I1110" s="185"/>
      <c r="J1110" s="185"/>
      <c r="K1110"/>
      <c r="L1110"/>
      <c r="M1110"/>
      <c r="N1110"/>
      <c r="O1110"/>
      <c r="P1110"/>
    </row>
    <row r="1111" spans="8:16" s="1" customFormat="1">
      <c r="H1111" s="185"/>
      <c r="I1111" s="185"/>
      <c r="J1111" s="185"/>
      <c r="K1111"/>
      <c r="L1111"/>
      <c r="M1111"/>
      <c r="N1111"/>
      <c r="O1111"/>
      <c r="P1111"/>
    </row>
    <row r="1112" spans="8:16" s="1" customFormat="1">
      <c r="H1112" s="185"/>
      <c r="I1112" s="185"/>
      <c r="J1112" s="185"/>
      <c r="K1112"/>
      <c r="L1112"/>
      <c r="M1112"/>
      <c r="N1112"/>
      <c r="O1112"/>
      <c r="P1112"/>
    </row>
    <row r="1113" spans="8:16" s="1" customFormat="1">
      <c r="H1113" s="185"/>
      <c r="I1113" s="185"/>
      <c r="J1113" s="185"/>
      <c r="K1113"/>
      <c r="L1113"/>
      <c r="M1113"/>
      <c r="N1113"/>
      <c r="O1113"/>
      <c r="P1113"/>
    </row>
    <row r="1114" spans="8:16" s="1" customFormat="1">
      <c r="H1114" s="185"/>
      <c r="I1114" s="185"/>
      <c r="J1114" s="185"/>
      <c r="K1114"/>
      <c r="L1114"/>
      <c r="M1114"/>
      <c r="N1114"/>
      <c r="O1114"/>
      <c r="P1114"/>
    </row>
    <row r="1115" spans="8:16" s="1" customFormat="1">
      <c r="H1115" s="185"/>
      <c r="I1115" s="185"/>
      <c r="J1115" s="185"/>
      <c r="K1115"/>
      <c r="L1115"/>
      <c r="M1115"/>
      <c r="N1115"/>
      <c r="O1115"/>
      <c r="P1115"/>
    </row>
    <row r="1116" spans="8:16" s="1" customFormat="1">
      <c r="H1116" s="185"/>
      <c r="I1116" s="185"/>
      <c r="J1116" s="185"/>
      <c r="K1116"/>
      <c r="L1116"/>
      <c r="M1116"/>
      <c r="N1116"/>
      <c r="O1116"/>
      <c r="P1116"/>
    </row>
    <row r="1117" spans="8:16" s="1" customFormat="1">
      <c r="H1117" s="185"/>
      <c r="I1117" s="185"/>
      <c r="J1117" s="185"/>
      <c r="K1117"/>
      <c r="L1117"/>
      <c r="M1117"/>
      <c r="N1117"/>
      <c r="O1117"/>
      <c r="P1117"/>
    </row>
    <row r="1118" spans="8:16" s="1" customFormat="1">
      <c r="H1118" s="185"/>
      <c r="I1118" s="185"/>
      <c r="J1118" s="185"/>
      <c r="K1118"/>
      <c r="L1118"/>
      <c r="M1118"/>
      <c r="N1118"/>
      <c r="O1118"/>
      <c r="P1118"/>
    </row>
    <row r="1119" spans="8:16" s="1" customFormat="1">
      <c r="H1119" s="185"/>
      <c r="I1119" s="185"/>
      <c r="J1119" s="185"/>
      <c r="K1119"/>
      <c r="L1119"/>
      <c r="M1119"/>
      <c r="N1119"/>
      <c r="O1119"/>
      <c r="P1119"/>
    </row>
    <row r="1120" spans="8:16" s="1" customFormat="1">
      <c r="H1120" s="185"/>
      <c r="I1120" s="185"/>
      <c r="J1120" s="185"/>
      <c r="K1120"/>
      <c r="L1120"/>
      <c r="M1120"/>
      <c r="N1120"/>
      <c r="O1120"/>
      <c r="P1120"/>
    </row>
    <row r="1121" spans="8:16" s="1" customFormat="1">
      <c r="H1121" s="185"/>
      <c r="I1121" s="185"/>
      <c r="J1121" s="185"/>
      <c r="K1121"/>
      <c r="L1121"/>
      <c r="M1121"/>
      <c r="N1121"/>
      <c r="O1121"/>
      <c r="P1121"/>
    </row>
    <row r="1122" spans="8:16" s="1" customFormat="1">
      <c r="H1122" s="185"/>
      <c r="I1122" s="185"/>
      <c r="J1122" s="185"/>
      <c r="K1122"/>
      <c r="L1122"/>
      <c r="M1122"/>
      <c r="N1122"/>
      <c r="O1122"/>
      <c r="P1122"/>
    </row>
    <row r="1123" spans="8:16" s="1" customFormat="1">
      <c r="H1123" s="185"/>
      <c r="I1123" s="185"/>
      <c r="J1123" s="185"/>
      <c r="K1123"/>
      <c r="L1123"/>
      <c r="M1123"/>
      <c r="N1123"/>
      <c r="O1123"/>
      <c r="P1123"/>
    </row>
    <row r="1124" spans="8:16" s="1" customFormat="1">
      <c r="H1124" s="185"/>
      <c r="I1124" s="185"/>
      <c r="J1124" s="185"/>
      <c r="K1124"/>
      <c r="L1124"/>
      <c r="M1124"/>
      <c r="N1124"/>
      <c r="O1124"/>
      <c r="P1124"/>
    </row>
    <row r="1125" spans="8:16" s="1" customFormat="1">
      <c r="H1125" s="185"/>
      <c r="I1125" s="185"/>
      <c r="J1125" s="185"/>
      <c r="K1125"/>
      <c r="L1125"/>
      <c r="M1125"/>
      <c r="N1125"/>
      <c r="O1125"/>
      <c r="P1125"/>
    </row>
    <row r="1126" spans="8:16" s="1" customFormat="1">
      <c r="H1126" s="185"/>
      <c r="I1126" s="185"/>
      <c r="J1126" s="185"/>
      <c r="K1126"/>
      <c r="L1126"/>
      <c r="M1126"/>
      <c r="N1126"/>
      <c r="O1126"/>
      <c r="P1126"/>
    </row>
    <row r="1127" spans="8:16" s="1" customFormat="1">
      <c r="H1127" s="185"/>
      <c r="I1127" s="185"/>
      <c r="J1127" s="185"/>
      <c r="K1127"/>
      <c r="L1127"/>
      <c r="M1127"/>
      <c r="N1127"/>
      <c r="O1127"/>
      <c r="P1127"/>
    </row>
    <row r="1128" spans="8:16" s="1" customFormat="1">
      <c r="H1128" s="185"/>
      <c r="I1128" s="185"/>
      <c r="J1128" s="185"/>
      <c r="K1128"/>
      <c r="L1128"/>
      <c r="M1128"/>
      <c r="N1128"/>
      <c r="O1128"/>
      <c r="P1128"/>
    </row>
    <row r="1129" spans="8:16" s="1" customFormat="1">
      <c r="H1129" s="185"/>
      <c r="I1129" s="185"/>
      <c r="J1129" s="185"/>
      <c r="K1129"/>
      <c r="L1129"/>
      <c r="M1129"/>
      <c r="N1129"/>
      <c r="O1129"/>
      <c r="P1129"/>
    </row>
    <row r="1130" spans="8:16" s="1" customFormat="1">
      <c r="H1130" s="185"/>
      <c r="I1130" s="185"/>
      <c r="J1130" s="185"/>
      <c r="K1130"/>
      <c r="L1130"/>
      <c r="M1130"/>
      <c r="N1130"/>
      <c r="O1130"/>
      <c r="P1130"/>
    </row>
    <row r="1131" spans="8:16" s="1" customFormat="1">
      <c r="H1131" s="185"/>
      <c r="I1131" s="185"/>
      <c r="J1131" s="185"/>
      <c r="K1131"/>
      <c r="L1131"/>
      <c r="M1131"/>
      <c r="N1131"/>
      <c r="O1131"/>
      <c r="P1131"/>
    </row>
    <row r="1132" spans="8:16" s="1" customFormat="1">
      <c r="H1132" s="185"/>
      <c r="I1132" s="185"/>
      <c r="J1132" s="185"/>
      <c r="K1132"/>
      <c r="L1132"/>
      <c r="M1132"/>
      <c r="N1132"/>
      <c r="O1132"/>
      <c r="P1132"/>
    </row>
    <row r="1133" spans="8:16" s="1" customFormat="1">
      <c r="H1133" s="185"/>
      <c r="I1133" s="185"/>
      <c r="J1133" s="185"/>
      <c r="K1133"/>
      <c r="L1133"/>
      <c r="M1133"/>
      <c r="N1133"/>
      <c r="O1133"/>
      <c r="P1133"/>
    </row>
    <row r="1134" spans="8:16" s="1" customFormat="1">
      <c r="H1134" s="185"/>
      <c r="I1134" s="185"/>
      <c r="J1134" s="185"/>
      <c r="K1134"/>
      <c r="L1134"/>
      <c r="M1134"/>
      <c r="N1134"/>
      <c r="O1134"/>
      <c r="P1134"/>
    </row>
    <row r="1135" spans="8:16" s="1" customFormat="1">
      <c r="H1135" s="185"/>
      <c r="I1135" s="185"/>
      <c r="J1135" s="185"/>
      <c r="K1135"/>
      <c r="L1135"/>
      <c r="M1135"/>
      <c r="N1135"/>
      <c r="O1135"/>
      <c r="P1135"/>
    </row>
    <row r="1136" spans="8:16" s="1" customFormat="1">
      <c r="H1136" s="185"/>
      <c r="I1136" s="185"/>
      <c r="J1136" s="185"/>
      <c r="K1136"/>
      <c r="L1136"/>
      <c r="M1136"/>
      <c r="N1136"/>
      <c r="O1136"/>
      <c r="P1136"/>
    </row>
    <row r="1137" spans="8:16" s="1" customFormat="1">
      <c r="H1137" s="185"/>
      <c r="I1137" s="185"/>
      <c r="J1137" s="185"/>
      <c r="K1137"/>
      <c r="L1137"/>
      <c r="M1137"/>
      <c r="N1137"/>
      <c r="O1137"/>
      <c r="P1137"/>
    </row>
    <row r="1138" spans="8:16" s="1" customFormat="1">
      <c r="H1138" s="185"/>
      <c r="I1138" s="185"/>
      <c r="J1138" s="185"/>
      <c r="K1138"/>
      <c r="L1138"/>
      <c r="M1138"/>
      <c r="N1138"/>
      <c r="O1138"/>
      <c r="P1138"/>
    </row>
    <row r="1139" spans="8:16" s="1" customFormat="1">
      <c r="H1139" s="185"/>
      <c r="I1139" s="185"/>
      <c r="J1139" s="185"/>
      <c r="K1139"/>
      <c r="L1139"/>
      <c r="M1139"/>
      <c r="N1139"/>
      <c r="O1139"/>
      <c r="P1139"/>
    </row>
    <row r="1140" spans="8:16" s="1" customFormat="1">
      <c r="H1140" s="185"/>
      <c r="I1140" s="185"/>
      <c r="J1140" s="185"/>
      <c r="K1140"/>
      <c r="L1140"/>
      <c r="M1140"/>
      <c r="N1140"/>
      <c r="O1140"/>
      <c r="P1140"/>
    </row>
    <row r="1141" spans="8:16" s="1" customFormat="1">
      <c r="H1141" s="185"/>
      <c r="I1141" s="185"/>
      <c r="J1141" s="185"/>
      <c r="K1141"/>
      <c r="L1141"/>
      <c r="M1141"/>
      <c r="N1141"/>
      <c r="O1141"/>
      <c r="P1141"/>
    </row>
    <row r="1142" spans="8:16" s="1" customFormat="1">
      <c r="H1142" s="185"/>
      <c r="I1142" s="185"/>
      <c r="J1142" s="185"/>
      <c r="K1142"/>
      <c r="L1142"/>
      <c r="M1142"/>
      <c r="N1142"/>
      <c r="O1142"/>
      <c r="P1142"/>
    </row>
    <row r="1143" spans="8:16" s="1" customFormat="1">
      <c r="H1143" s="185"/>
      <c r="I1143" s="185"/>
      <c r="J1143" s="185"/>
      <c r="K1143"/>
      <c r="L1143"/>
      <c r="M1143"/>
      <c r="N1143"/>
      <c r="O1143"/>
      <c r="P1143"/>
    </row>
    <row r="1144" spans="8:16" s="1" customFormat="1">
      <c r="H1144" s="185"/>
      <c r="I1144" s="185"/>
      <c r="J1144" s="185"/>
      <c r="K1144"/>
      <c r="L1144"/>
      <c r="M1144"/>
      <c r="N1144"/>
      <c r="O1144"/>
      <c r="P1144"/>
    </row>
    <row r="1145" spans="8:16" s="1" customFormat="1">
      <c r="H1145" s="185"/>
      <c r="I1145" s="185"/>
      <c r="J1145" s="185"/>
      <c r="K1145"/>
      <c r="L1145"/>
      <c r="M1145"/>
      <c r="N1145"/>
      <c r="O1145"/>
      <c r="P1145"/>
    </row>
    <row r="1146" spans="8:16" s="1" customFormat="1">
      <c r="H1146" s="185"/>
      <c r="I1146" s="185"/>
      <c r="J1146" s="185"/>
      <c r="K1146"/>
      <c r="L1146"/>
      <c r="M1146"/>
      <c r="N1146"/>
      <c r="O1146"/>
      <c r="P1146"/>
    </row>
    <row r="1147" spans="8:16" s="1" customFormat="1">
      <c r="H1147" s="185"/>
      <c r="I1147" s="185"/>
      <c r="J1147" s="185"/>
      <c r="K1147"/>
      <c r="L1147"/>
      <c r="M1147"/>
      <c r="N1147"/>
      <c r="O1147"/>
      <c r="P1147"/>
    </row>
    <row r="1148" spans="8:16" s="1" customFormat="1">
      <c r="H1148" s="185"/>
      <c r="I1148" s="185"/>
      <c r="J1148" s="185"/>
      <c r="K1148"/>
      <c r="L1148"/>
      <c r="M1148"/>
      <c r="N1148"/>
      <c r="O1148"/>
      <c r="P1148"/>
    </row>
    <row r="1149" spans="8:16" s="1" customFormat="1">
      <c r="H1149" s="185"/>
      <c r="I1149" s="185"/>
      <c r="J1149" s="185"/>
      <c r="K1149"/>
      <c r="L1149"/>
      <c r="M1149"/>
      <c r="N1149"/>
      <c r="O1149"/>
      <c r="P1149"/>
    </row>
    <row r="1150" spans="8:16" s="1" customFormat="1">
      <c r="H1150" s="185"/>
      <c r="I1150" s="185"/>
      <c r="J1150" s="185"/>
      <c r="K1150"/>
      <c r="L1150"/>
      <c r="M1150"/>
      <c r="N1150"/>
      <c r="O1150"/>
      <c r="P1150"/>
    </row>
    <row r="1151" spans="8:16" s="1" customFormat="1">
      <c r="H1151" s="185"/>
      <c r="I1151" s="185"/>
      <c r="J1151" s="185"/>
      <c r="K1151"/>
      <c r="L1151"/>
      <c r="M1151"/>
      <c r="N1151"/>
      <c r="O1151"/>
      <c r="P1151"/>
    </row>
    <row r="1152" spans="8:16" s="1" customFormat="1">
      <c r="H1152" s="185"/>
      <c r="I1152" s="185"/>
      <c r="J1152" s="185"/>
      <c r="K1152"/>
      <c r="L1152"/>
      <c r="M1152"/>
      <c r="N1152"/>
      <c r="O1152"/>
      <c r="P1152"/>
    </row>
    <row r="1153" spans="8:16" s="1" customFormat="1">
      <c r="H1153" s="185"/>
      <c r="I1153" s="185"/>
      <c r="J1153" s="185"/>
      <c r="K1153"/>
      <c r="L1153"/>
      <c r="M1153"/>
      <c r="N1153"/>
      <c r="O1153"/>
      <c r="P1153"/>
    </row>
    <row r="1154" spans="8:16" s="1" customFormat="1">
      <c r="H1154" s="185"/>
      <c r="I1154" s="185"/>
      <c r="J1154" s="185"/>
      <c r="K1154"/>
      <c r="L1154"/>
      <c r="M1154"/>
      <c r="N1154"/>
      <c r="O1154"/>
      <c r="P1154"/>
    </row>
    <row r="1155" spans="8:16" s="1" customFormat="1">
      <c r="H1155" s="185"/>
      <c r="I1155" s="185"/>
      <c r="J1155" s="185"/>
      <c r="K1155"/>
      <c r="L1155"/>
      <c r="M1155"/>
      <c r="N1155"/>
      <c r="O1155"/>
      <c r="P1155"/>
    </row>
    <row r="1156" spans="8:16" s="1" customFormat="1">
      <c r="H1156" s="185"/>
      <c r="I1156" s="185"/>
      <c r="J1156" s="185"/>
      <c r="K1156"/>
      <c r="L1156"/>
      <c r="M1156"/>
      <c r="N1156"/>
      <c r="O1156"/>
      <c r="P1156"/>
    </row>
    <row r="1157" spans="8:16" s="1" customFormat="1">
      <c r="H1157" s="185"/>
      <c r="I1157" s="185"/>
      <c r="J1157" s="185"/>
      <c r="K1157"/>
      <c r="L1157"/>
      <c r="M1157"/>
      <c r="N1157"/>
      <c r="O1157"/>
      <c r="P1157"/>
    </row>
    <row r="1158" spans="8:16" s="1" customFormat="1">
      <c r="H1158" s="185"/>
      <c r="I1158" s="185"/>
      <c r="J1158" s="185"/>
      <c r="K1158"/>
      <c r="L1158"/>
      <c r="M1158"/>
      <c r="N1158"/>
      <c r="O1158"/>
      <c r="P1158"/>
    </row>
    <row r="1159" spans="8:16" s="1" customFormat="1">
      <c r="H1159" s="185"/>
      <c r="I1159" s="185"/>
      <c r="J1159" s="185"/>
      <c r="K1159"/>
      <c r="L1159"/>
      <c r="M1159"/>
      <c r="N1159"/>
      <c r="O1159"/>
      <c r="P1159"/>
    </row>
    <row r="1160" spans="8:16" s="1" customFormat="1">
      <c r="H1160" s="185"/>
      <c r="I1160" s="185"/>
      <c r="J1160" s="185"/>
      <c r="K1160"/>
      <c r="L1160"/>
      <c r="M1160"/>
      <c r="N1160"/>
      <c r="O1160"/>
      <c r="P1160"/>
    </row>
    <row r="1161" spans="8:16" s="1" customFormat="1">
      <c r="H1161" s="185"/>
      <c r="I1161" s="185"/>
      <c r="J1161" s="185"/>
      <c r="K1161"/>
      <c r="L1161"/>
      <c r="M1161"/>
      <c r="N1161"/>
      <c r="O1161"/>
      <c r="P1161"/>
    </row>
    <row r="1162" spans="8:16" s="1" customFormat="1">
      <c r="H1162" s="185"/>
      <c r="I1162" s="185"/>
      <c r="J1162" s="185"/>
      <c r="K1162"/>
      <c r="L1162"/>
      <c r="M1162"/>
      <c r="N1162"/>
      <c r="O1162"/>
      <c r="P1162"/>
    </row>
    <row r="1163" spans="8:16" s="1" customFormat="1">
      <c r="H1163" s="185"/>
      <c r="I1163" s="185"/>
      <c r="J1163" s="185"/>
      <c r="K1163"/>
      <c r="L1163"/>
      <c r="M1163"/>
      <c r="N1163"/>
      <c r="O1163"/>
      <c r="P1163"/>
    </row>
    <row r="1164" spans="8:16" s="1" customFormat="1">
      <c r="H1164" s="185"/>
      <c r="I1164" s="185"/>
      <c r="J1164" s="185"/>
      <c r="K1164"/>
      <c r="L1164"/>
      <c r="M1164"/>
      <c r="N1164"/>
      <c r="O1164"/>
      <c r="P1164"/>
    </row>
    <row r="1165" spans="8:16" s="1" customFormat="1">
      <c r="H1165" s="185"/>
      <c r="I1165" s="185"/>
      <c r="J1165" s="185"/>
      <c r="K1165"/>
      <c r="L1165"/>
      <c r="M1165"/>
      <c r="N1165"/>
      <c r="O1165"/>
      <c r="P1165"/>
    </row>
    <row r="1166" spans="8:16" s="1" customFormat="1">
      <c r="H1166" s="185"/>
      <c r="I1166" s="185"/>
      <c r="J1166" s="185"/>
      <c r="K1166"/>
      <c r="L1166"/>
      <c r="M1166"/>
      <c r="N1166"/>
      <c r="O1166"/>
      <c r="P1166"/>
    </row>
    <row r="1167" spans="8:16" s="1" customFormat="1">
      <c r="H1167" s="185"/>
      <c r="I1167" s="185"/>
      <c r="J1167" s="185"/>
      <c r="K1167"/>
      <c r="L1167"/>
      <c r="M1167"/>
      <c r="N1167"/>
      <c r="O1167"/>
      <c r="P1167"/>
    </row>
    <row r="1168" spans="8:16" s="1" customFormat="1">
      <c r="H1168" s="185"/>
      <c r="I1168" s="185"/>
      <c r="J1168" s="185"/>
      <c r="K1168"/>
      <c r="L1168"/>
      <c r="M1168"/>
      <c r="N1168"/>
      <c r="O1168"/>
      <c r="P1168"/>
    </row>
    <row r="1169" spans="8:16" s="1" customFormat="1">
      <c r="H1169" s="185"/>
      <c r="I1169" s="185"/>
      <c r="J1169" s="185"/>
      <c r="K1169"/>
      <c r="L1169"/>
      <c r="M1169"/>
      <c r="N1169"/>
      <c r="O1169"/>
      <c r="P1169"/>
    </row>
    <row r="1170" spans="8:16" s="1" customFormat="1">
      <c r="H1170" s="185"/>
      <c r="I1170" s="185"/>
      <c r="J1170" s="185"/>
      <c r="K1170"/>
      <c r="L1170"/>
      <c r="M1170"/>
      <c r="N1170"/>
      <c r="O1170"/>
      <c r="P1170"/>
    </row>
    <row r="1171" spans="8:16" s="1" customFormat="1">
      <c r="H1171" s="185"/>
      <c r="I1171" s="185"/>
      <c r="J1171" s="185"/>
      <c r="K1171"/>
      <c r="L1171"/>
      <c r="M1171"/>
      <c r="N1171"/>
      <c r="O1171"/>
      <c r="P1171"/>
    </row>
    <row r="1172" spans="8:16" s="1" customFormat="1">
      <c r="H1172" s="185"/>
      <c r="I1172" s="185"/>
      <c r="J1172" s="185"/>
      <c r="K1172"/>
      <c r="L1172"/>
      <c r="M1172"/>
      <c r="N1172"/>
      <c r="O1172"/>
      <c r="P1172"/>
    </row>
    <row r="1173" spans="8:16" s="1" customFormat="1">
      <c r="H1173" s="185"/>
      <c r="I1173" s="185"/>
      <c r="J1173" s="185"/>
      <c r="K1173"/>
      <c r="L1173"/>
      <c r="M1173"/>
      <c r="N1173"/>
      <c r="O1173"/>
      <c r="P1173"/>
    </row>
    <row r="1174" spans="8:16" s="1" customFormat="1">
      <c r="H1174" s="185"/>
      <c r="I1174" s="185"/>
      <c r="J1174" s="185"/>
      <c r="K1174"/>
      <c r="L1174"/>
      <c r="M1174"/>
      <c r="N1174"/>
      <c r="O1174"/>
      <c r="P1174"/>
    </row>
    <row r="1175" spans="8:16" s="1" customFormat="1">
      <c r="H1175" s="185"/>
      <c r="I1175" s="185"/>
      <c r="J1175" s="185"/>
      <c r="K1175"/>
      <c r="L1175"/>
      <c r="M1175"/>
      <c r="N1175"/>
      <c r="O1175"/>
      <c r="P1175"/>
    </row>
    <row r="1176" spans="8:16" s="1" customFormat="1">
      <c r="H1176" s="185"/>
      <c r="I1176" s="185"/>
      <c r="J1176" s="185"/>
      <c r="K1176"/>
      <c r="L1176"/>
      <c r="M1176"/>
      <c r="N1176"/>
      <c r="O1176"/>
      <c r="P1176"/>
    </row>
    <row r="1177" spans="8:16" s="1" customFormat="1">
      <c r="H1177" s="185"/>
      <c r="I1177" s="185"/>
      <c r="J1177" s="185"/>
      <c r="K1177"/>
      <c r="L1177"/>
      <c r="M1177"/>
      <c r="N1177"/>
      <c r="O1177"/>
      <c r="P1177"/>
    </row>
    <row r="1178" spans="8:16" s="1" customFormat="1">
      <c r="H1178" s="185"/>
      <c r="I1178" s="185"/>
      <c r="J1178" s="185"/>
      <c r="K1178"/>
      <c r="L1178"/>
      <c r="M1178"/>
      <c r="N1178"/>
      <c r="O1178"/>
      <c r="P1178"/>
    </row>
    <row r="1179" spans="8:16" s="1" customFormat="1">
      <c r="H1179" s="185"/>
      <c r="I1179" s="185"/>
      <c r="J1179" s="185"/>
      <c r="K1179"/>
      <c r="L1179"/>
      <c r="M1179"/>
      <c r="N1179"/>
      <c r="O1179"/>
      <c r="P1179"/>
    </row>
    <row r="1180" spans="8:16" s="1" customFormat="1">
      <c r="H1180" s="185"/>
      <c r="I1180" s="185"/>
      <c r="J1180" s="185"/>
      <c r="K1180"/>
      <c r="L1180"/>
      <c r="M1180"/>
      <c r="N1180"/>
      <c r="O1180"/>
      <c r="P1180"/>
    </row>
    <row r="1181" spans="8:16" s="1" customFormat="1">
      <c r="H1181" s="185"/>
      <c r="I1181" s="185"/>
      <c r="J1181" s="185"/>
      <c r="K1181"/>
      <c r="L1181"/>
      <c r="M1181"/>
      <c r="N1181"/>
      <c r="O1181"/>
      <c r="P1181"/>
    </row>
    <row r="1182" spans="8:16" s="1" customFormat="1">
      <c r="H1182" s="185"/>
      <c r="I1182" s="185"/>
      <c r="J1182" s="185"/>
      <c r="K1182"/>
      <c r="L1182"/>
      <c r="M1182"/>
      <c r="N1182"/>
      <c r="O1182"/>
      <c r="P1182"/>
    </row>
    <row r="1183" spans="8:16" s="1" customFormat="1">
      <c r="H1183" s="185"/>
      <c r="I1183" s="185"/>
      <c r="J1183" s="185"/>
      <c r="K1183"/>
      <c r="L1183"/>
      <c r="M1183"/>
      <c r="N1183"/>
      <c r="O1183"/>
      <c r="P1183"/>
    </row>
    <row r="1184" spans="8:16" s="1" customFormat="1">
      <c r="H1184" s="185"/>
      <c r="I1184" s="185"/>
      <c r="J1184" s="185"/>
      <c r="K1184"/>
      <c r="L1184"/>
      <c r="M1184"/>
      <c r="N1184"/>
      <c r="O1184"/>
      <c r="P1184"/>
    </row>
    <row r="1185" spans="8:16" s="1" customFormat="1">
      <c r="H1185" s="185"/>
      <c r="I1185" s="185"/>
      <c r="J1185" s="185"/>
      <c r="K1185"/>
      <c r="L1185"/>
      <c r="M1185"/>
      <c r="N1185"/>
      <c r="O1185"/>
      <c r="P1185"/>
    </row>
    <row r="1186" spans="8:16" s="1" customFormat="1">
      <c r="H1186" s="185"/>
      <c r="I1186" s="185"/>
      <c r="J1186" s="185"/>
      <c r="K1186"/>
      <c r="L1186"/>
      <c r="M1186"/>
      <c r="N1186"/>
      <c r="O1186"/>
      <c r="P1186"/>
    </row>
    <row r="1187" spans="8:16" s="1" customFormat="1">
      <c r="H1187" s="185"/>
      <c r="I1187" s="185"/>
      <c r="J1187" s="185"/>
      <c r="K1187"/>
      <c r="L1187"/>
      <c r="M1187"/>
      <c r="N1187"/>
      <c r="O1187"/>
      <c r="P1187"/>
    </row>
    <row r="1188" spans="8:16" s="1" customFormat="1">
      <c r="H1188" s="185"/>
      <c r="I1188" s="185"/>
      <c r="J1188" s="185"/>
      <c r="K1188"/>
      <c r="L1188"/>
      <c r="M1188"/>
      <c r="N1188"/>
      <c r="O1188"/>
      <c r="P1188"/>
    </row>
    <row r="1189" spans="8:16" s="1" customFormat="1">
      <c r="H1189" s="185"/>
      <c r="I1189" s="185"/>
      <c r="J1189" s="185"/>
      <c r="K1189"/>
      <c r="L1189"/>
      <c r="M1189"/>
      <c r="N1189"/>
      <c r="O1189"/>
      <c r="P1189"/>
    </row>
    <row r="1190" spans="8:16" s="1" customFormat="1">
      <c r="H1190" s="185"/>
      <c r="I1190" s="185"/>
      <c r="J1190" s="185"/>
      <c r="K1190"/>
      <c r="L1190"/>
      <c r="M1190"/>
      <c r="N1190"/>
      <c r="O1190"/>
      <c r="P1190"/>
    </row>
    <row r="1191" spans="8:16" s="1" customFormat="1">
      <c r="H1191" s="185"/>
      <c r="I1191" s="185"/>
      <c r="J1191" s="185"/>
      <c r="K1191"/>
      <c r="L1191"/>
      <c r="M1191"/>
      <c r="N1191"/>
      <c r="O1191"/>
      <c r="P1191"/>
    </row>
    <row r="1192" spans="8:16" s="1" customFormat="1">
      <c r="H1192" s="185"/>
      <c r="I1192" s="185"/>
      <c r="J1192" s="185"/>
      <c r="K1192"/>
      <c r="L1192"/>
      <c r="M1192"/>
      <c r="N1192"/>
      <c r="O1192"/>
      <c r="P1192"/>
    </row>
    <row r="1193" spans="8:16" s="1" customFormat="1">
      <c r="H1193" s="185"/>
      <c r="I1193" s="185"/>
      <c r="J1193" s="185"/>
      <c r="K1193"/>
      <c r="L1193"/>
      <c r="M1193"/>
      <c r="N1193"/>
      <c r="O1193"/>
      <c r="P1193"/>
    </row>
    <row r="1194" spans="8:16" s="1" customFormat="1">
      <c r="H1194" s="185"/>
      <c r="I1194" s="185"/>
      <c r="J1194" s="185"/>
      <c r="K1194"/>
      <c r="L1194"/>
      <c r="M1194"/>
      <c r="N1194"/>
      <c r="O1194"/>
      <c r="P1194"/>
    </row>
    <row r="1195" spans="8:16" s="1" customFormat="1">
      <c r="H1195" s="185"/>
      <c r="I1195" s="185"/>
      <c r="J1195" s="185"/>
      <c r="K1195"/>
      <c r="L1195"/>
      <c r="M1195"/>
      <c r="N1195"/>
      <c r="O1195"/>
      <c r="P1195"/>
    </row>
    <row r="1196" spans="8:16" s="1" customFormat="1">
      <c r="H1196" s="185"/>
      <c r="I1196" s="185"/>
      <c r="J1196" s="185"/>
      <c r="K1196"/>
      <c r="L1196"/>
      <c r="M1196"/>
      <c r="N1196"/>
      <c r="O1196"/>
      <c r="P1196"/>
    </row>
    <row r="1197" spans="8:16" s="1" customFormat="1">
      <c r="H1197" s="185"/>
      <c r="I1197" s="185"/>
      <c r="J1197" s="185"/>
      <c r="K1197"/>
      <c r="L1197"/>
      <c r="M1197"/>
      <c r="N1197"/>
      <c r="O1197"/>
      <c r="P1197"/>
    </row>
    <row r="1198" spans="8:16" s="1" customFormat="1">
      <c r="H1198" s="185"/>
      <c r="I1198" s="185"/>
      <c r="J1198" s="185"/>
      <c r="K1198"/>
      <c r="L1198"/>
      <c r="M1198"/>
      <c r="N1198"/>
      <c r="O1198"/>
      <c r="P1198"/>
    </row>
    <row r="1199" spans="8:16" s="1" customFormat="1">
      <c r="H1199" s="185"/>
      <c r="I1199" s="185"/>
      <c r="J1199" s="185"/>
      <c r="K1199"/>
      <c r="L1199"/>
      <c r="M1199"/>
      <c r="N1199"/>
      <c r="O1199"/>
      <c r="P1199"/>
    </row>
    <row r="1200" spans="8:16" s="1" customFormat="1">
      <c r="H1200" s="185"/>
      <c r="I1200" s="185"/>
      <c r="J1200" s="185"/>
      <c r="K1200"/>
      <c r="L1200"/>
      <c r="M1200"/>
      <c r="N1200"/>
      <c r="O1200"/>
      <c r="P1200"/>
    </row>
    <row r="1201" spans="8:16" s="1" customFormat="1">
      <c r="H1201" s="185"/>
      <c r="I1201" s="185"/>
      <c r="J1201" s="185"/>
      <c r="K1201"/>
      <c r="L1201"/>
      <c r="M1201"/>
      <c r="N1201"/>
      <c r="O1201"/>
      <c r="P1201"/>
    </row>
    <row r="1202" spans="8:16" s="1" customFormat="1">
      <c r="H1202" s="185"/>
      <c r="I1202" s="185"/>
      <c r="J1202" s="185"/>
      <c r="K1202"/>
      <c r="L1202"/>
      <c r="M1202"/>
      <c r="N1202"/>
      <c r="O1202"/>
      <c r="P1202"/>
    </row>
    <row r="1203" spans="8:16" s="1" customFormat="1">
      <c r="H1203" s="185"/>
      <c r="I1203" s="185"/>
      <c r="J1203" s="185"/>
      <c r="K1203"/>
      <c r="L1203"/>
      <c r="M1203"/>
      <c r="N1203"/>
      <c r="O1203"/>
      <c r="P1203"/>
    </row>
    <row r="1204" spans="8:16" s="1" customFormat="1">
      <c r="H1204" s="185"/>
      <c r="I1204" s="185"/>
      <c r="J1204" s="185"/>
      <c r="K1204"/>
      <c r="L1204"/>
      <c r="M1204"/>
      <c r="N1204"/>
      <c r="O1204"/>
      <c r="P1204"/>
    </row>
    <row r="1205" spans="8:16" s="1" customFormat="1">
      <c r="H1205" s="185"/>
      <c r="I1205" s="185"/>
      <c r="J1205" s="185"/>
      <c r="K1205"/>
      <c r="L1205"/>
      <c r="M1205"/>
      <c r="N1205"/>
      <c r="O1205"/>
      <c r="P1205"/>
    </row>
    <row r="1206" spans="8:16" s="1" customFormat="1">
      <c r="H1206" s="185"/>
      <c r="I1206" s="185"/>
      <c r="J1206" s="185"/>
      <c r="K1206"/>
      <c r="L1206"/>
      <c r="M1206"/>
      <c r="N1206"/>
      <c r="O1206"/>
      <c r="P1206"/>
    </row>
    <row r="1207" spans="8:16" s="1" customFormat="1">
      <c r="H1207" s="185"/>
      <c r="I1207" s="185"/>
      <c r="J1207" s="185"/>
      <c r="K1207"/>
      <c r="L1207"/>
      <c r="M1207"/>
      <c r="N1207"/>
      <c r="O1207"/>
      <c r="P1207"/>
    </row>
    <row r="1208" spans="8:16" s="1" customFormat="1">
      <c r="H1208" s="185"/>
      <c r="I1208" s="185"/>
      <c r="J1208" s="185"/>
      <c r="K1208"/>
      <c r="L1208"/>
      <c r="M1208"/>
      <c r="N1208"/>
      <c r="O1208"/>
      <c r="P1208"/>
    </row>
    <row r="1209" spans="8:16" s="1" customFormat="1">
      <c r="H1209" s="185"/>
      <c r="I1209" s="185"/>
      <c r="J1209" s="185"/>
      <c r="K1209"/>
      <c r="L1209"/>
      <c r="M1209"/>
      <c r="N1209"/>
      <c r="O1209"/>
      <c r="P1209"/>
    </row>
    <row r="1210" spans="8:16" s="1" customFormat="1">
      <c r="H1210" s="185"/>
      <c r="I1210" s="185"/>
      <c r="J1210" s="185"/>
      <c r="K1210"/>
      <c r="L1210"/>
      <c r="M1210"/>
      <c r="N1210"/>
      <c r="O1210"/>
      <c r="P1210"/>
    </row>
    <row r="1211" spans="8:16" s="1" customFormat="1">
      <c r="H1211" s="185"/>
      <c r="I1211" s="185"/>
      <c r="J1211" s="185"/>
      <c r="K1211"/>
      <c r="L1211"/>
      <c r="M1211"/>
      <c r="N1211"/>
      <c r="O1211"/>
      <c r="P1211"/>
    </row>
    <row r="1212" spans="8:16" s="1" customFormat="1">
      <c r="H1212" s="185"/>
      <c r="I1212" s="185"/>
      <c r="J1212" s="185"/>
      <c r="K1212"/>
      <c r="L1212"/>
      <c r="M1212"/>
      <c r="N1212"/>
      <c r="O1212"/>
      <c r="P1212"/>
    </row>
    <row r="1213" spans="8:16" s="1" customFormat="1">
      <c r="H1213" s="185"/>
      <c r="I1213" s="185"/>
      <c r="J1213" s="185"/>
      <c r="K1213"/>
      <c r="L1213"/>
      <c r="M1213"/>
      <c r="N1213"/>
      <c r="O1213"/>
      <c r="P1213"/>
    </row>
    <row r="1214" spans="8:16" s="1" customFormat="1">
      <c r="H1214" s="185"/>
      <c r="I1214" s="185"/>
      <c r="J1214" s="185"/>
      <c r="K1214"/>
      <c r="L1214"/>
      <c r="M1214"/>
      <c r="N1214"/>
      <c r="O1214"/>
      <c r="P1214"/>
    </row>
    <row r="1215" spans="8:16" s="1" customFormat="1">
      <c r="H1215" s="185"/>
      <c r="I1215" s="185"/>
      <c r="J1215" s="185"/>
      <c r="K1215"/>
      <c r="L1215"/>
      <c r="M1215"/>
      <c r="N1215"/>
      <c r="O1215"/>
      <c r="P1215"/>
    </row>
    <row r="1216" spans="8:16" s="1" customFormat="1">
      <c r="H1216" s="185"/>
      <c r="I1216" s="185"/>
      <c r="J1216" s="185"/>
      <c r="K1216"/>
      <c r="L1216"/>
      <c r="M1216"/>
      <c r="N1216"/>
      <c r="O1216"/>
      <c r="P1216"/>
    </row>
    <row r="1217" spans="8:16" s="1" customFormat="1">
      <c r="H1217" s="185"/>
      <c r="I1217" s="185"/>
      <c r="J1217" s="185"/>
      <c r="K1217"/>
      <c r="L1217"/>
      <c r="M1217"/>
      <c r="N1217"/>
      <c r="O1217"/>
      <c r="P1217"/>
    </row>
    <row r="1218" spans="8:16" s="1" customFormat="1">
      <c r="H1218" s="185"/>
      <c r="I1218" s="185"/>
      <c r="J1218" s="185"/>
      <c r="K1218"/>
      <c r="L1218"/>
      <c r="M1218"/>
      <c r="N1218"/>
      <c r="O1218"/>
      <c r="P1218"/>
    </row>
    <row r="1219" spans="8:16" s="1" customFormat="1">
      <c r="H1219" s="185"/>
      <c r="I1219" s="185"/>
      <c r="J1219" s="185"/>
      <c r="K1219"/>
      <c r="L1219"/>
      <c r="M1219"/>
      <c r="N1219"/>
      <c r="O1219"/>
      <c r="P1219"/>
    </row>
    <row r="1220" spans="8:16" s="1" customFormat="1">
      <c r="H1220" s="185"/>
      <c r="I1220" s="185"/>
      <c r="J1220" s="185"/>
      <c r="K1220"/>
      <c r="L1220"/>
      <c r="M1220"/>
      <c r="N1220"/>
      <c r="O1220"/>
      <c r="P1220"/>
    </row>
    <row r="1221" spans="8:16" s="1" customFormat="1">
      <c r="H1221" s="185"/>
      <c r="I1221" s="185"/>
      <c r="J1221" s="185"/>
      <c r="K1221"/>
      <c r="L1221"/>
      <c r="M1221"/>
      <c r="N1221"/>
      <c r="O1221"/>
      <c r="P1221"/>
    </row>
    <row r="1222" spans="8:16" s="1" customFormat="1">
      <c r="H1222" s="185"/>
      <c r="I1222" s="185"/>
      <c r="J1222" s="185"/>
      <c r="K1222"/>
      <c r="L1222"/>
      <c r="M1222"/>
      <c r="N1222"/>
      <c r="O1222"/>
      <c r="P1222"/>
    </row>
    <row r="1223" spans="8:16" s="1" customFormat="1">
      <c r="H1223" s="185"/>
      <c r="I1223" s="185"/>
      <c r="J1223" s="185"/>
      <c r="K1223"/>
      <c r="L1223"/>
      <c r="M1223"/>
      <c r="N1223"/>
      <c r="O1223"/>
      <c r="P1223"/>
    </row>
    <row r="1224" spans="8:16" s="1" customFormat="1">
      <c r="H1224" s="185"/>
      <c r="I1224" s="185"/>
      <c r="J1224" s="185"/>
      <c r="K1224"/>
      <c r="L1224"/>
      <c r="M1224"/>
      <c r="N1224"/>
      <c r="O1224"/>
      <c r="P1224"/>
    </row>
    <row r="1225" spans="8:16" s="1" customFormat="1">
      <c r="H1225" s="185"/>
      <c r="I1225" s="185"/>
      <c r="J1225" s="185"/>
      <c r="K1225"/>
      <c r="L1225"/>
      <c r="M1225"/>
      <c r="N1225"/>
      <c r="O1225"/>
      <c r="P1225"/>
    </row>
    <row r="1226" spans="8:16" s="1" customFormat="1">
      <c r="H1226" s="185"/>
      <c r="I1226" s="185"/>
      <c r="J1226" s="185"/>
      <c r="K1226"/>
      <c r="L1226"/>
      <c r="M1226"/>
      <c r="N1226"/>
      <c r="O1226"/>
      <c r="P1226"/>
    </row>
    <row r="1227" spans="8:16" s="1" customFormat="1">
      <c r="H1227" s="185"/>
      <c r="I1227" s="185"/>
      <c r="J1227" s="185"/>
      <c r="K1227"/>
      <c r="L1227"/>
      <c r="M1227"/>
      <c r="N1227"/>
      <c r="O1227"/>
      <c r="P1227"/>
    </row>
    <row r="1228" spans="8:16" s="1" customFormat="1">
      <c r="H1228" s="185"/>
      <c r="I1228" s="185"/>
      <c r="J1228" s="185"/>
      <c r="K1228"/>
      <c r="L1228"/>
      <c r="M1228"/>
      <c r="N1228"/>
      <c r="O1228"/>
      <c r="P1228"/>
    </row>
    <row r="1229" spans="8:16" s="1" customFormat="1">
      <c r="H1229" s="185"/>
      <c r="I1229" s="185"/>
      <c r="J1229" s="185"/>
      <c r="K1229"/>
      <c r="L1229"/>
      <c r="M1229"/>
      <c r="N1229"/>
      <c r="O1229"/>
      <c r="P1229"/>
    </row>
    <row r="1230" spans="8:16" s="1" customFormat="1">
      <c r="H1230" s="185"/>
      <c r="I1230" s="185"/>
      <c r="J1230" s="185"/>
      <c r="K1230"/>
      <c r="L1230"/>
      <c r="M1230"/>
      <c r="N1230"/>
      <c r="O1230"/>
      <c r="P1230"/>
    </row>
    <row r="1231" spans="8:16" s="1" customFormat="1">
      <c r="H1231" s="185"/>
      <c r="I1231" s="185"/>
      <c r="J1231" s="185"/>
      <c r="K1231"/>
      <c r="L1231"/>
      <c r="M1231"/>
      <c r="N1231"/>
      <c r="O1231"/>
      <c r="P1231"/>
    </row>
    <row r="1232" spans="8:16" s="1" customFormat="1">
      <c r="H1232" s="185"/>
      <c r="I1232" s="185"/>
      <c r="J1232" s="185"/>
      <c r="K1232"/>
      <c r="L1232"/>
      <c r="M1232"/>
      <c r="N1232"/>
      <c r="O1232"/>
      <c r="P1232"/>
    </row>
    <row r="1233" spans="8:16" s="1" customFormat="1">
      <c r="H1233" s="185"/>
      <c r="I1233" s="185"/>
      <c r="J1233" s="185"/>
      <c r="K1233"/>
      <c r="L1233"/>
      <c r="M1233"/>
      <c r="N1233"/>
      <c r="O1233"/>
      <c r="P1233"/>
    </row>
    <row r="1234" spans="8:16" s="1" customFormat="1">
      <c r="H1234" s="185"/>
      <c r="I1234" s="185"/>
      <c r="J1234" s="185"/>
      <c r="K1234"/>
      <c r="L1234"/>
      <c r="M1234"/>
      <c r="N1234"/>
      <c r="O1234"/>
      <c r="P1234"/>
    </row>
    <row r="1235" spans="8:16" s="1" customFormat="1">
      <c r="H1235" s="185"/>
      <c r="I1235" s="185"/>
      <c r="J1235" s="185"/>
      <c r="K1235"/>
      <c r="L1235"/>
      <c r="M1235"/>
      <c r="N1235"/>
      <c r="O1235"/>
      <c r="P1235"/>
    </row>
    <row r="1236" spans="8:16" s="1" customFormat="1">
      <c r="H1236" s="185"/>
      <c r="I1236" s="185"/>
      <c r="J1236" s="185"/>
      <c r="K1236"/>
      <c r="L1236"/>
      <c r="M1236"/>
      <c r="N1236"/>
      <c r="O1236"/>
      <c r="P1236"/>
    </row>
    <row r="1237" spans="8:16" s="1" customFormat="1">
      <c r="H1237" s="185"/>
      <c r="I1237" s="185"/>
      <c r="J1237" s="185"/>
      <c r="K1237"/>
      <c r="L1237"/>
      <c r="M1237"/>
      <c r="N1237"/>
      <c r="O1237"/>
      <c r="P1237"/>
    </row>
    <row r="1238" spans="8:16" s="1" customFormat="1">
      <c r="H1238" s="185"/>
      <c r="I1238" s="185"/>
      <c r="J1238" s="185"/>
      <c r="K1238"/>
      <c r="L1238"/>
      <c r="M1238"/>
      <c r="N1238"/>
      <c r="O1238"/>
      <c r="P1238"/>
    </row>
    <row r="1239" spans="8:16" s="1" customFormat="1">
      <c r="H1239" s="185"/>
      <c r="I1239" s="185"/>
      <c r="J1239" s="185"/>
      <c r="K1239"/>
      <c r="L1239"/>
      <c r="M1239"/>
      <c r="N1239"/>
      <c r="O1239"/>
      <c r="P1239"/>
    </row>
    <row r="1240" spans="8:16" s="1" customFormat="1">
      <c r="H1240" s="185"/>
      <c r="I1240" s="185"/>
      <c r="J1240" s="185"/>
      <c r="K1240"/>
      <c r="L1240"/>
      <c r="M1240"/>
      <c r="N1240"/>
      <c r="O1240"/>
      <c r="P1240"/>
    </row>
    <row r="1241" spans="8:16" s="1" customFormat="1">
      <c r="H1241" s="185"/>
      <c r="I1241" s="185"/>
      <c r="J1241" s="185"/>
      <c r="K1241"/>
      <c r="L1241"/>
      <c r="M1241"/>
      <c r="N1241"/>
      <c r="O1241"/>
      <c r="P1241"/>
    </row>
    <row r="1242" spans="8:16" s="1" customFormat="1">
      <c r="H1242" s="185"/>
      <c r="I1242" s="185"/>
      <c r="J1242" s="185"/>
      <c r="K1242"/>
      <c r="L1242"/>
      <c r="M1242"/>
      <c r="N1242"/>
      <c r="O1242"/>
      <c r="P1242"/>
    </row>
    <row r="1243" spans="8:16" s="1" customFormat="1">
      <c r="H1243" s="185"/>
      <c r="I1243" s="185"/>
      <c r="J1243" s="185"/>
      <c r="K1243"/>
      <c r="L1243"/>
      <c r="M1243"/>
      <c r="N1243"/>
      <c r="O1243"/>
      <c r="P1243"/>
    </row>
    <row r="1244" spans="8:16" s="1" customFormat="1">
      <c r="H1244" s="185"/>
      <c r="I1244" s="185"/>
      <c r="J1244" s="185"/>
      <c r="K1244"/>
      <c r="L1244"/>
      <c r="M1244"/>
      <c r="N1244"/>
      <c r="O1244"/>
      <c r="P1244"/>
    </row>
    <row r="1245" spans="8:16" s="1" customFormat="1">
      <c r="H1245" s="185"/>
      <c r="I1245" s="185"/>
      <c r="J1245" s="185"/>
      <c r="K1245"/>
      <c r="L1245"/>
      <c r="M1245"/>
      <c r="N1245"/>
      <c r="O1245"/>
      <c r="P1245"/>
    </row>
    <row r="1246" spans="8:16" s="1" customFormat="1">
      <c r="H1246" s="185"/>
      <c r="I1246" s="185"/>
      <c r="J1246" s="185"/>
      <c r="K1246"/>
      <c r="L1246"/>
      <c r="M1246"/>
      <c r="N1246"/>
      <c r="O1246"/>
      <c r="P1246"/>
    </row>
    <row r="1247" spans="8:16" s="1" customFormat="1">
      <c r="H1247" s="185"/>
      <c r="I1247" s="185"/>
      <c r="J1247" s="185"/>
      <c r="K1247"/>
      <c r="L1247"/>
      <c r="M1247"/>
      <c r="N1247"/>
      <c r="O1247"/>
      <c r="P1247"/>
    </row>
    <row r="1248" spans="8:16" s="1" customFormat="1">
      <c r="H1248" s="185"/>
      <c r="I1248" s="185"/>
      <c r="J1248" s="185"/>
      <c r="K1248"/>
      <c r="L1248"/>
      <c r="M1248"/>
      <c r="N1248"/>
      <c r="O1248"/>
      <c r="P1248"/>
    </row>
    <row r="1249" spans="8:16" s="1" customFormat="1">
      <c r="H1249" s="185"/>
      <c r="I1249" s="185"/>
      <c r="J1249" s="185"/>
      <c r="K1249"/>
      <c r="L1249"/>
      <c r="M1249"/>
      <c r="N1249"/>
      <c r="O1249"/>
      <c r="P1249"/>
    </row>
    <row r="1250" spans="8:16" s="1" customFormat="1">
      <c r="H1250" s="185"/>
      <c r="I1250" s="185"/>
      <c r="J1250" s="185"/>
      <c r="K1250"/>
      <c r="L1250"/>
      <c r="M1250"/>
      <c r="N1250"/>
      <c r="O1250"/>
      <c r="P1250"/>
    </row>
    <row r="1251" spans="8:16" s="1" customFormat="1">
      <c r="H1251" s="185"/>
      <c r="I1251" s="185"/>
      <c r="J1251" s="185"/>
      <c r="K1251"/>
      <c r="L1251"/>
      <c r="M1251"/>
      <c r="N1251"/>
      <c r="O1251"/>
      <c r="P1251"/>
    </row>
    <row r="1252" spans="8:16" s="1" customFormat="1">
      <c r="H1252" s="185"/>
      <c r="I1252" s="185"/>
      <c r="J1252" s="185"/>
      <c r="K1252"/>
      <c r="L1252"/>
      <c r="M1252"/>
      <c r="N1252"/>
      <c r="O1252"/>
      <c r="P1252"/>
    </row>
    <row r="1253" spans="8:16" s="1" customFormat="1">
      <c r="H1253" s="185"/>
      <c r="I1253" s="185"/>
      <c r="J1253" s="185"/>
      <c r="K1253"/>
      <c r="L1253"/>
      <c r="M1253"/>
      <c r="N1253"/>
      <c r="O1253"/>
      <c r="P1253"/>
    </row>
    <row r="1254" spans="8:16" s="1" customFormat="1">
      <c r="H1254" s="185"/>
      <c r="I1254" s="185"/>
      <c r="J1254" s="185"/>
      <c r="K1254"/>
      <c r="L1254"/>
      <c r="M1254"/>
      <c r="N1254"/>
      <c r="O1254"/>
      <c r="P1254"/>
    </row>
    <row r="1255" spans="8:16" s="1" customFormat="1">
      <c r="H1255" s="185"/>
      <c r="I1255" s="185"/>
      <c r="J1255" s="185"/>
      <c r="K1255"/>
      <c r="L1255"/>
      <c r="M1255"/>
      <c r="N1255"/>
      <c r="O1255"/>
      <c r="P1255"/>
    </row>
    <row r="1256" spans="8:16" s="1" customFormat="1">
      <c r="H1256" s="185"/>
      <c r="I1256" s="185"/>
      <c r="J1256" s="185"/>
      <c r="K1256"/>
      <c r="L1256"/>
      <c r="M1256"/>
      <c r="N1256"/>
      <c r="O1256"/>
      <c r="P1256"/>
    </row>
    <row r="1257" spans="8:16" s="1" customFormat="1">
      <c r="H1257" s="185"/>
      <c r="I1257" s="185"/>
      <c r="J1257" s="185"/>
      <c r="K1257"/>
      <c r="L1257"/>
      <c r="M1257"/>
      <c r="N1257"/>
      <c r="O1257"/>
      <c r="P1257"/>
    </row>
    <row r="1258" spans="8:16" s="1" customFormat="1">
      <c r="H1258" s="185"/>
      <c r="I1258" s="185"/>
      <c r="J1258" s="185"/>
      <c r="K1258"/>
      <c r="L1258"/>
      <c r="M1258"/>
      <c r="N1258"/>
      <c r="O1258"/>
      <c r="P1258"/>
    </row>
    <row r="1259" spans="8:16" s="1" customFormat="1">
      <c r="H1259" s="185"/>
      <c r="I1259" s="185"/>
      <c r="J1259" s="185"/>
      <c r="K1259"/>
      <c r="L1259"/>
      <c r="M1259"/>
      <c r="N1259"/>
      <c r="O1259"/>
      <c r="P1259"/>
    </row>
    <row r="1260" spans="8:16" s="1" customFormat="1">
      <c r="H1260" s="185"/>
      <c r="I1260" s="185"/>
      <c r="J1260" s="185"/>
      <c r="K1260"/>
      <c r="L1260"/>
      <c r="M1260"/>
      <c r="N1260"/>
      <c r="O1260"/>
      <c r="P1260"/>
    </row>
    <row r="1261" spans="8:16" s="1" customFormat="1">
      <c r="H1261" s="185"/>
      <c r="I1261" s="185"/>
      <c r="J1261" s="185"/>
      <c r="K1261"/>
      <c r="L1261"/>
      <c r="M1261"/>
      <c r="N1261"/>
      <c r="O1261"/>
      <c r="P1261"/>
    </row>
    <row r="1262" spans="8:16" s="1" customFormat="1">
      <c r="H1262" s="185"/>
      <c r="I1262" s="185"/>
      <c r="J1262" s="185"/>
      <c r="K1262"/>
      <c r="L1262"/>
      <c r="M1262"/>
      <c r="N1262"/>
      <c r="O1262"/>
      <c r="P1262"/>
    </row>
    <row r="1263" spans="8:16" s="1" customFormat="1">
      <c r="H1263" s="185"/>
      <c r="I1263" s="185"/>
      <c r="J1263" s="185"/>
      <c r="K1263"/>
      <c r="L1263"/>
      <c r="M1263"/>
      <c r="N1263"/>
      <c r="O1263"/>
      <c r="P1263"/>
    </row>
    <row r="1264" spans="8:16" s="1" customFormat="1">
      <c r="H1264" s="185"/>
      <c r="I1264" s="185"/>
      <c r="J1264" s="185"/>
      <c r="K1264"/>
      <c r="L1264"/>
      <c r="M1264"/>
      <c r="N1264"/>
      <c r="O1264"/>
      <c r="P1264"/>
    </row>
    <row r="1265" spans="8:16" s="1" customFormat="1">
      <c r="H1265" s="185"/>
      <c r="I1265" s="185"/>
      <c r="J1265" s="185"/>
      <c r="K1265"/>
      <c r="L1265"/>
      <c r="M1265"/>
      <c r="N1265"/>
      <c r="O1265"/>
      <c r="P1265"/>
    </row>
    <row r="1266" spans="8:16" s="1" customFormat="1">
      <c r="H1266" s="185"/>
      <c r="I1266" s="185"/>
      <c r="J1266" s="185"/>
      <c r="K1266"/>
      <c r="L1266"/>
      <c r="M1266"/>
      <c r="N1266"/>
      <c r="O1266"/>
      <c r="P1266"/>
    </row>
    <row r="1267" spans="8:16" s="1" customFormat="1">
      <c r="H1267" s="185"/>
      <c r="I1267" s="185"/>
      <c r="J1267" s="185"/>
      <c r="K1267"/>
      <c r="L1267"/>
      <c r="M1267"/>
      <c r="N1267"/>
      <c r="O1267"/>
      <c r="P1267"/>
    </row>
    <row r="1268" spans="8:16" s="1" customFormat="1">
      <c r="H1268" s="185"/>
      <c r="I1268" s="185"/>
      <c r="J1268" s="185"/>
      <c r="K1268"/>
      <c r="L1268"/>
      <c r="M1268"/>
      <c r="N1268"/>
      <c r="O1268"/>
      <c r="P1268"/>
    </row>
    <row r="1269" spans="8:16" s="1" customFormat="1">
      <c r="H1269" s="185"/>
      <c r="I1269" s="185"/>
      <c r="J1269" s="185"/>
      <c r="K1269"/>
      <c r="L1269"/>
      <c r="M1269"/>
      <c r="N1269"/>
      <c r="O1269"/>
      <c r="P1269"/>
    </row>
    <row r="1270" spans="8:16" s="1" customFormat="1">
      <c r="H1270" s="185"/>
      <c r="I1270" s="185"/>
      <c r="J1270" s="185"/>
      <c r="K1270"/>
      <c r="L1270"/>
      <c r="M1270"/>
      <c r="N1270"/>
      <c r="O1270"/>
      <c r="P1270"/>
    </row>
    <row r="1271" spans="8:16" s="1" customFormat="1">
      <c r="H1271" s="185"/>
      <c r="I1271" s="185"/>
      <c r="J1271" s="185"/>
      <c r="K1271"/>
      <c r="L1271"/>
      <c r="M1271"/>
      <c r="N1271"/>
      <c r="O1271"/>
      <c r="P1271"/>
    </row>
    <row r="1272" spans="8:16" s="1" customFormat="1">
      <c r="H1272" s="185"/>
      <c r="I1272" s="185"/>
      <c r="J1272" s="185"/>
      <c r="K1272"/>
      <c r="L1272"/>
      <c r="M1272"/>
      <c r="N1272"/>
      <c r="O1272"/>
      <c r="P1272"/>
    </row>
    <row r="1273" spans="8:16" s="1" customFormat="1">
      <c r="H1273" s="185"/>
      <c r="I1273" s="185"/>
      <c r="J1273" s="185"/>
      <c r="K1273"/>
      <c r="L1273"/>
      <c r="M1273"/>
      <c r="N1273"/>
      <c r="O1273"/>
      <c r="P1273"/>
    </row>
    <row r="1274" spans="8:16" s="1" customFormat="1">
      <c r="H1274" s="185"/>
      <c r="I1274" s="185"/>
      <c r="J1274" s="185"/>
      <c r="K1274"/>
      <c r="L1274"/>
      <c r="M1274"/>
      <c r="N1274"/>
      <c r="O1274"/>
      <c r="P1274"/>
    </row>
    <row r="1275" spans="8:16" s="1" customFormat="1">
      <c r="H1275" s="185"/>
      <c r="I1275" s="185"/>
      <c r="J1275" s="185"/>
      <c r="K1275"/>
      <c r="L1275"/>
      <c r="M1275"/>
      <c r="N1275"/>
      <c r="O1275"/>
      <c r="P1275"/>
    </row>
    <row r="1276" spans="8:16" s="1" customFormat="1">
      <c r="H1276" s="185"/>
      <c r="I1276" s="185"/>
      <c r="J1276" s="185"/>
      <c r="K1276"/>
      <c r="L1276"/>
      <c r="M1276"/>
      <c r="N1276"/>
      <c r="O1276"/>
      <c r="P1276"/>
    </row>
    <row r="1277" spans="8:16" s="1" customFormat="1">
      <c r="H1277" s="185"/>
      <c r="I1277" s="185"/>
      <c r="J1277" s="185"/>
      <c r="K1277"/>
      <c r="L1277"/>
      <c r="M1277"/>
      <c r="N1277"/>
      <c r="O1277"/>
      <c r="P1277"/>
    </row>
    <row r="1278" spans="8:16" s="1" customFormat="1">
      <c r="H1278" s="185"/>
      <c r="I1278" s="185"/>
      <c r="J1278" s="185"/>
      <c r="K1278"/>
      <c r="L1278"/>
      <c r="M1278"/>
      <c r="N1278"/>
      <c r="O1278"/>
      <c r="P1278"/>
    </row>
    <row r="1279" spans="8:16" s="1" customFormat="1">
      <c r="H1279" s="185"/>
      <c r="I1279" s="185"/>
      <c r="J1279" s="185"/>
      <c r="K1279"/>
      <c r="L1279"/>
      <c r="M1279"/>
      <c r="N1279"/>
      <c r="O1279"/>
      <c r="P1279"/>
    </row>
    <row r="1280" spans="8:16" s="1" customFormat="1">
      <c r="H1280" s="185"/>
      <c r="I1280" s="185"/>
      <c r="J1280" s="185"/>
      <c r="K1280"/>
      <c r="L1280"/>
      <c r="M1280"/>
      <c r="N1280"/>
      <c r="O1280"/>
      <c r="P1280"/>
    </row>
    <row r="1281" spans="8:16" s="1" customFormat="1">
      <c r="H1281" s="185"/>
      <c r="I1281" s="185"/>
      <c r="J1281" s="185"/>
      <c r="K1281"/>
      <c r="L1281"/>
      <c r="M1281"/>
      <c r="N1281"/>
      <c r="O1281"/>
      <c r="P1281"/>
    </row>
    <row r="1282" spans="8:16" s="1" customFormat="1">
      <c r="H1282" s="185"/>
      <c r="I1282" s="185"/>
      <c r="J1282" s="185"/>
      <c r="K1282"/>
      <c r="L1282"/>
      <c r="M1282"/>
      <c r="N1282"/>
      <c r="O1282"/>
      <c r="P1282"/>
    </row>
    <row r="1283" spans="8:16" s="1" customFormat="1">
      <c r="H1283" s="185"/>
      <c r="I1283" s="185"/>
      <c r="J1283" s="185"/>
      <c r="K1283"/>
      <c r="L1283"/>
      <c r="M1283"/>
      <c r="N1283"/>
      <c r="O1283"/>
      <c r="P1283"/>
    </row>
    <row r="1284" spans="8:16" s="1" customFormat="1">
      <c r="H1284" s="185"/>
      <c r="I1284" s="185"/>
      <c r="J1284" s="185"/>
      <c r="K1284"/>
      <c r="L1284"/>
      <c r="M1284"/>
      <c r="N1284"/>
      <c r="O1284"/>
      <c r="P1284"/>
    </row>
    <row r="1285" spans="8:16" s="1" customFormat="1">
      <c r="H1285" s="185"/>
      <c r="I1285" s="185"/>
      <c r="J1285" s="185"/>
      <c r="K1285"/>
      <c r="L1285"/>
      <c r="M1285"/>
      <c r="N1285"/>
      <c r="O1285"/>
      <c r="P1285"/>
    </row>
    <row r="1286" spans="8:16" s="1" customFormat="1">
      <c r="H1286" s="185"/>
      <c r="I1286" s="185"/>
      <c r="J1286" s="185"/>
      <c r="K1286"/>
      <c r="L1286"/>
      <c r="M1286"/>
      <c r="N1286"/>
      <c r="O1286"/>
      <c r="P1286"/>
    </row>
    <row r="1287" spans="8:16" s="1" customFormat="1">
      <c r="H1287" s="185"/>
      <c r="I1287" s="185"/>
      <c r="J1287" s="185"/>
      <c r="K1287"/>
      <c r="L1287"/>
      <c r="M1287"/>
      <c r="N1287"/>
      <c r="O1287"/>
      <c r="P1287"/>
    </row>
    <row r="1288" spans="8:16" s="1" customFormat="1">
      <c r="H1288" s="185"/>
      <c r="I1288" s="185"/>
      <c r="J1288" s="185"/>
      <c r="K1288"/>
      <c r="L1288"/>
      <c r="M1288"/>
      <c r="N1288"/>
      <c r="O1288"/>
      <c r="P1288"/>
    </row>
    <row r="1289" spans="8:16" s="1" customFormat="1">
      <c r="H1289" s="185"/>
      <c r="I1289" s="185"/>
      <c r="J1289" s="185"/>
      <c r="K1289"/>
      <c r="L1289"/>
      <c r="M1289"/>
      <c r="N1289"/>
      <c r="O1289"/>
      <c r="P1289"/>
    </row>
    <row r="1290" spans="8:16" s="1" customFormat="1">
      <c r="H1290" s="185"/>
      <c r="I1290" s="185"/>
      <c r="J1290" s="185"/>
      <c r="K1290"/>
      <c r="L1290"/>
      <c r="M1290"/>
      <c r="N1290"/>
      <c r="O1290"/>
      <c r="P1290"/>
    </row>
    <row r="1291" spans="8:16" s="1" customFormat="1">
      <c r="H1291" s="185"/>
      <c r="I1291" s="185"/>
      <c r="J1291" s="185"/>
      <c r="K1291"/>
      <c r="L1291"/>
      <c r="M1291"/>
      <c r="N1291"/>
      <c r="O1291"/>
      <c r="P1291"/>
    </row>
    <row r="1292" spans="8:16" s="1" customFormat="1">
      <c r="H1292" s="185"/>
      <c r="I1292" s="185"/>
      <c r="J1292" s="185"/>
      <c r="K1292"/>
      <c r="L1292"/>
      <c r="M1292"/>
      <c r="N1292"/>
      <c r="O1292"/>
      <c r="P1292"/>
    </row>
    <row r="1293" spans="8:16" s="1" customFormat="1">
      <c r="H1293" s="185"/>
      <c r="I1293" s="185"/>
      <c r="J1293" s="185"/>
      <c r="K1293"/>
      <c r="L1293"/>
      <c r="M1293"/>
      <c r="N1293"/>
      <c r="O1293"/>
      <c r="P1293"/>
    </row>
    <row r="1294" spans="8:16" s="1" customFormat="1">
      <c r="H1294" s="185"/>
      <c r="I1294" s="185"/>
      <c r="J1294" s="185"/>
      <c r="K1294"/>
      <c r="L1294"/>
      <c r="M1294"/>
      <c r="N1294"/>
      <c r="O1294"/>
      <c r="P1294"/>
    </row>
    <row r="1295" spans="8:16" s="1" customFormat="1">
      <c r="H1295" s="185"/>
      <c r="I1295" s="185"/>
      <c r="J1295" s="185"/>
      <c r="K1295"/>
      <c r="L1295"/>
      <c r="M1295"/>
      <c r="N1295"/>
      <c r="O1295"/>
      <c r="P1295"/>
    </row>
    <row r="1296" spans="8:16" s="1" customFormat="1">
      <c r="H1296" s="185"/>
      <c r="I1296" s="185"/>
      <c r="J1296" s="185"/>
      <c r="K1296"/>
      <c r="L1296"/>
      <c r="M1296"/>
      <c r="N1296"/>
      <c r="O1296"/>
      <c r="P1296"/>
    </row>
    <row r="1297" spans="8:16" s="1" customFormat="1">
      <c r="H1297" s="185"/>
      <c r="I1297" s="185"/>
      <c r="J1297" s="185"/>
      <c r="K1297"/>
      <c r="L1297"/>
      <c r="M1297"/>
      <c r="N1297"/>
      <c r="O1297"/>
      <c r="P1297"/>
    </row>
    <row r="1298" spans="8:16" s="1" customFormat="1">
      <c r="H1298" s="185"/>
      <c r="I1298" s="185"/>
      <c r="J1298" s="185"/>
      <c r="K1298"/>
      <c r="L1298"/>
      <c r="M1298"/>
      <c r="N1298"/>
      <c r="O1298"/>
      <c r="P1298"/>
    </row>
    <row r="1299" spans="8:16" s="1" customFormat="1">
      <c r="H1299" s="185"/>
      <c r="I1299" s="185"/>
      <c r="J1299" s="185"/>
      <c r="K1299"/>
      <c r="L1299"/>
      <c r="M1299"/>
      <c r="N1299"/>
      <c r="O1299"/>
      <c r="P1299"/>
    </row>
    <row r="1300" spans="8:16" s="1" customFormat="1">
      <c r="H1300" s="185"/>
      <c r="I1300" s="185"/>
      <c r="J1300" s="185"/>
      <c r="K1300"/>
      <c r="L1300"/>
      <c r="M1300"/>
      <c r="N1300"/>
      <c r="O1300"/>
      <c r="P1300"/>
    </row>
    <row r="1301" spans="8:16" s="1" customFormat="1">
      <c r="H1301" s="185"/>
      <c r="I1301" s="185"/>
      <c r="J1301" s="185"/>
      <c r="K1301"/>
      <c r="L1301"/>
      <c r="M1301"/>
      <c r="N1301"/>
      <c r="O1301"/>
      <c r="P1301"/>
    </row>
    <row r="1302" spans="8:16" s="1" customFormat="1">
      <c r="H1302" s="185"/>
      <c r="I1302" s="185"/>
      <c r="J1302" s="185"/>
      <c r="K1302"/>
      <c r="L1302"/>
      <c r="M1302"/>
      <c r="N1302"/>
      <c r="O1302"/>
      <c r="P1302"/>
    </row>
    <row r="1303" spans="8:16" s="1" customFormat="1">
      <c r="H1303" s="185"/>
      <c r="I1303" s="185"/>
      <c r="J1303" s="185"/>
      <c r="K1303"/>
      <c r="L1303"/>
      <c r="M1303"/>
      <c r="N1303"/>
      <c r="O1303"/>
      <c r="P1303"/>
    </row>
    <row r="1304" spans="8:16" s="1" customFormat="1">
      <c r="H1304" s="185"/>
      <c r="I1304" s="185"/>
      <c r="J1304" s="185"/>
      <c r="K1304"/>
      <c r="L1304"/>
      <c r="M1304"/>
      <c r="N1304"/>
      <c r="O1304"/>
      <c r="P1304"/>
    </row>
    <row r="1305" spans="8:16" s="1" customFormat="1">
      <c r="H1305" s="185"/>
      <c r="I1305" s="185"/>
      <c r="J1305" s="185"/>
      <c r="K1305"/>
      <c r="L1305"/>
      <c r="M1305"/>
      <c r="N1305"/>
      <c r="O1305"/>
      <c r="P1305"/>
    </row>
    <row r="1306" spans="8:16" s="1" customFormat="1">
      <c r="H1306" s="185"/>
      <c r="I1306" s="185"/>
      <c r="J1306" s="185"/>
      <c r="K1306"/>
      <c r="L1306"/>
      <c r="M1306"/>
      <c r="N1306"/>
      <c r="O1306"/>
      <c r="P1306"/>
    </row>
    <row r="1307" spans="8:16" s="1" customFormat="1">
      <c r="H1307" s="185"/>
      <c r="I1307" s="185"/>
      <c r="J1307" s="185"/>
      <c r="K1307"/>
      <c r="L1307"/>
      <c r="M1307"/>
      <c r="N1307"/>
      <c r="O1307"/>
      <c r="P1307"/>
    </row>
    <row r="1308" spans="8:16" s="1" customFormat="1">
      <c r="H1308" s="185"/>
      <c r="I1308" s="185"/>
      <c r="J1308" s="185"/>
      <c r="K1308"/>
      <c r="L1308"/>
      <c r="M1308"/>
      <c r="N1308"/>
      <c r="O1308"/>
      <c r="P1308"/>
    </row>
    <row r="1309" spans="8:16" s="1" customFormat="1">
      <c r="H1309" s="185"/>
      <c r="I1309" s="185"/>
      <c r="J1309" s="185"/>
      <c r="K1309"/>
      <c r="L1309"/>
      <c r="M1309"/>
      <c r="N1309"/>
      <c r="O1309"/>
      <c r="P1309"/>
    </row>
    <row r="1310" spans="8:16" s="1" customFormat="1">
      <c r="H1310" s="185"/>
      <c r="I1310" s="185"/>
      <c r="J1310" s="185"/>
      <c r="K1310"/>
      <c r="L1310"/>
      <c r="M1310"/>
      <c r="N1310"/>
      <c r="O1310"/>
      <c r="P1310"/>
    </row>
    <row r="1311" spans="8:16" s="1" customFormat="1">
      <c r="H1311" s="185"/>
      <c r="I1311" s="185"/>
      <c r="J1311" s="185"/>
      <c r="K1311"/>
      <c r="L1311"/>
      <c r="M1311"/>
      <c r="N1311"/>
      <c r="O1311"/>
      <c r="P1311"/>
    </row>
    <row r="1312" spans="8:16" s="1" customFormat="1">
      <c r="H1312" s="185"/>
      <c r="I1312" s="185"/>
      <c r="J1312" s="185"/>
      <c r="K1312"/>
      <c r="L1312"/>
      <c r="M1312"/>
      <c r="N1312"/>
      <c r="O1312"/>
      <c r="P1312"/>
    </row>
    <row r="1313" spans="8:16" s="1" customFormat="1">
      <c r="H1313" s="185"/>
      <c r="I1313" s="185"/>
      <c r="J1313" s="185"/>
      <c r="K1313"/>
      <c r="L1313"/>
      <c r="M1313"/>
      <c r="N1313"/>
      <c r="O1313"/>
      <c r="P1313"/>
    </row>
    <row r="1314" spans="8:16" s="1" customFormat="1">
      <c r="H1314" s="185"/>
      <c r="I1314" s="185"/>
      <c r="J1314" s="185"/>
      <c r="K1314"/>
      <c r="L1314"/>
      <c r="M1314"/>
      <c r="N1314"/>
      <c r="O1314"/>
      <c r="P1314"/>
    </row>
    <row r="1315" spans="8:16" s="1" customFormat="1">
      <c r="H1315" s="185"/>
      <c r="I1315" s="185"/>
      <c r="J1315" s="185"/>
      <c r="K1315"/>
      <c r="L1315"/>
      <c r="M1315"/>
      <c r="N1315"/>
      <c r="O1315"/>
      <c r="P1315"/>
    </row>
    <row r="1316" spans="8:16" s="1" customFormat="1">
      <c r="H1316" s="185"/>
      <c r="I1316" s="185"/>
      <c r="J1316" s="185"/>
      <c r="K1316"/>
      <c r="L1316"/>
      <c r="M1316"/>
      <c r="N1316"/>
      <c r="O1316"/>
      <c r="P1316"/>
    </row>
    <row r="1317" spans="8:16" s="1" customFormat="1">
      <c r="H1317" s="185"/>
      <c r="I1317" s="185"/>
      <c r="J1317" s="185"/>
      <c r="K1317"/>
      <c r="L1317"/>
      <c r="M1317"/>
      <c r="N1317"/>
      <c r="O1317"/>
      <c r="P1317"/>
    </row>
    <row r="1318" spans="8:16" s="1" customFormat="1">
      <c r="H1318" s="185"/>
      <c r="I1318" s="185"/>
      <c r="J1318" s="185"/>
      <c r="K1318"/>
      <c r="L1318"/>
      <c r="M1318"/>
      <c r="N1318"/>
      <c r="O1318"/>
      <c r="P1318"/>
    </row>
    <row r="1319" spans="8:16" s="1" customFormat="1">
      <c r="H1319" s="185"/>
      <c r="I1319" s="185"/>
      <c r="J1319" s="185"/>
      <c r="K1319"/>
      <c r="L1319"/>
      <c r="M1319"/>
      <c r="N1319"/>
      <c r="O1319"/>
      <c r="P1319"/>
    </row>
    <row r="1320" spans="8:16" s="1" customFormat="1">
      <c r="H1320" s="185"/>
      <c r="I1320" s="185"/>
      <c r="J1320" s="185"/>
      <c r="K1320"/>
      <c r="L1320"/>
      <c r="M1320"/>
      <c r="N1320"/>
      <c r="O1320"/>
      <c r="P1320"/>
    </row>
    <row r="1321" spans="8:16" s="1" customFormat="1">
      <c r="H1321" s="185"/>
      <c r="I1321" s="185"/>
      <c r="J1321" s="185"/>
      <c r="K1321"/>
      <c r="L1321"/>
      <c r="M1321"/>
      <c r="N1321"/>
      <c r="O1321"/>
      <c r="P1321"/>
    </row>
    <row r="1322" spans="8:16" s="1" customFormat="1">
      <c r="H1322" s="185"/>
      <c r="I1322" s="185"/>
      <c r="J1322" s="185"/>
      <c r="K1322"/>
      <c r="L1322"/>
      <c r="M1322"/>
      <c r="N1322"/>
      <c r="O1322"/>
      <c r="P1322"/>
    </row>
    <row r="1323" spans="8:16" s="1" customFormat="1">
      <c r="H1323" s="185"/>
      <c r="I1323" s="185"/>
      <c r="J1323" s="185"/>
      <c r="K1323"/>
      <c r="L1323"/>
      <c r="M1323"/>
      <c r="N1323"/>
      <c r="O1323"/>
      <c r="P1323"/>
    </row>
    <row r="1324" spans="8:16" s="1" customFormat="1">
      <c r="H1324" s="185"/>
      <c r="I1324" s="185"/>
      <c r="J1324" s="185"/>
      <c r="K1324"/>
      <c r="L1324"/>
      <c r="M1324"/>
      <c r="N1324"/>
      <c r="O1324"/>
      <c r="P1324"/>
    </row>
    <row r="1325" spans="8:16" s="1" customFormat="1">
      <c r="H1325" s="185"/>
      <c r="I1325" s="185"/>
      <c r="J1325" s="185"/>
      <c r="K1325"/>
      <c r="L1325"/>
      <c r="M1325"/>
      <c r="N1325"/>
      <c r="O1325"/>
      <c r="P1325"/>
    </row>
    <row r="1326" spans="8:16" s="1" customFormat="1">
      <c r="H1326" s="185"/>
      <c r="I1326" s="185"/>
      <c r="J1326" s="185"/>
      <c r="K1326"/>
      <c r="L1326"/>
      <c r="M1326"/>
      <c r="N1326"/>
      <c r="O1326"/>
      <c r="P1326"/>
    </row>
    <row r="1327" spans="8:16" s="1" customFormat="1">
      <c r="H1327" s="185"/>
      <c r="I1327" s="185"/>
      <c r="J1327" s="185"/>
      <c r="K1327"/>
      <c r="L1327"/>
      <c r="M1327"/>
      <c r="N1327"/>
      <c r="O1327"/>
      <c r="P1327"/>
    </row>
    <row r="1328" spans="8:16" s="1" customFormat="1">
      <c r="H1328" s="185"/>
      <c r="I1328" s="185"/>
      <c r="J1328" s="185"/>
      <c r="K1328"/>
      <c r="L1328"/>
      <c r="M1328"/>
      <c r="N1328"/>
      <c r="O1328"/>
      <c r="P1328"/>
    </row>
    <row r="1329" spans="8:16" s="1" customFormat="1">
      <c r="H1329" s="185"/>
      <c r="I1329" s="185"/>
      <c r="J1329" s="185"/>
      <c r="K1329"/>
      <c r="L1329"/>
      <c r="M1329"/>
      <c r="N1329"/>
      <c r="O1329"/>
      <c r="P1329"/>
    </row>
    <row r="1330" spans="8:16" s="1" customFormat="1">
      <c r="H1330" s="185"/>
      <c r="I1330" s="185"/>
      <c r="J1330" s="185"/>
      <c r="K1330"/>
      <c r="L1330"/>
      <c r="M1330"/>
      <c r="N1330"/>
      <c r="O1330"/>
      <c r="P1330"/>
    </row>
    <row r="1331" spans="8:16" s="1" customFormat="1">
      <c r="H1331" s="185"/>
      <c r="I1331" s="185"/>
      <c r="J1331" s="185"/>
      <c r="K1331"/>
      <c r="L1331"/>
      <c r="M1331"/>
      <c r="N1331"/>
      <c r="O1331"/>
      <c r="P1331"/>
    </row>
    <row r="1332" spans="8:16" s="1" customFormat="1">
      <c r="H1332" s="185"/>
      <c r="I1332" s="185"/>
      <c r="J1332" s="185"/>
      <c r="K1332"/>
      <c r="L1332"/>
      <c r="M1332"/>
      <c r="N1332"/>
      <c r="O1332"/>
      <c r="P1332"/>
    </row>
    <row r="1333" spans="8:16" s="1" customFormat="1">
      <c r="H1333" s="185"/>
      <c r="I1333" s="185"/>
      <c r="J1333" s="185"/>
      <c r="K1333"/>
      <c r="L1333"/>
      <c r="M1333"/>
      <c r="N1333"/>
      <c r="O1333"/>
      <c r="P1333"/>
    </row>
    <row r="1334" spans="8:16" s="1" customFormat="1">
      <c r="H1334" s="185"/>
      <c r="I1334" s="185"/>
      <c r="J1334" s="185"/>
      <c r="K1334"/>
      <c r="L1334"/>
      <c r="M1334"/>
      <c r="N1334"/>
      <c r="O1334"/>
      <c r="P1334"/>
    </row>
    <row r="1335" spans="8:16" s="1" customFormat="1">
      <c r="H1335" s="185"/>
      <c r="I1335" s="185"/>
      <c r="J1335" s="185"/>
      <c r="K1335"/>
      <c r="L1335"/>
      <c r="M1335"/>
      <c r="N1335"/>
      <c r="O1335"/>
      <c r="P1335"/>
    </row>
    <row r="1336" spans="8:16" s="1" customFormat="1">
      <c r="H1336" s="185"/>
      <c r="I1336" s="185"/>
      <c r="J1336" s="185"/>
      <c r="K1336"/>
      <c r="L1336"/>
      <c r="M1336"/>
      <c r="N1336"/>
      <c r="O1336"/>
      <c r="P1336"/>
    </row>
    <row r="1337" spans="8:16" s="1" customFormat="1">
      <c r="H1337" s="185"/>
      <c r="I1337" s="185"/>
      <c r="J1337" s="185"/>
      <c r="K1337"/>
      <c r="L1337"/>
      <c r="M1337"/>
      <c r="N1337"/>
      <c r="O1337"/>
      <c r="P1337"/>
    </row>
    <row r="1338" spans="8:16" s="1" customFormat="1">
      <c r="H1338" s="185"/>
      <c r="I1338" s="185"/>
      <c r="J1338" s="185"/>
      <c r="K1338"/>
      <c r="L1338"/>
      <c r="M1338"/>
      <c r="N1338"/>
      <c r="O1338"/>
      <c r="P1338"/>
    </row>
    <row r="1339" spans="8:16" s="1" customFormat="1">
      <c r="H1339" s="185"/>
      <c r="I1339" s="185"/>
      <c r="J1339" s="185"/>
      <c r="K1339"/>
      <c r="L1339"/>
      <c r="M1339"/>
      <c r="N1339"/>
      <c r="O1339"/>
      <c r="P1339"/>
    </row>
    <row r="1340" spans="8:16" s="1" customFormat="1">
      <c r="H1340" s="185"/>
      <c r="I1340" s="185"/>
      <c r="J1340" s="185"/>
      <c r="K1340"/>
      <c r="L1340"/>
      <c r="M1340"/>
      <c r="N1340"/>
      <c r="O1340"/>
      <c r="P1340"/>
    </row>
    <row r="1341" spans="8:16" s="1" customFormat="1">
      <c r="H1341" s="185"/>
      <c r="I1341" s="185"/>
      <c r="J1341" s="185"/>
      <c r="K1341"/>
      <c r="L1341"/>
      <c r="M1341"/>
      <c r="N1341"/>
      <c r="O1341"/>
      <c r="P1341"/>
    </row>
    <row r="1342" spans="8:16" s="1" customFormat="1">
      <c r="H1342" s="185"/>
      <c r="I1342" s="185"/>
      <c r="J1342" s="185"/>
      <c r="K1342"/>
      <c r="L1342"/>
      <c r="M1342"/>
      <c r="N1342"/>
      <c r="O1342"/>
      <c r="P1342"/>
    </row>
    <row r="1343" spans="8:16" s="1" customFormat="1">
      <c r="H1343" s="185"/>
      <c r="I1343" s="185"/>
      <c r="J1343" s="185"/>
      <c r="K1343"/>
      <c r="L1343"/>
      <c r="M1343"/>
      <c r="N1343"/>
      <c r="O1343"/>
      <c r="P1343"/>
    </row>
    <row r="1344" spans="8:16" s="1" customFormat="1">
      <c r="H1344" s="185"/>
      <c r="I1344" s="185"/>
      <c r="J1344" s="185"/>
      <c r="K1344"/>
      <c r="L1344"/>
      <c r="M1344"/>
      <c r="N1344"/>
      <c r="O1344"/>
      <c r="P1344"/>
    </row>
    <row r="1345" spans="8:16" s="1" customFormat="1">
      <c r="H1345" s="185"/>
      <c r="I1345" s="185"/>
      <c r="J1345" s="185"/>
      <c r="K1345"/>
      <c r="L1345"/>
      <c r="M1345"/>
      <c r="N1345"/>
      <c r="O1345"/>
      <c r="P1345"/>
    </row>
    <row r="1346" spans="8:16" s="1" customFormat="1">
      <c r="H1346" s="185"/>
      <c r="I1346" s="185"/>
      <c r="J1346" s="185"/>
      <c r="K1346"/>
      <c r="L1346"/>
      <c r="M1346"/>
      <c r="N1346"/>
      <c r="O1346"/>
      <c r="P1346"/>
    </row>
    <row r="1347" spans="8:16" s="1" customFormat="1">
      <c r="H1347" s="185"/>
      <c r="I1347" s="185"/>
      <c r="J1347" s="185"/>
      <c r="K1347"/>
      <c r="L1347"/>
      <c r="M1347"/>
      <c r="N1347"/>
      <c r="O1347"/>
      <c r="P1347"/>
    </row>
    <row r="1348" spans="8:16" s="1" customFormat="1">
      <c r="H1348" s="185"/>
      <c r="I1348" s="185"/>
      <c r="J1348" s="185"/>
      <c r="K1348"/>
      <c r="L1348"/>
      <c r="M1348"/>
      <c r="N1348"/>
      <c r="O1348"/>
      <c r="P1348"/>
    </row>
    <row r="1349" spans="8:16" s="1" customFormat="1">
      <c r="H1349" s="185"/>
      <c r="I1349" s="185"/>
      <c r="J1349" s="185"/>
      <c r="K1349"/>
      <c r="L1349"/>
      <c r="M1349"/>
      <c r="N1349"/>
      <c r="O1349"/>
      <c r="P1349"/>
    </row>
    <row r="1350" spans="8:16" s="1" customFormat="1">
      <c r="H1350" s="185"/>
      <c r="I1350" s="185"/>
      <c r="J1350" s="185"/>
      <c r="K1350"/>
      <c r="L1350"/>
      <c r="M1350"/>
      <c r="N1350"/>
      <c r="O1350"/>
      <c r="P1350"/>
    </row>
    <row r="1351" spans="8:16" s="1" customFormat="1">
      <c r="H1351" s="185"/>
      <c r="I1351" s="185"/>
      <c r="J1351" s="185"/>
      <c r="K1351"/>
      <c r="L1351"/>
      <c r="M1351"/>
      <c r="N1351"/>
      <c r="O1351"/>
      <c r="P1351"/>
    </row>
    <row r="1352" spans="8:16" s="1" customFormat="1">
      <c r="H1352" s="185"/>
      <c r="I1352" s="185"/>
      <c r="J1352" s="185"/>
      <c r="K1352"/>
      <c r="L1352"/>
      <c r="M1352"/>
      <c r="N1352"/>
      <c r="O1352"/>
      <c r="P1352"/>
    </row>
    <row r="1353" spans="8:16" s="1" customFormat="1">
      <c r="H1353" s="185"/>
      <c r="I1353" s="185"/>
      <c r="J1353" s="185"/>
      <c r="K1353"/>
      <c r="L1353"/>
      <c r="M1353"/>
      <c r="N1353"/>
      <c r="O1353"/>
      <c r="P1353"/>
    </row>
    <row r="1354" spans="8:16" s="1" customFormat="1">
      <c r="H1354" s="185"/>
      <c r="I1354" s="185"/>
      <c r="J1354" s="185"/>
      <c r="K1354"/>
      <c r="L1354"/>
      <c r="M1354"/>
      <c r="N1354"/>
      <c r="O1354"/>
      <c r="P1354"/>
    </row>
    <row r="1355" spans="8:16" s="1" customFormat="1">
      <c r="H1355" s="185"/>
      <c r="I1355" s="185"/>
      <c r="J1355" s="185"/>
      <c r="K1355"/>
      <c r="L1355"/>
      <c r="M1355"/>
      <c r="N1355"/>
      <c r="O1355"/>
      <c r="P1355"/>
    </row>
    <row r="1356" spans="8:16" s="1" customFormat="1">
      <c r="H1356" s="185"/>
      <c r="I1356" s="185"/>
      <c r="J1356" s="185"/>
      <c r="K1356"/>
      <c r="L1356"/>
      <c r="M1356"/>
      <c r="N1356"/>
      <c r="O1356"/>
      <c r="P1356"/>
    </row>
    <row r="1357" spans="8:16" s="1" customFormat="1">
      <c r="H1357" s="185"/>
      <c r="I1357" s="185"/>
      <c r="J1357" s="185"/>
      <c r="K1357"/>
      <c r="L1357"/>
      <c r="M1357"/>
      <c r="N1357"/>
      <c r="O1357"/>
      <c r="P1357"/>
    </row>
    <row r="1358" spans="8:16" s="1" customFormat="1">
      <c r="H1358" s="185"/>
      <c r="I1358" s="185"/>
      <c r="J1358" s="185"/>
      <c r="K1358"/>
      <c r="L1358"/>
      <c r="M1358"/>
      <c r="N1358"/>
      <c r="O1358"/>
      <c r="P1358"/>
    </row>
    <row r="1359" spans="8:16" s="1" customFormat="1">
      <c r="H1359" s="185"/>
      <c r="I1359" s="185"/>
      <c r="J1359" s="185"/>
      <c r="K1359"/>
      <c r="L1359"/>
      <c r="M1359"/>
      <c r="N1359"/>
      <c r="O1359"/>
      <c r="P1359"/>
    </row>
    <row r="1360" spans="8:16" s="1" customFormat="1">
      <c r="H1360" s="185"/>
      <c r="I1360" s="185"/>
      <c r="J1360" s="185"/>
      <c r="K1360"/>
      <c r="L1360"/>
      <c r="M1360"/>
      <c r="N1360"/>
      <c r="O1360"/>
      <c r="P1360"/>
    </row>
    <row r="1361" spans="8:16" s="1" customFormat="1">
      <c r="H1361" s="185"/>
      <c r="I1361" s="185"/>
      <c r="J1361" s="185"/>
      <c r="K1361"/>
      <c r="L1361"/>
      <c r="M1361"/>
      <c r="N1361"/>
      <c r="O1361"/>
      <c r="P1361"/>
    </row>
    <row r="1362" spans="8:16" s="1" customFormat="1">
      <c r="H1362" s="185"/>
      <c r="I1362" s="185"/>
      <c r="J1362" s="185"/>
      <c r="K1362"/>
      <c r="L1362"/>
      <c r="M1362"/>
      <c r="N1362"/>
      <c r="O1362"/>
      <c r="P1362"/>
    </row>
    <row r="1363" spans="8:16" s="1" customFormat="1">
      <c r="H1363" s="185"/>
      <c r="I1363" s="185"/>
      <c r="J1363" s="185"/>
      <c r="K1363"/>
      <c r="L1363"/>
      <c r="M1363"/>
      <c r="N1363"/>
      <c r="O1363"/>
      <c r="P1363"/>
    </row>
    <row r="1364" spans="8:16" s="1" customFormat="1">
      <c r="H1364" s="185"/>
      <c r="I1364" s="185"/>
      <c r="J1364" s="185"/>
      <c r="K1364"/>
      <c r="L1364"/>
      <c r="M1364"/>
      <c r="N1364"/>
      <c r="O1364"/>
      <c r="P1364"/>
    </row>
    <row r="1365" spans="8:16" s="1" customFormat="1">
      <c r="H1365" s="185"/>
      <c r="I1365" s="185"/>
      <c r="J1365" s="185"/>
      <c r="K1365"/>
      <c r="L1365"/>
      <c r="M1365"/>
      <c r="N1365"/>
      <c r="O1365"/>
      <c r="P1365"/>
    </row>
    <row r="1366" spans="8:16" s="1" customFormat="1">
      <c r="H1366" s="185"/>
      <c r="I1366" s="185"/>
      <c r="J1366" s="185"/>
      <c r="K1366"/>
      <c r="L1366"/>
      <c r="M1366"/>
      <c r="N1366"/>
      <c r="O1366"/>
      <c r="P1366"/>
    </row>
    <row r="1367" spans="8:16" s="1" customFormat="1">
      <c r="H1367" s="185"/>
      <c r="I1367" s="185"/>
      <c r="J1367" s="185"/>
      <c r="K1367"/>
      <c r="L1367"/>
      <c r="M1367"/>
      <c r="N1367"/>
      <c r="O1367"/>
      <c r="P1367"/>
    </row>
    <row r="1368" spans="8:16" s="1" customFormat="1">
      <c r="H1368" s="185"/>
      <c r="I1368" s="185"/>
      <c r="J1368" s="185"/>
      <c r="K1368"/>
      <c r="L1368"/>
      <c r="M1368"/>
      <c r="N1368"/>
      <c r="O1368"/>
      <c r="P1368"/>
    </row>
    <row r="1369" spans="8:16" s="1" customFormat="1">
      <c r="H1369" s="185"/>
      <c r="I1369" s="185"/>
      <c r="J1369" s="185"/>
      <c r="K1369"/>
      <c r="L1369"/>
      <c r="M1369"/>
      <c r="N1369"/>
      <c r="O1369"/>
      <c r="P1369"/>
    </row>
    <row r="1370" spans="8:16" s="1" customFormat="1">
      <c r="H1370" s="185"/>
      <c r="I1370" s="185"/>
      <c r="J1370" s="185"/>
      <c r="K1370"/>
      <c r="L1370"/>
      <c r="M1370"/>
      <c r="N1370"/>
      <c r="O1370"/>
      <c r="P1370"/>
    </row>
    <row r="1371" spans="8:16" s="1" customFormat="1">
      <c r="H1371" s="185"/>
      <c r="I1371" s="185"/>
      <c r="J1371" s="185"/>
      <c r="K1371"/>
      <c r="L1371"/>
      <c r="M1371"/>
      <c r="N1371"/>
      <c r="O1371"/>
      <c r="P1371"/>
    </row>
    <row r="1372" spans="8:16" s="1" customFormat="1">
      <c r="H1372" s="185"/>
      <c r="I1372" s="185"/>
      <c r="J1372" s="185"/>
      <c r="K1372"/>
      <c r="L1372"/>
      <c r="M1372"/>
      <c r="N1372"/>
      <c r="O1372"/>
      <c r="P1372"/>
    </row>
    <row r="1373" spans="8:16" s="1" customFormat="1">
      <c r="H1373" s="185"/>
      <c r="I1373" s="185"/>
      <c r="J1373" s="185"/>
      <c r="K1373"/>
      <c r="L1373"/>
      <c r="M1373"/>
      <c r="N1373"/>
      <c r="O1373"/>
      <c r="P1373"/>
    </row>
    <row r="1374" spans="8:16" s="1" customFormat="1">
      <c r="H1374" s="185"/>
      <c r="I1374" s="185"/>
      <c r="J1374" s="185"/>
      <c r="K1374"/>
      <c r="L1374"/>
      <c r="M1374"/>
      <c r="N1374"/>
      <c r="O1374"/>
      <c r="P1374"/>
    </row>
    <row r="1375" spans="8:16" s="1" customFormat="1">
      <c r="H1375" s="185"/>
      <c r="I1375" s="185"/>
      <c r="J1375" s="185"/>
      <c r="K1375"/>
      <c r="L1375"/>
      <c r="M1375"/>
      <c r="N1375"/>
      <c r="O1375"/>
      <c r="P1375"/>
    </row>
    <row r="1376" spans="8:16" s="1" customFormat="1">
      <c r="H1376" s="185"/>
      <c r="I1376" s="185"/>
      <c r="J1376" s="185"/>
      <c r="K1376"/>
      <c r="L1376"/>
      <c r="M1376"/>
      <c r="N1376"/>
      <c r="O1376"/>
      <c r="P1376"/>
    </row>
    <row r="1377" spans="8:16" s="1" customFormat="1">
      <c r="H1377" s="185"/>
      <c r="I1377" s="185"/>
      <c r="J1377" s="185"/>
      <c r="K1377"/>
      <c r="L1377"/>
      <c r="M1377"/>
      <c r="N1377"/>
      <c r="O1377"/>
      <c r="P1377"/>
    </row>
    <row r="1378" spans="8:16" s="1" customFormat="1">
      <c r="H1378" s="185"/>
      <c r="I1378" s="185"/>
      <c r="J1378" s="185"/>
      <c r="K1378"/>
      <c r="L1378"/>
      <c r="M1378"/>
      <c r="N1378"/>
      <c r="O1378"/>
      <c r="P1378"/>
    </row>
    <row r="1379" spans="8:16" s="1" customFormat="1">
      <c r="H1379" s="185"/>
      <c r="I1379" s="185"/>
      <c r="J1379" s="185"/>
      <c r="K1379"/>
      <c r="L1379"/>
      <c r="M1379"/>
      <c r="N1379"/>
      <c r="O1379"/>
      <c r="P1379"/>
    </row>
    <row r="1380" spans="8:16" s="1" customFormat="1">
      <c r="H1380" s="185"/>
      <c r="I1380" s="185"/>
      <c r="J1380" s="185"/>
      <c r="K1380"/>
      <c r="L1380"/>
      <c r="M1380"/>
      <c r="N1380"/>
      <c r="O1380"/>
      <c r="P1380"/>
    </row>
    <row r="1381" spans="8:16" s="1" customFormat="1">
      <c r="H1381" s="185"/>
      <c r="I1381" s="185"/>
      <c r="J1381" s="185"/>
      <c r="K1381"/>
      <c r="L1381"/>
      <c r="M1381"/>
      <c r="N1381"/>
      <c r="O1381"/>
      <c r="P1381"/>
    </row>
    <row r="1382" spans="8:16" s="1" customFormat="1">
      <c r="H1382" s="185"/>
      <c r="I1382" s="185"/>
      <c r="J1382" s="185"/>
      <c r="K1382"/>
      <c r="L1382"/>
      <c r="M1382"/>
      <c r="N1382"/>
      <c r="O1382"/>
      <c r="P1382"/>
    </row>
    <row r="1383" spans="8:16" s="1" customFormat="1">
      <c r="H1383" s="185"/>
      <c r="I1383" s="185"/>
      <c r="J1383" s="185"/>
      <c r="K1383"/>
      <c r="L1383"/>
      <c r="M1383"/>
      <c r="N1383"/>
      <c r="O1383"/>
      <c r="P1383"/>
    </row>
    <row r="1384" spans="8:16" s="1" customFormat="1">
      <c r="H1384" s="185"/>
      <c r="I1384" s="185"/>
      <c r="J1384" s="185"/>
      <c r="K1384"/>
      <c r="L1384"/>
      <c r="M1384"/>
      <c r="N1384"/>
      <c r="O1384"/>
      <c r="P1384"/>
    </row>
    <row r="1385" spans="8:16" s="1" customFormat="1">
      <c r="H1385" s="185"/>
      <c r="I1385" s="185"/>
      <c r="J1385" s="185"/>
      <c r="K1385"/>
      <c r="L1385"/>
      <c r="M1385"/>
      <c r="N1385"/>
      <c r="O1385"/>
      <c r="P1385"/>
    </row>
    <row r="1386" spans="8:16" s="1" customFormat="1">
      <c r="H1386" s="185"/>
      <c r="I1386" s="185"/>
      <c r="J1386" s="185"/>
      <c r="K1386"/>
      <c r="L1386"/>
      <c r="M1386"/>
      <c r="N1386"/>
      <c r="O1386"/>
      <c r="P1386"/>
    </row>
    <row r="1387" spans="8:16" s="1" customFormat="1">
      <c r="H1387" s="185"/>
      <c r="I1387" s="185"/>
      <c r="J1387" s="185"/>
      <c r="K1387"/>
      <c r="L1387"/>
      <c r="M1387"/>
      <c r="N1387"/>
      <c r="O1387"/>
      <c r="P1387"/>
    </row>
    <row r="1388" spans="8:16" s="1" customFormat="1">
      <c r="H1388" s="185"/>
      <c r="I1388" s="185"/>
      <c r="J1388" s="185"/>
      <c r="K1388"/>
      <c r="L1388"/>
      <c r="M1388"/>
      <c r="N1388"/>
      <c r="O1388"/>
      <c r="P1388"/>
    </row>
    <row r="1389" spans="8:16" s="1" customFormat="1">
      <c r="H1389" s="185"/>
      <c r="I1389" s="185"/>
      <c r="J1389" s="185"/>
      <c r="K1389"/>
      <c r="L1389"/>
      <c r="M1389"/>
      <c r="N1389"/>
      <c r="O1389"/>
      <c r="P1389"/>
    </row>
    <row r="1390" spans="8:16" s="1" customFormat="1">
      <c r="H1390" s="185"/>
      <c r="I1390" s="185"/>
      <c r="J1390" s="185"/>
      <c r="K1390"/>
      <c r="L1390"/>
      <c r="M1390"/>
      <c r="N1390"/>
      <c r="O1390"/>
      <c r="P1390"/>
    </row>
    <row r="1391" spans="8:16" s="1" customFormat="1">
      <c r="H1391" s="185"/>
      <c r="I1391" s="185"/>
      <c r="J1391" s="185"/>
      <c r="K1391"/>
      <c r="L1391"/>
      <c r="M1391"/>
      <c r="N1391"/>
      <c r="O1391"/>
      <c r="P1391"/>
    </row>
    <row r="1392" spans="8:16" s="1" customFormat="1">
      <c r="H1392" s="185"/>
      <c r="I1392" s="185"/>
      <c r="J1392" s="185"/>
      <c r="K1392"/>
      <c r="L1392"/>
      <c r="M1392"/>
      <c r="N1392"/>
      <c r="O1392"/>
      <c r="P1392"/>
    </row>
    <row r="1393" spans="8:16" s="1" customFormat="1">
      <c r="H1393" s="185"/>
      <c r="I1393" s="185"/>
      <c r="J1393" s="185"/>
      <c r="K1393"/>
      <c r="L1393"/>
      <c r="M1393"/>
      <c r="N1393"/>
      <c r="O1393"/>
      <c r="P1393"/>
    </row>
    <row r="1394" spans="8:16" s="1" customFormat="1">
      <c r="H1394" s="185"/>
      <c r="I1394" s="185"/>
      <c r="J1394" s="185"/>
      <c r="K1394"/>
      <c r="L1394"/>
      <c r="M1394"/>
      <c r="N1394"/>
      <c r="O1394"/>
      <c r="P1394"/>
    </row>
    <row r="1395" spans="8:16" s="1" customFormat="1">
      <c r="H1395" s="185"/>
      <c r="I1395" s="185"/>
      <c r="J1395" s="185"/>
      <c r="K1395"/>
      <c r="L1395"/>
      <c r="M1395"/>
      <c r="N1395"/>
      <c r="O1395"/>
      <c r="P1395"/>
    </row>
    <row r="1396" spans="8:16" s="1" customFormat="1">
      <c r="H1396" s="185"/>
      <c r="I1396" s="185"/>
      <c r="J1396" s="185"/>
      <c r="K1396"/>
      <c r="L1396"/>
      <c r="M1396"/>
      <c r="N1396"/>
      <c r="O1396"/>
      <c r="P1396"/>
    </row>
    <row r="1397" spans="8:16" s="1" customFormat="1">
      <c r="H1397" s="185"/>
      <c r="I1397" s="185"/>
      <c r="J1397" s="185"/>
      <c r="K1397"/>
      <c r="L1397"/>
      <c r="M1397"/>
      <c r="N1397"/>
      <c r="O1397"/>
      <c r="P1397"/>
    </row>
    <row r="1398" spans="8:16" s="1" customFormat="1">
      <c r="H1398" s="185"/>
      <c r="I1398" s="185"/>
      <c r="J1398" s="185"/>
      <c r="K1398"/>
      <c r="L1398"/>
      <c r="M1398"/>
      <c r="N1398"/>
      <c r="O1398"/>
      <c r="P1398"/>
    </row>
    <row r="1399" spans="8:16" s="1" customFormat="1">
      <c r="H1399" s="185"/>
      <c r="I1399" s="185"/>
      <c r="J1399" s="185"/>
      <c r="K1399"/>
      <c r="L1399"/>
      <c r="M1399"/>
      <c r="N1399"/>
      <c r="O1399"/>
      <c r="P1399"/>
    </row>
    <row r="1400" spans="8:16" s="1" customFormat="1">
      <c r="H1400" s="185"/>
      <c r="I1400" s="185"/>
      <c r="J1400" s="185"/>
      <c r="K1400"/>
      <c r="L1400"/>
      <c r="M1400"/>
      <c r="N1400"/>
      <c r="O1400"/>
      <c r="P1400"/>
    </row>
    <row r="1401" spans="8:16" s="1" customFormat="1">
      <c r="H1401" s="185"/>
      <c r="I1401" s="185"/>
      <c r="J1401" s="185"/>
      <c r="K1401"/>
      <c r="L1401"/>
      <c r="M1401"/>
      <c r="N1401"/>
      <c r="O1401"/>
      <c r="P1401"/>
    </row>
    <row r="1402" spans="8:16" s="1" customFormat="1">
      <c r="H1402" s="185"/>
      <c r="I1402" s="185"/>
      <c r="J1402" s="185"/>
      <c r="K1402"/>
      <c r="L1402"/>
      <c r="M1402"/>
      <c r="N1402"/>
      <c r="O1402"/>
      <c r="P1402"/>
    </row>
    <row r="1403" spans="8:16" s="1" customFormat="1">
      <c r="H1403" s="185"/>
      <c r="I1403" s="185"/>
      <c r="J1403" s="185"/>
      <c r="K1403"/>
      <c r="L1403"/>
      <c r="M1403"/>
      <c r="N1403"/>
      <c r="O1403"/>
      <c r="P1403"/>
    </row>
    <row r="1404" spans="8:16" s="1" customFormat="1">
      <c r="H1404" s="185"/>
      <c r="I1404" s="185"/>
      <c r="J1404" s="185"/>
      <c r="K1404"/>
      <c r="L1404"/>
      <c r="M1404"/>
      <c r="N1404"/>
      <c r="O1404"/>
      <c r="P1404"/>
    </row>
    <row r="1405" spans="8:16" s="1" customFormat="1">
      <c r="H1405" s="185"/>
      <c r="I1405" s="185"/>
      <c r="J1405" s="185"/>
      <c r="K1405"/>
      <c r="L1405"/>
      <c r="M1405"/>
      <c r="N1405"/>
      <c r="O1405"/>
      <c r="P1405"/>
    </row>
    <row r="1406" spans="8:16" s="1" customFormat="1">
      <c r="H1406" s="185"/>
      <c r="I1406" s="185"/>
      <c r="J1406" s="185"/>
      <c r="K1406"/>
      <c r="L1406"/>
      <c r="M1406"/>
      <c r="N1406"/>
      <c r="O1406"/>
      <c r="P1406"/>
    </row>
    <row r="1407" spans="8:16" s="1" customFormat="1">
      <c r="H1407" s="185"/>
      <c r="I1407" s="185"/>
      <c r="J1407" s="185"/>
      <c r="K1407"/>
      <c r="L1407"/>
      <c r="M1407"/>
      <c r="N1407"/>
      <c r="O1407"/>
      <c r="P1407"/>
    </row>
    <row r="1408" spans="8:16" s="1" customFormat="1">
      <c r="H1408" s="185"/>
      <c r="I1408" s="185"/>
      <c r="J1408" s="185"/>
      <c r="K1408"/>
      <c r="L1408"/>
      <c r="M1408"/>
      <c r="N1408"/>
      <c r="O1408"/>
      <c r="P1408"/>
    </row>
    <row r="1409" spans="8:16" s="1" customFormat="1">
      <c r="H1409" s="185"/>
      <c r="I1409" s="185"/>
      <c r="J1409" s="185"/>
      <c r="K1409"/>
      <c r="L1409"/>
      <c r="M1409"/>
      <c r="N1409"/>
      <c r="O1409"/>
      <c r="P1409"/>
    </row>
    <row r="1410" spans="8:16" s="1" customFormat="1">
      <c r="H1410" s="185"/>
      <c r="I1410" s="185"/>
      <c r="J1410" s="185"/>
      <c r="K1410"/>
      <c r="L1410"/>
      <c r="M1410"/>
      <c r="N1410"/>
      <c r="O1410"/>
      <c r="P1410"/>
    </row>
    <row r="1411" spans="8:16" s="1" customFormat="1">
      <c r="H1411" s="185"/>
      <c r="I1411" s="185"/>
      <c r="J1411" s="185"/>
      <c r="K1411"/>
      <c r="L1411"/>
      <c r="M1411"/>
      <c r="N1411"/>
      <c r="O1411"/>
      <c r="P1411"/>
    </row>
    <row r="1412" spans="8:16" s="1" customFormat="1">
      <c r="H1412" s="185"/>
      <c r="I1412" s="185"/>
      <c r="J1412" s="185"/>
      <c r="K1412"/>
      <c r="L1412"/>
      <c r="M1412"/>
      <c r="N1412"/>
      <c r="O1412"/>
      <c r="P1412"/>
    </row>
    <row r="1413" spans="8:16" s="1" customFormat="1">
      <c r="H1413" s="185"/>
      <c r="I1413" s="185"/>
      <c r="J1413" s="185"/>
      <c r="K1413"/>
      <c r="L1413"/>
      <c r="M1413"/>
      <c r="N1413"/>
      <c r="O1413"/>
      <c r="P1413"/>
    </row>
    <row r="1414" spans="8:16" s="1" customFormat="1">
      <c r="H1414" s="185"/>
      <c r="I1414" s="185"/>
      <c r="J1414" s="185"/>
      <c r="K1414"/>
      <c r="L1414"/>
      <c r="M1414"/>
      <c r="N1414"/>
      <c r="O1414"/>
      <c r="P1414"/>
    </row>
    <row r="1415" spans="8:16" s="1" customFormat="1">
      <c r="H1415" s="185"/>
      <c r="I1415" s="185"/>
      <c r="J1415" s="185"/>
      <c r="K1415"/>
      <c r="L1415"/>
      <c r="M1415"/>
      <c r="N1415"/>
      <c r="O1415"/>
      <c r="P1415"/>
    </row>
    <row r="1416" spans="8:16" s="1" customFormat="1">
      <c r="H1416" s="185"/>
      <c r="I1416" s="185"/>
      <c r="J1416" s="185"/>
      <c r="K1416"/>
      <c r="L1416"/>
      <c r="M1416"/>
      <c r="N1416"/>
      <c r="O1416"/>
      <c r="P1416"/>
    </row>
    <row r="1417" spans="8:16" s="1" customFormat="1">
      <c r="H1417" s="185"/>
      <c r="I1417" s="185"/>
      <c r="J1417" s="185"/>
      <c r="K1417"/>
      <c r="L1417"/>
      <c r="M1417"/>
      <c r="N1417"/>
      <c r="O1417"/>
      <c r="P1417"/>
    </row>
    <row r="1418" spans="8:16" s="1" customFormat="1">
      <c r="H1418" s="185"/>
      <c r="I1418" s="185"/>
      <c r="J1418" s="185"/>
      <c r="K1418"/>
      <c r="L1418"/>
      <c r="M1418"/>
      <c r="N1418"/>
      <c r="O1418"/>
      <c r="P1418"/>
    </row>
    <row r="1419" spans="8:16" s="1" customFormat="1">
      <c r="H1419" s="185"/>
      <c r="I1419" s="185"/>
      <c r="J1419" s="185"/>
      <c r="K1419"/>
      <c r="L1419"/>
      <c r="M1419"/>
      <c r="N1419"/>
      <c r="O1419"/>
      <c r="P1419"/>
    </row>
    <row r="1420" spans="8:16" s="1" customFormat="1">
      <c r="H1420" s="185"/>
      <c r="I1420" s="185"/>
      <c r="J1420" s="185"/>
      <c r="K1420"/>
      <c r="L1420"/>
      <c r="M1420"/>
      <c r="N1420"/>
      <c r="O1420"/>
      <c r="P1420"/>
    </row>
    <row r="1421" spans="8:16" s="1" customFormat="1">
      <c r="H1421" s="185"/>
      <c r="I1421" s="185"/>
      <c r="J1421" s="185"/>
      <c r="K1421"/>
      <c r="L1421"/>
      <c r="M1421"/>
      <c r="N1421"/>
      <c r="O1421"/>
      <c r="P1421"/>
    </row>
    <row r="1422" spans="8:16" s="1" customFormat="1">
      <c r="H1422" s="185"/>
      <c r="I1422" s="185"/>
      <c r="J1422" s="185"/>
      <c r="K1422"/>
      <c r="L1422"/>
      <c r="M1422"/>
      <c r="N1422"/>
      <c r="O1422"/>
      <c r="P1422"/>
    </row>
    <row r="1423" spans="8:16" s="1" customFormat="1">
      <c r="H1423" s="185"/>
      <c r="I1423" s="185"/>
      <c r="J1423" s="185"/>
      <c r="K1423"/>
      <c r="L1423"/>
      <c r="M1423"/>
      <c r="N1423"/>
      <c r="O1423"/>
      <c r="P1423"/>
    </row>
    <row r="1424" spans="8:16" s="1" customFormat="1">
      <c r="H1424" s="185"/>
      <c r="I1424" s="185"/>
      <c r="J1424" s="185"/>
      <c r="K1424"/>
      <c r="L1424"/>
      <c r="M1424"/>
      <c r="N1424"/>
      <c r="O1424"/>
      <c r="P1424"/>
    </row>
    <row r="1425" spans="8:16" s="1" customFormat="1">
      <c r="H1425" s="185"/>
      <c r="I1425" s="185"/>
      <c r="J1425" s="185"/>
      <c r="K1425"/>
      <c r="L1425"/>
      <c r="M1425"/>
      <c r="N1425"/>
      <c r="O1425"/>
      <c r="P1425"/>
    </row>
    <row r="1426" spans="8:16" s="1" customFormat="1">
      <c r="H1426" s="185"/>
      <c r="I1426" s="185"/>
      <c r="J1426" s="185"/>
      <c r="K1426"/>
      <c r="L1426"/>
      <c r="M1426"/>
      <c r="N1426"/>
      <c r="O1426"/>
      <c r="P1426"/>
    </row>
    <row r="1427" spans="8:16" s="1" customFormat="1">
      <c r="H1427" s="185"/>
      <c r="I1427" s="185"/>
      <c r="J1427" s="185"/>
      <c r="K1427"/>
      <c r="L1427"/>
      <c r="M1427"/>
      <c r="N1427"/>
      <c r="O1427"/>
      <c r="P1427"/>
    </row>
    <row r="1428" spans="8:16" s="1" customFormat="1">
      <c r="H1428" s="185"/>
      <c r="I1428" s="185"/>
      <c r="J1428" s="185"/>
      <c r="K1428"/>
      <c r="L1428"/>
      <c r="M1428"/>
      <c r="N1428"/>
      <c r="O1428"/>
      <c r="P1428"/>
    </row>
    <row r="1429" spans="8:16" s="1" customFormat="1">
      <c r="H1429" s="185"/>
      <c r="I1429" s="185"/>
      <c r="J1429" s="185"/>
      <c r="K1429"/>
      <c r="L1429"/>
      <c r="M1429"/>
      <c r="N1429"/>
      <c r="O1429"/>
      <c r="P1429"/>
    </row>
    <row r="1430" spans="8:16" s="1" customFormat="1">
      <c r="H1430" s="185"/>
      <c r="I1430" s="185"/>
      <c r="J1430" s="185"/>
      <c r="K1430"/>
      <c r="L1430"/>
      <c r="M1430"/>
      <c r="N1430"/>
      <c r="O1430"/>
      <c r="P1430"/>
    </row>
    <row r="1431" spans="8:16" s="1" customFormat="1">
      <c r="H1431" s="185"/>
      <c r="I1431" s="185"/>
      <c r="J1431" s="185"/>
      <c r="K1431"/>
      <c r="L1431"/>
      <c r="M1431"/>
      <c r="N1431"/>
      <c r="O1431"/>
      <c r="P1431"/>
    </row>
    <row r="1432" spans="8:16" s="1" customFormat="1">
      <c r="H1432" s="185"/>
      <c r="I1432" s="185"/>
      <c r="J1432" s="185"/>
      <c r="K1432"/>
      <c r="L1432"/>
      <c r="M1432"/>
      <c r="N1432"/>
      <c r="O1432"/>
      <c r="P1432"/>
    </row>
    <row r="1433" spans="8:16" s="1" customFormat="1">
      <c r="H1433" s="185"/>
      <c r="I1433" s="185"/>
      <c r="J1433" s="185"/>
      <c r="K1433"/>
      <c r="L1433"/>
      <c r="M1433"/>
      <c r="N1433"/>
      <c r="O1433"/>
      <c r="P1433"/>
    </row>
    <row r="1434" spans="8:16" s="1" customFormat="1">
      <c r="H1434" s="185"/>
      <c r="I1434" s="185"/>
      <c r="J1434" s="185"/>
      <c r="K1434"/>
      <c r="L1434"/>
      <c r="M1434"/>
      <c r="N1434"/>
      <c r="O1434"/>
      <c r="P1434"/>
    </row>
    <row r="1435" spans="8:16" s="1" customFormat="1">
      <c r="H1435" s="185"/>
      <c r="I1435" s="185"/>
      <c r="J1435" s="185"/>
      <c r="K1435"/>
      <c r="L1435"/>
      <c r="M1435"/>
      <c r="N1435"/>
      <c r="O1435"/>
      <c r="P1435"/>
    </row>
    <row r="1436" spans="8:16" s="1" customFormat="1">
      <c r="H1436" s="185"/>
      <c r="I1436" s="185"/>
      <c r="J1436" s="185"/>
      <c r="K1436"/>
      <c r="L1436"/>
      <c r="M1436"/>
      <c r="N1436"/>
      <c r="O1436"/>
      <c r="P1436"/>
    </row>
    <row r="1437" spans="8:16" s="1" customFormat="1">
      <c r="H1437" s="185"/>
      <c r="I1437" s="185"/>
      <c r="J1437" s="185"/>
      <c r="K1437"/>
      <c r="L1437"/>
      <c r="M1437"/>
      <c r="N1437"/>
      <c r="O1437"/>
      <c r="P1437"/>
    </row>
    <row r="1438" spans="8:16" s="1" customFormat="1">
      <c r="H1438" s="185"/>
      <c r="I1438" s="185"/>
      <c r="J1438" s="185"/>
      <c r="K1438"/>
      <c r="L1438"/>
      <c r="M1438"/>
      <c r="N1438"/>
      <c r="O1438"/>
      <c r="P1438"/>
    </row>
    <row r="1439" spans="8:16" s="1" customFormat="1">
      <c r="H1439" s="185"/>
      <c r="I1439" s="185"/>
      <c r="J1439" s="185"/>
      <c r="K1439"/>
      <c r="L1439"/>
      <c r="M1439"/>
      <c r="N1439"/>
      <c r="O1439"/>
      <c r="P1439"/>
    </row>
    <row r="1440" spans="8:16" s="1" customFormat="1">
      <c r="H1440" s="185"/>
      <c r="I1440" s="185"/>
      <c r="J1440" s="185"/>
      <c r="K1440"/>
      <c r="L1440"/>
      <c r="M1440"/>
      <c r="N1440"/>
      <c r="O1440"/>
      <c r="P1440"/>
    </row>
    <row r="1441" spans="8:16" s="1" customFormat="1">
      <c r="H1441" s="185"/>
      <c r="I1441" s="185"/>
      <c r="J1441" s="185"/>
      <c r="K1441"/>
      <c r="L1441"/>
      <c r="M1441"/>
      <c r="N1441"/>
      <c r="O1441"/>
      <c r="P1441"/>
    </row>
    <row r="1442" spans="8:16" s="1" customFormat="1">
      <c r="H1442" s="185"/>
      <c r="I1442" s="185"/>
      <c r="J1442" s="185"/>
      <c r="K1442"/>
      <c r="L1442"/>
      <c r="M1442"/>
      <c r="N1442"/>
      <c r="O1442"/>
      <c r="P1442"/>
    </row>
    <row r="1443" spans="8:16" s="1" customFormat="1">
      <c r="H1443" s="185"/>
      <c r="I1443" s="185"/>
      <c r="J1443" s="185"/>
      <c r="K1443"/>
      <c r="L1443"/>
      <c r="M1443"/>
      <c r="N1443"/>
      <c r="O1443"/>
      <c r="P1443"/>
    </row>
    <row r="1444" spans="8:16" s="1" customFormat="1">
      <c r="H1444" s="185"/>
      <c r="I1444" s="185"/>
      <c r="J1444" s="185"/>
      <c r="K1444"/>
      <c r="L1444"/>
      <c r="M1444"/>
      <c r="N1444"/>
      <c r="O1444"/>
      <c r="P1444"/>
    </row>
    <row r="1445" spans="8:16" s="1" customFormat="1">
      <c r="H1445" s="185"/>
      <c r="I1445" s="185"/>
      <c r="J1445" s="185"/>
      <c r="K1445"/>
      <c r="L1445"/>
      <c r="M1445"/>
      <c r="N1445"/>
      <c r="O1445"/>
      <c r="P1445"/>
    </row>
    <row r="1446" spans="8:16" s="1" customFormat="1">
      <c r="H1446" s="185"/>
      <c r="I1446" s="185"/>
      <c r="J1446" s="185"/>
      <c r="K1446"/>
      <c r="L1446"/>
      <c r="M1446"/>
      <c r="N1446"/>
      <c r="O1446"/>
      <c r="P1446"/>
    </row>
    <row r="1447" spans="8:16" s="1" customFormat="1">
      <c r="H1447" s="185"/>
      <c r="I1447" s="185"/>
      <c r="J1447" s="185"/>
      <c r="K1447"/>
      <c r="L1447"/>
      <c r="M1447"/>
      <c r="N1447"/>
      <c r="O1447"/>
      <c r="P1447"/>
    </row>
    <row r="1448" spans="8:16" s="1" customFormat="1">
      <c r="H1448" s="185"/>
      <c r="I1448" s="185"/>
      <c r="J1448" s="185"/>
      <c r="K1448"/>
      <c r="L1448"/>
      <c r="M1448"/>
      <c r="N1448"/>
      <c r="O1448"/>
      <c r="P1448"/>
    </row>
    <row r="1449" spans="8:16" s="1" customFormat="1">
      <c r="H1449" s="185"/>
      <c r="I1449" s="185"/>
      <c r="J1449" s="185"/>
      <c r="K1449"/>
      <c r="L1449"/>
      <c r="M1449"/>
      <c r="N1449"/>
      <c r="O1449"/>
      <c r="P1449"/>
    </row>
    <row r="1450" spans="8:16" s="1" customFormat="1">
      <c r="H1450" s="185"/>
      <c r="I1450" s="185"/>
      <c r="J1450" s="185"/>
      <c r="K1450"/>
      <c r="L1450"/>
      <c r="M1450"/>
      <c r="N1450"/>
      <c r="O1450"/>
      <c r="P1450"/>
    </row>
    <row r="1451" spans="8:16" s="1" customFormat="1">
      <c r="H1451" s="185"/>
      <c r="I1451" s="185"/>
      <c r="J1451" s="185"/>
      <c r="K1451"/>
      <c r="L1451"/>
      <c r="M1451"/>
      <c r="N1451"/>
      <c r="O1451"/>
      <c r="P1451"/>
    </row>
    <row r="1452" spans="8:16" s="1" customFormat="1">
      <c r="H1452" s="185"/>
      <c r="I1452" s="185"/>
      <c r="J1452" s="185"/>
      <c r="K1452"/>
      <c r="L1452"/>
      <c r="M1452"/>
      <c r="N1452"/>
      <c r="O1452"/>
      <c r="P1452"/>
    </row>
    <row r="1453" spans="8:16" s="1" customFormat="1">
      <c r="H1453" s="185"/>
      <c r="I1453" s="185"/>
      <c r="J1453" s="185"/>
      <c r="K1453"/>
      <c r="L1453"/>
      <c r="M1453"/>
      <c r="N1453"/>
      <c r="O1453"/>
      <c r="P1453"/>
    </row>
    <row r="1454" spans="8:16" s="1" customFormat="1">
      <c r="H1454" s="185"/>
      <c r="I1454" s="185"/>
      <c r="J1454" s="185"/>
      <c r="K1454"/>
      <c r="L1454"/>
      <c r="M1454"/>
      <c r="N1454"/>
      <c r="O1454"/>
      <c r="P1454"/>
    </row>
    <row r="1455" spans="8:16" s="1" customFormat="1">
      <c r="H1455" s="185"/>
      <c r="I1455" s="185"/>
      <c r="J1455" s="185"/>
      <c r="K1455"/>
      <c r="L1455"/>
      <c r="M1455"/>
      <c r="N1455"/>
      <c r="O1455"/>
      <c r="P1455"/>
    </row>
    <row r="1456" spans="8:16" s="1" customFormat="1">
      <c r="H1456" s="185"/>
      <c r="I1456" s="185"/>
      <c r="J1456" s="185"/>
      <c r="K1456"/>
      <c r="L1456"/>
      <c r="M1456"/>
      <c r="N1456"/>
      <c r="O1456"/>
      <c r="P1456"/>
    </row>
    <row r="1457" spans="8:16" s="1" customFormat="1">
      <c r="H1457" s="185"/>
      <c r="I1457" s="185"/>
      <c r="J1457" s="185"/>
      <c r="K1457"/>
      <c r="L1457"/>
      <c r="M1457"/>
      <c r="N1457"/>
      <c r="O1457"/>
      <c r="P1457"/>
    </row>
    <row r="1458" spans="8:16" s="1" customFormat="1">
      <c r="H1458" s="185"/>
      <c r="I1458" s="185"/>
      <c r="J1458" s="185"/>
      <c r="K1458"/>
      <c r="L1458"/>
      <c r="M1458"/>
      <c r="N1458"/>
      <c r="O1458"/>
      <c r="P1458"/>
    </row>
    <row r="1459" spans="8:16" s="1" customFormat="1">
      <c r="H1459" s="185"/>
      <c r="I1459" s="185"/>
      <c r="J1459" s="185"/>
      <c r="K1459"/>
      <c r="L1459"/>
      <c r="M1459"/>
      <c r="N1459"/>
      <c r="O1459"/>
      <c r="P1459"/>
    </row>
    <row r="1460" spans="8:16" s="1" customFormat="1">
      <c r="H1460" s="185"/>
      <c r="I1460" s="185"/>
      <c r="J1460" s="185"/>
      <c r="K1460"/>
      <c r="L1460"/>
      <c r="M1460"/>
      <c r="N1460"/>
      <c r="O1460"/>
      <c r="P1460"/>
    </row>
    <row r="1461" spans="8:16" s="1" customFormat="1">
      <c r="H1461" s="185"/>
      <c r="I1461" s="185"/>
      <c r="J1461" s="185"/>
      <c r="K1461"/>
      <c r="L1461"/>
      <c r="M1461"/>
      <c r="N1461"/>
      <c r="O1461"/>
      <c r="P1461"/>
    </row>
    <row r="1462" spans="8:16" s="1" customFormat="1">
      <c r="H1462" s="185"/>
      <c r="I1462" s="185"/>
      <c r="J1462" s="185"/>
      <c r="K1462"/>
      <c r="L1462"/>
      <c r="M1462"/>
      <c r="N1462"/>
      <c r="O1462"/>
      <c r="P1462"/>
    </row>
    <row r="1463" spans="8:16" s="1" customFormat="1">
      <c r="H1463" s="185"/>
      <c r="I1463" s="185"/>
      <c r="J1463" s="185"/>
      <c r="K1463"/>
      <c r="L1463"/>
      <c r="M1463"/>
      <c r="N1463"/>
      <c r="O1463"/>
      <c r="P1463"/>
    </row>
    <row r="1464" spans="8:16" s="1" customFormat="1">
      <c r="H1464" s="185"/>
      <c r="I1464" s="185"/>
      <c r="J1464" s="185"/>
      <c r="K1464"/>
      <c r="L1464"/>
      <c r="M1464"/>
      <c r="N1464"/>
      <c r="O1464"/>
      <c r="P1464"/>
    </row>
    <row r="1465" spans="8:16" s="1" customFormat="1">
      <c r="H1465" s="185"/>
      <c r="I1465" s="185"/>
      <c r="J1465" s="185"/>
      <c r="K1465"/>
      <c r="L1465"/>
      <c r="M1465"/>
      <c r="N1465"/>
      <c r="O1465"/>
      <c r="P1465"/>
    </row>
    <row r="1466" spans="8:16" s="1" customFormat="1">
      <c r="H1466" s="185"/>
      <c r="I1466" s="185"/>
      <c r="J1466" s="185"/>
      <c r="K1466"/>
      <c r="L1466"/>
      <c r="M1466"/>
      <c r="N1466"/>
      <c r="O1466"/>
      <c r="P1466"/>
    </row>
    <row r="1467" spans="8:16" s="1" customFormat="1">
      <c r="H1467" s="185"/>
      <c r="I1467" s="185"/>
      <c r="J1467" s="185"/>
      <c r="K1467"/>
      <c r="L1467"/>
      <c r="M1467"/>
      <c r="N1467"/>
      <c r="O1467"/>
      <c r="P1467"/>
    </row>
    <row r="1468" spans="8:16" s="1" customFormat="1">
      <c r="H1468" s="185"/>
      <c r="I1468" s="185"/>
      <c r="J1468" s="185"/>
      <c r="K1468"/>
      <c r="L1468"/>
      <c r="M1468"/>
      <c r="N1468"/>
      <c r="O1468"/>
      <c r="P1468"/>
    </row>
    <row r="1469" spans="8:16" s="1" customFormat="1">
      <c r="H1469" s="185"/>
      <c r="I1469" s="185"/>
      <c r="J1469" s="185"/>
      <c r="K1469"/>
      <c r="L1469"/>
      <c r="M1469"/>
      <c r="N1469"/>
      <c r="O1469"/>
      <c r="P1469"/>
    </row>
    <row r="1470" spans="8:16" s="1" customFormat="1">
      <c r="H1470" s="185"/>
      <c r="I1470" s="185"/>
      <c r="J1470" s="185"/>
      <c r="K1470"/>
      <c r="L1470"/>
      <c r="M1470"/>
      <c r="N1470"/>
      <c r="O1470"/>
      <c r="P1470"/>
    </row>
    <row r="1471" spans="8:16" s="1" customFormat="1">
      <c r="H1471" s="185"/>
      <c r="I1471" s="185"/>
      <c r="J1471" s="185"/>
      <c r="K1471"/>
      <c r="L1471"/>
      <c r="M1471"/>
      <c r="N1471"/>
      <c r="O1471"/>
      <c r="P1471"/>
    </row>
    <row r="1472" spans="8:16" s="1" customFormat="1">
      <c r="H1472" s="185"/>
      <c r="I1472" s="185"/>
      <c r="J1472" s="185"/>
      <c r="K1472"/>
      <c r="L1472"/>
      <c r="M1472"/>
      <c r="N1472"/>
      <c r="O1472"/>
      <c r="P1472"/>
    </row>
    <row r="1473" spans="8:16" s="1" customFormat="1">
      <c r="H1473" s="185"/>
      <c r="I1473" s="185"/>
      <c r="J1473" s="185"/>
      <c r="K1473"/>
      <c r="L1473"/>
      <c r="M1473"/>
      <c r="N1473"/>
      <c r="O1473"/>
      <c r="P1473"/>
    </row>
    <row r="1474" spans="8:16" s="1" customFormat="1">
      <c r="H1474" s="185"/>
      <c r="I1474" s="185"/>
      <c r="J1474" s="185"/>
      <c r="K1474"/>
      <c r="L1474"/>
      <c r="M1474"/>
      <c r="N1474"/>
      <c r="O1474"/>
      <c r="P1474"/>
    </row>
    <row r="1475" spans="8:16" s="1" customFormat="1">
      <c r="H1475" s="185"/>
      <c r="I1475" s="185"/>
      <c r="J1475" s="185"/>
      <c r="K1475"/>
      <c r="L1475"/>
      <c r="M1475"/>
      <c r="N1475"/>
      <c r="O1475"/>
      <c r="P1475"/>
    </row>
    <row r="1476" spans="8:16" s="1" customFormat="1">
      <c r="H1476" s="185"/>
      <c r="I1476" s="185"/>
      <c r="J1476" s="185"/>
      <c r="K1476"/>
      <c r="L1476"/>
      <c r="M1476"/>
      <c r="N1476"/>
      <c r="O1476"/>
      <c r="P1476"/>
    </row>
    <row r="1477" spans="8:16" s="1" customFormat="1">
      <c r="H1477" s="185"/>
      <c r="I1477" s="185"/>
      <c r="J1477" s="185"/>
      <c r="K1477"/>
      <c r="L1477"/>
      <c r="M1477"/>
      <c r="N1477"/>
      <c r="O1477"/>
      <c r="P1477"/>
    </row>
    <row r="1478" spans="8:16" s="1" customFormat="1">
      <c r="H1478" s="185"/>
      <c r="I1478" s="185"/>
      <c r="J1478" s="185"/>
      <c r="K1478"/>
      <c r="L1478"/>
      <c r="M1478"/>
      <c r="N1478"/>
      <c r="O1478"/>
      <c r="P1478"/>
    </row>
    <row r="1479" spans="8:16" s="1" customFormat="1">
      <c r="H1479" s="185"/>
      <c r="I1479" s="185"/>
      <c r="J1479" s="185"/>
      <c r="K1479"/>
      <c r="L1479"/>
      <c r="M1479"/>
      <c r="N1479"/>
      <c r="O1479"/>
      <c r="P1479"/>
    </row>
    <row r="1480" spans="8:16" s="1" customFormat="1">
      <c r="H1480" s="185"/>
      <c r="I1480" s="185"/>
      <c r="J1480" s="185"/>
      <c r="K1480"/>
      <c r="L1480"/>
      <c r="M1480"/>
      <c r="N1480"/>
      <c r="O1480"/>
      <c r="P1480"/>
    </row>
    <row r="1481" spans="8:16" s="1" customFormat="1">
      <c r="H1481" s="185"/>
      <c r="I1481" s="185"/>
      <c r="J1481" s="185"/>
      <c r="K1481"/>
      <c r="L1481"/>
      <c r="M1481"/>
      <c r="N1481"/>
      <c r="O1481"/>
      <c r="P1481"/>
    </row>
    <row r="1482" spans="8:16" s="1" customFormat="1">
      <c r="H1482" s="185"/>
      <c r="I1482" s="185"/>
      <c r="J1482" s="185"/>
      <c r="K1482"/>
      <c r="L1482"/>
      <c r="M1482"/>
      <c r="N1482"/>
      <c r="O1482"/>
      <c r="P1482"/>
    </row>
    <row r="1483" spans="8:16" s="1" customFormat="1">
      <c r="H1483" s="185"/>
      <c r="I1483" s="185"/>
      <c r="J1483" s="185"/>
      <c r="K1483"/>
      <c r="L1483"/>
      <c r="M1483"/>
      <c r="N1483"/>
      <c r="O1483"/>
      <c r="P1483"/>
    </row>
    <row r="1484" spans="8:16" s="1" customFormat="1">
      <c r="H1484" s="185"/>
      <c r="I1484" s="185"/>
      <c r="J1484" s="185"/>
      <c r="K1484"/>
      <c r="L1484"/>
      <c r="M1484"/>
      <c r="N1484"/>
      <c r="O1484"/>
      <c r="P1484"/>
    </row>
    <row r="1485" spans="8:16" s="1" customFormat="1">
      <c r="H1485" s="185"/>
      <c r="I1485" s="185"/>
      <c r="J1485" s="185"/>
      <c r="K1485"/>
      <c r="L1485"/>
      <c r="M1485"/>
      <c r="N1485"/>
      <c r="O1485"/>
      <c r="P1485"/>
    </row>
    <row r="1486" spans="8:16" s="1" customFormat="1">
      <c r="H1486" s="185"/>
      <c r="I1486" s="185"/>
      <c r="J1486" s="185"/>
      <c r="K1486"/>
      <c r="L1486"/>
      <c r="M1486"/>
      <c r="N1486"/>
      <c r="O1486"/>
      <c r="P1486"/>
    </row>
    <row r="1487" spans="8:16" s="1" customFormat="1">
      <c r="H1487" s="185"/>
      <c r="I1487" s="185"/>
      <c r="J1487" s="185"/>
      <c r="K1487"/>
      <c r="L1487"/>
      <c r="M1487"/>
      <c r="N1487"/>
      <c r="O1487"/>
      <c r="P1487"/>
    </row>
    <row r="1488" spans="8:16" s="1" customFormat="1">
      <c r="H1488" s="185"/>
      <c r="I1488" s="185"/>
      <c r="J1488" s="185"/>
      <c r="K1488"/>
      <c r="L1488"/>
      <c r="M1488"/>
      <c r="N1488"/>
      <c r="O1488"/>
      <c r="P1488"/>
    </row>
    <row r="1489" spans="8:16" s="1" customFormat="1">
      <c r="H1489" s="185"/>
      <c r="I1489" s="185"/>
      <c r="J1489" s="185"/>
      <c r="K1489"/>
      <c r="L1489"/>
      <c r="M1489"/>
      <c r="N1489"/>
      <c r="O1489"/>
      <c r="P1489"/>
    </row>
    <row r="1490" spans="8:16" s="1" customFormat="1">
      <c r="H1490" s="185"/>
      <c r="I1490" s="185"/>
      <c r="J1490" s="185"/>
      <c r="K1490"/>
      <c r="L1490"/>
      <c r="M1490"/>
      <c r="N1490"/>
      <c r="O1490"/>
      <c r="P1490"/>
    </row>
    <row r="1491" spans="8:16" s="1" customFormat="1">
      <c r="H1491" s="185"/>
      <c r="I1491" s="185"/>
      <c r="J1491" s="185"/>
      <c r="K1491"/>
      <c r="L1491"/>
      <c r="M1491"/>
      <c r="N1491"/>
      <c r="O1491"/>
      <c r="P1491"/>
    </row>
    <row r="1492" spans="8:16" s="1" customFormat="1">
      <c r="H1492" s="185"/>
      <c r="I1492" s="185"/>
      <c r="J1492" s="185"/>
      <c r="K1492"/>
      <c r="L1492"/>
      <c r="M1492"/>
      <c r="N1492"/>
      <c r="O1492"/>
      <c r="P1492"/>
    </row>
    <row r="1493" spans="8:16" s="1" customFormat="1">
      <c r="H1493" s="185"/>
      <c r="I1493" s="185"/>
      <c r="J1493" s="185"/>
      <c r="K1493"/>
      <c r="L1493"/>
      <c r="M1493"/>
      <c r="N1493"/>
      <c r="O1493"/>
      <c r="P1493"/>
    </row>
    <row r="1494" spans="8:16" s="1" customFormat="1">
      <c r="H1494" s="185"/>
      <c r="I1494" s="185"/>
      <c r="J1494" s="185"/>
      <c r="K1494"/>
      <c r="L1494"/>
      <c r="M1494"/>
      <c r="N1494"/>
      <c r="O1494"/>
      <c r="P1494"/>
    </row>
    <row r="1495" spans="8:16" s="1" customFormat="1">
      <c r="H1495" s="185"/>
      <c r="I1495" s="185"/>
      <c r="J1495" s="185"/>
      <c r="K1495"/>
      <c r="L1495"/>
      <c r="M1495"/>
      <c r="N1495"/>
      <c r="O1495"/>
      <c r="P1495"/>
    </row>
    <row r="1496" spans="8:16" s="1" customFormat="1">
      <c r="H1496" s="185"/>
      <c r="I1496" s="185"/>
      <c r="J1496" s="185"/>
      <c r="K1496"/>
      <c r="L1496"/>
      <c r="M1496"/>
      <c r="N1496"/>
      <c r="O1496"/>
      <c r="P1496"/>
    </row>
    <row r="1497" spans="8:16" s="1" customFormat="1">
      <c r="H1497" s="185"/>
      <c r="I1497" s="185"/>
      <c r="J1497" s="185"/>
      <c r="K1497"/>
      <c r="L1497"/>
      <c r="M1497"/>
      <c r="N1497"/>
      <c r="O1497"/>
      <c r="P1497"/>
    </row>
    <row r="1498" spans="8:16" s="1" customFormat="1">
      <c r="H1498" s="185"/>
      <c r="I1498" s="185"/>
      <c r="J1498" s="185"/>
      <c r="K1498"/>
      <c r="L1498"/>
      <c r="M1498"/>
      <c r="N1498"/>
      <c r="O1498"/>
      <c r="P1498"/>
    </row>
    <row r="1499" spans="8:16" s="1" customFormat="1">
      <c r="H1499" s="185"/>
      <c r="I1499" s="185"/>
      <c r="J1499" s="185"/>
      <c r="K1499"/>
      <c r="L1499"/>
      <c r="M1499"/>
      <c r="N1499"/>
      <c r="O1499"/>
      <c r="P1499"/>
    </row>
    <row r="1500" spans="8:16" s="1" customFormat="1">
      <c r="H1500" s="185"/>
      <c r="I1500" s="185"/>
      <c r="J1500" s="185"/>
      <c r="K1500"/>
      <c r="L1500"/>
      <c r="M1500"/>
      <c r="N1500"/>
      <c r="O1500"/>
      <c r="P1500"/>
    </row>
    <row r="1501" spans="8:16" s="1" customFormat="1">
      <c r="H1501" s="185"/>
      <c r="I1501" s="185"/>
      <c r="J1501" s="185"/>
      <c r="K1501"/>
      <c r="L1501"/>
      <c r="M1501"/>
      <c r="N1501"/>
      <c r="O1501"/>
      <c r="P1501"/>
    </row>
    <row r="1502" spans="8:16" s="1" customFormat="1">
      <c r="H1502" s="185"/>
      <c r="I1502" s="185"/>
      <c r="J1502" s="185"/>
      <c r="K1502"/>
      <c r="L1502"/>
      <c r="M1502"/>
      <c r="N1502"/>
      <c r="O1502"/>
      <c r="P1502"/>
    </row>
    <row r="1503" spans="8:16" s="1" customFormat="1">
      <c r="H1503" s="185"/>
      <c r="I1503" s="185"/>
      <c r="J1503" s="185"/>
      <c r="K1503"/>
      <c r="L1503"/>
      <c r="M1503"/>
      <c r="N1503"/>
      <c r="O1503"/>
      <c r="P1503"/>
    </row>
    <row r="1504" spans="8:16" s="1" customFormat="1">
      <c r="H1504" s="185"/>
      <c r="I1504" s="185"/>
      <c r="J1504" s="185"/>
      <c r="K1504"/>
      <c r="L1504"/>
      <c r="M1504"/>
      <c r="N1504"/>
      <c r="O1504"/>
      <c r="P1504"/>
    </row>
    <row r="1505" spans="8:16" s="1" customFormat="1">
      <c r="H1505" s="185"/>
      <c r="I1505" s="185"/>
      <c r="J1505" s="185"/>
      <c r="K1505"/>
      <c r="L1505"/>
      <c r="M1505"/>
      <c r="N1505"/>
      <c r="O1505"/>
      <c r="P1505"/>
    </row>
    <row r="1506" spans="8:16" s="1" customFormat="1">
      <c r="H1506" s="185"/>
      <c r="I1506" s="185"/>
      <c r="J1506" s="185"/>
      <c r="K1506"/>
      <c r="L1506"/>
      <c r="M1506"/>
      <c r="N1506"/>
      <c r="O1506"/>
      <c r="P1506"/>
    </row>
    <row r="1507" spans="8:16" s="1" customFormat="1">
      <c r="H1507" s="185"/>
      <c r="I1507" s="185"/>
      <c r="J1507" s="185"/>
      <c r="K1507"/>
      <c r="L1507"/>
      <c r="M1507"/>
      <c r="N1507"/>
      <c r="O1507"/>
      <c r="P1507"/>
    </row>
    <row r="1508" spans="8:16" s="1" customFormat="1">
      <c r="H1508" s="185"/>
      <c r="I1508" s="185"/>
      <c r="J1508" s="185"/>
      <c r="K1508"/>
      <c r="L1508"/>
      <c r="M1508"/>
      <c r="N1508"/>
      <c r="O1508"/>
      <c r="P1508"/>
    </row>
    <row r="1509" spans="8:16" s="1" customFormat="1">
      <c r="H1509" s="185"/>
      <c r="I1509" s="185"/>
      <c r="J1509" s="185"/>
      <c r="K1509"/>
      <c r="L1509"/>
      <c r="M1509"/>
      <c r="N1509"/>
      <c r="O1509"/>
      <c r="P1509"/>
    </row>
    <row r="1510" spans="8:16" s="1" customFormat="1">
      <c r="H1510" s="185"/>
      <c r="I1510" s="185"/>
      <c r="J1510" s="185"/>
      <c r="K1510"/>
      <c r="L1510"/>
      <c r="M1510"/>
      <c r="N1510"/>
      <c r="O1510"/>
      <c r="P1510"/>
    </row>
    <row r="1511" spans="8:16" s="1" customFormat="1">
      <c r="H1511" s="185"/>
      <c r="I1511" s="185"/>
      <c r="J1511" s="185"/>
      <c r="K1511"/>
      <c r="L1511"/>
      <c r="M1511"/>
      <c r="N1511"/>
      <c r="O1511"/>
      <c r="P1511"/>
    </row>
    <row r="1512" spans="8:16" s="1" customFormat="1">
      <c r="H1512" s="185"/>
      <c r="I1512" s="185"/>
      <c r="J1512" s="185"/>
      <c r="K1512"/>
      <c r="L1512"/>
      <c r="M1512"/>
      <c r="N1512"/>
      <c r="O1512"/>
      <c r="P1512"/>
    </row>
    <row r="1513" spans="8:16" s="1" customFormat="1">
      <c r="H1513" s="185"/>
      <c r="I1513" s="185"/>
      <c r="J1513" s="185"/>
      <c r="K1513"/>
      <c r="L1513"/>
      <c r="M1513"/>
      <c r="N1513"/>
      <c r="O1513"/>
      <c r="P1513"/>
    </row>
    <row r="1514" spans="8:16" s="1" customFormat="1">
      <c r="H1514" s="185"/>
      <c r="I1514" s="185"/>
      <c r="J1514" s="185"/>
      <c r="K1514"/>
      <c r="L1514"/>
      <c r="M1514"/>
      <c r="N1514"/>
      <c r="O1514"/>
      <c r="P1514"/>
    </row>
    <row r="1515" spans="8:16" s="1" customFormat="1">
      <c r="H1515" s="185"/>
      <c r="I1515" s="185"/>
      <c r="J1515" s="185"/>
      <c r="K1515"/>
      <c r="L1515"/>
      <c r="M1515"/>
      <c r="N1515"/>
      <c r="O1515"/>
      <c r="P1515"/>
    </row>
    <row r="1516" spans="8:16" s="1" customFormat="1">
      <c r="H1516" s="185"/>
      <c r="I1516" s="185"/>
      <c r="J1516" s="185"/>
      <c r="K1516"/>
      <c r="L1516"/>
      <c r="M1516"/>
      <c r="N1516"/>
      <c r="O1516"/>
      <c r="P1516"/>
    </row>
    <row r="1517" spans="8:16" s="1" customFormat="1">
      <c r="H1517" s="185"/>
      <c r="I1517" s="185"/>
      <c r="J1517" s="185"/>
      <c r="K1517"/>
      <c r="L1517"/>
      <c r="M1517"/>
      <c r="N1517"/>
      <c r="O1517"/>
      <c r="P1517"/>
    </row>
    <row r="1518" spans="8:16" s="1" customFormat="1">
      <c r="H1518" s="185"/>
      <c r="I1518" s="185"/>
      <c r="J1518" s="185"/>
      <c r="K1518"/>
      <c r="L1518"/>
      <c r="M1518"/>
      <c r="N1518"/>
      <c r="O1518"/>
      <c r="P1518"/>
    </row>
    <row r="1519" spans="8:16" s="1" customFormat="1">
      <c r="H1519" s="185"/>
      <c r="I1519" s="185"/>
      <c r="J1519" s="185"/>
      <c r="K1519"/>
      <c r="L1519"/>
      <c r="M1519"/>
      <c r="N1519"/>
      <c r="O1519"/>
      <c r="P1519"/>
    </row>
    <row r="1520" spans="8:16" s="1" customFormat="1">
      <c r="H1520" s="185"/>
      <c r="I1520" s="185"/>
      <c r="J1520" s="185"/>
      <c r="K1520"/>
      <c r="L1520"/>
      <c r="M1520"/>
      <c r="N1520"/>
      <c r="O1520"/>
      <c r="P1520"/>
    </row>
    <row r="1521" spans="8:16" s="1" customFormat="1">
      <c r="H1521" s="185"/>
      <c r="I1521" s="185"/>
      <c r="J1521" s="185"/>
      <c r="K1521"/>
      <c r="L1521"/>
      <c r="M1521"/>
      <c r="N1521"/>
      <c r="O1521"/>
      <c r="P1521"/>
    </row>
    <row r="1522" spans="8:16" s="1" customFormat="1">
      <c r="H1522" s="185"/>
      <c r="I1522" s="185"/>
      <c r="J1522" s="185"/>
      <c r="K1522"/>
      <c r="L1522"/>
      <c r="M1522"/>
      <c r="N1522"/>
      <c r="O1522"/>
      <c r="P1522"/>
    </row>
    <row r="1523" spans="8:16" s="1" customFormat="1">
      <c r="H1523" s="185"/>
      <c r="I1523" s="185"/>
      <c r="J1523" s="185"/>
      <c r="K1523"/>
      <c r="L1523"/>
      <c r="M1523"/>
      <c r="N1523"/>
      <c r="O1523"/>
      <c r="P1523"/>
    </row>
    <row r="1524" spans="8:16" s="1" customFormat="1">
      <c r="H1524" s="185"/>
      <c r="I1524" s="185"/>
      <c r="J1524" s="185"/>
      <c r="K1524"/>
      <c r="L1524"/>
      <c r="M1524"/>
      <c r="N1524"/>
      <c r="O1524"/>
      <c r="P1524"/>
    </row>
    <row r="1525" spans="8:16" s="1" customFormat="1">
      <c r="H1525" s="185"/>
      <c r="I1525" s="185"/>
      <c r="J1525" s="185"/>
      <c r="K1525"/>
      <c r="L1525"/>
      <c r="M1525"/>
      <c r="N1525"/>
      <c r="O1525"/>
      <c r="P1525"/>
    </row>
    <row r="1526" spans="8:16" s="1" customFormat="1">
      <c r="H1526" s="185"/>
      <c r="I1526" s="185"/>
      <c r="J1526" s="185"/>
      <c r="K1526"/>
      <c r="L1526"/>
      <c r="M1526"/>
      <c r="N1526"/>
      <c r="O1526"/>
      <c r="P1526"/>
    </row>
    <row r="1527" spans="8:16" s="1" customFormat="1">
      <c r="H1527" s="185"/>
      <c r="I1527" s="185"/>
      <c r="J1527" s="185"/>
      <c r="K1527"/>
      <c r="L1527"/>
      <c r="M1527"/>
      <c r="N1527"/>
      <c r="O1527"/>
      <c r="P1527"/>
    </row>
    <row r="1528" spans="8:16" s="1" customFormat="1">
      <c r="H1528" s="185"/>
      <c r="I1528" s="185"/>
      <c r="J1528" s="185"/>
      <c r="K1528"/>
      <c r="L1528"/>
      <c r="M1528"/>
      <c r="N1528"/>
      <c r="O1528"/>
      <c r="P1528"/>
    </row>
    <row r="1529" spans="8:16" s="1" customFormat="1">
      <c r="H1529" s="185"/>
      <c r="I1529" s="185"/>
      <c r="J1529" s="185"/>
      <c r="K1529"/>
      <c r="L1529"/>
      <c r="M1529"/>
      <c r="N1529"/>
      <c r="O1529"/>
      <c r="P1529"/>
    </row>
    <row r="1530" spans="8:16" s="1" customFormat="1">
      <c r="H1530" s="185"/>
      <c r="I1530" s="185"/>
      <c r="J1530" s="185"/>
      <c r="K1530"/>
      <c r="L1530"/>
      <c r="M1530"/>
      <c r="N1530"/>
      <c r="O1530"/>
      <c r="P1530"/>
    </row>
    <row r="1531" spans="8:16" s="1" customFormat="1">
      <c r="H1531" s="185"/>
      <c r="I1531" s="185"/>
      <c r="J1531" s="185"/>
      <c r="K1531"/>
      <c r="L1531"/>
      <c r="M1531"/>
      <c r="N1531"/>
      <c r="O1531"/>
      <c r="P1531"/>
    </row>
    <row r="1532" spans="8:16" s="1" customFormat="1">
      <c r="H1532" s="185"/>
      <c r="I1532" s="185"/>
      <c r="J1532" s="185"/>
      <c r="K1532"/>
      <c r="L1532"/>
      <c r="M1532"/>
      <c r="N1532"/>
      <c r="O1532"/>
      <c r="P1532"/>
    </row>
    <row r="1533" spans="8:16" s="1" customFormat="1">
      <c r="H1533" s="185"/>
      <c r="I1533" s="185"/>
      <c r="J1533" s="185"/>
      <c r="K1533"/>
      <c r="L1533"/>
      <c r="M1533"/>
      <c r="N1533"/>
      <c r="O1533"/>
      <c r="P1533"/>
    </row>
    <row r="1534" spans="8:16" s="1" customFormat="1">
      <c r="H1534" s="185"/>
      <c r="I1534" s="185"/>
      <c r="J1534" s="185"/>
      <c r="K1534"/>
      <c r="L1534"/>
      <c r="M1534"/>
      <c r="N1534"/>
      <c r="O1534"/>
      <c r="P1534"/>
    </row>
    <row r="1535" spans="8:16" s="1" customFormat="1">
      <c r="H1535" s="185"/>
      <c r="I1535" s="185"/>
      <c r="J1535" s="185"/>
      <c r="K1535"/>
      <c r="L1535"/>
      <c r="M1535"/>
      <c r="N1535"/>
      <c r="O1535"/>
      <c r="P1535"/>
    </row>
    <row r="1536" spans="8:16" s="1" customFormat="1">
      <c r="H1536" s="185"/>
      <c r="I1536" s="185"/>
      <c r="J1536" s="185"/>
      <c r="K1536"/>
      <c r="L1536"/>
      <c r="M1536"/>
      <c r="N1536"/>
      <c r="O1536"/>
      <c r="P1536"/>
    </row>
    <row r="1537" spans="8:16" s="1" customFormat="1">
      <c r="H1537" s="185"/>
      <c r="I1537" s="185"/>
      <c r="J1537" s="185"/>
      <c r="K1537"/>
      <c r="L1537"/>
      <c r="M1537"/>
      <c r="N1537"/>
      <c r="O1537"/>
      <c r="P1537"/>
    </row>
    <row r="1538" spans="8:16" s="1" customFormat="1">
      <c r="H1538" s="185"/>
      <c r="I1538" s="185"/>
      <c r="J1538" s="185"/>
      <c r="K1538"/>
      <c r="L1538"/>
      <c r="M1538"/>
      <c r="N1538"/>
      <c r="O1538"/>
      <c r="P1538"/>
    </row>
    <row r="1539" spans="8:16" s="1" customFormat="1">
      <c r="H1539" s="185"/>
      <c r="I1539" s="185"/>
      <c r="J1539" s="185"/>
      <c r="K1539"/>
      <c r="L1539"/>
      <c r="M1539"/>
      <c r="N1539"/>
      <c r="O1539"/>
      <c r="P1539"/>
    </row>
    <row r="1540" spans="8:16" s="1" customFormat="1">
      <c r="H1540" s="185"/>
      <c r="I1540" s="185"/>
      <c r="J1540" s="185"/>
      <c r="K1540"/>
      <c r="L1540"/>
      <c r="M1540"/>
      <c r="N1540"/>
      <c r="O1540"/>
      <c r="P1540"/>
    </row>
    <row r="1541" spans="8:16" s="1" customFormat="1">
      <c r="H1541" s="185"/>
      <c r="I1541" s="185"/>
      <c r="J1541" s="185"/>
      <c r="K1541"/>
      <c r="L1541"/>
      <c r="M1541"/>
      <c r="N1541"/>
      <c r="O1541"/>
      <c r="P1541"/>
    </row>
    <row r="1542" spans="8:16" s="1" customFormat="1">
      <c r="H1542" s="185"/>
      <c r="I1542" s="185"/>
      <c r="J1542" s="185"/>
      <c r="K1542"/>
      <c r="L1542"/>
      <c r="M1542"/>
      <c r="N1542"/>
      <c r="O1542"/>
      <c r="P1542"/>
    </row>
    <row r="1543" spans="8:16" s="1" customFormat="1">
      <c r="H1543" s="185"/>
      <c r="I1543" s="185"/>
      <c r="J1543" s="185"/>
      <c r="K1543"/>
      <c r="L1543"/>
      <c r="M1543"/>
      <c r="N1543"/>
      <c r="O1543"/>
      <c r="P1543"/>
    </row>
    <row r="1544" spans="8:16" s="1" customFormat="1">
      <c r="H1544" s="185"/>
      <c r="I1544" s="185"/>
      <c r="J1544" s="185"/>
      <c r="K1544"/>
      <c r="L1544"/>
      <c r="M1544"/>
      <c r="N1544"/>
      <c r="O1544"/>
      <c r="P1544"/>
    </row>
    <row r="1545" spans="8:16" s="1" customFormat="1">
      <c r="H1545" s="185"/>
      <c r="I1545" s="185"/>
      <c r="J1545" s="185"/>
      <c r="K1545"/>
      <c r="L1545"/>
      <c r="M1545"/>
      <c r="N1545"/>
      <c r="O1545"/>
      <c r="P1545"/>
    </row>
    <row r="1546" spans="8:16" s="1" customFormat="1">
      <c r="H1546" s="185"/>
      <c r="I1546" s="185"/>
      <c r="J1546" s="185"/>
      <c r="K1546"/>
      <c r="L1546"/>
      <c r="M1546"/>
      <c r="N1546"/>
      <c r="O1546"/>
      <c r="P1546"/>
    </row>
    <row r="1547" spans="8:16" s="1" customFormat="1">
      <c r="H1547" s="185"/>
      <c r="I1547" s="185"/>
      <c r="J1547" s="185"/>
      <c r="K1547"/>
      <c r="L1547"/>
      <c r="M1547"/>
      <c r="N1547"/>
      <c r="O1547"/>
      <c r="P1547"/>
    </row>
    <row r="1548" spans="8:16" s="1" customFormat="1">
      <c r="H1548" s="185"/>
      <c r="I1548" s="185"/>
      <c r="J1548" s="185"/>
      <c r="K1548"/>
      <c r="L1548"/>
      <c r="M1548"/>
      <c r="N1548"/>
      <c r="O1548"/>
      <c r="P1548"/>
    </row>
    <row r="1549" spans="8:16" s="1" customFormat="1">
      <c r="H1549" s="185"/>
      <c r="I1549" s="185"/>
      <c r="J1549" s="185"/>
      <c r="K1549"/>
      <c r="L1549"/>
      <c r="M1549"/>
      <c r="N1549"/>
      <c r="O1549"/>
      <c r="P1549"/>
    </row>
    <row r="1550" spans="8:16" s="1" customFormat="1">
      <c r="H1550" s="185"/>
      <c r="I1550" s="185"/>
      <c r="J1550" s="185"/>
      <c r="K1550"/>
      <c r="L1550"/>
      <c r="M1550"/>
      <c r="N1550"/>
      <c r="O1550"/>
      <c r="P1550"/>
    </row>
    <row r="1551" spans="8:16" s="1" customFormat="1">
      <c r="H1551" s="185"/>
      <c r="I1551" s="185"/>
      <c r="J1551" s="185"/>
      <c r="K1551"/>
      <c r="L1551"/>
      <c r="M1551"/>
      <c r="N1551"/>
      <c r="O1551"/>
      <c r="P1551"/>
    </row>
    <row r="1552" spans="8:16" s="1" customFormat="1">
      <c r="H1552" s="185"/>
      <c r="I1552" s="185"/>
      <c r="J1552" s="185"/>
      <c r="K1552"/>
      <c r="L1552"/>
      <c r="M1552"/>
      <c r="N1552"/>
      <c r="O1552"/>
      <c r="P1552"/>
    </row>
    <row r="1553" spans="8:16" s="1" customFormat="1">
      <c r="H1553" s="185"/>
      <c r="I1553" s="185"/>
      <c r="J1553" s="185"/>
      <c r="K1553"/>
      <c r="L1553"/>
      <c r="M1553"/>
      <c r="N1553"/>
      <c r="O1553"/>
      <c r="P1553"/>
    </row>
    <row r="1554" spans="8:16" s="1" customFormat="1">
      <c r="H1554" s="185"/>
      <c r="I1554" s="185"/>
      <c r="J1554" s="185"/>
      <c r="K1554"/>
      <c r="L1554"/>
      <c r="M1554"/>
      <c r="N1554"/>
      <c r="O1554"/>
      <c r="P1554"/>
    </row>
    <row r="1555" spans="8:16" s="1" customFormat="1">
      <c r="H1555" s="185"/>
      <c r="I1555" s="185"/>
      <c r="J1555" s="185"/>
      <c r="K1555"/>
      <c r="L1555"/>
      <c r="M1555"/>
      <c r="N1555"/>
      <c r="O1555"/>
      <c r="P1555"/>
    </row>
    <row r="1556" spans="8:16" s="1" customFormat="1">
      <c r="H1556" s="185"/>
      <c r="I1556" s="185"/>
      <c r="J1556" s="185"/>
      <c r="K1556"/>
      <c r="L1556"/>
      <c r="M1556"/>
      <c r="N1556"/>
      <c r="O1556"/>
      <c r="P1556"/>
    </row>
    <row r="1557" spans="8:16" s="1" customFormat="1">
      <c r="H1557" s="185"/>
      <c r="I1557" s="185"/>
      <c r="J1557" s="185"/>
      <c r="K1557"/>
      <c r="L1557"/>
      <c r="M1557"/>
      <c r="N1557"/>
      <c r="O1557"/>
      <c r="P1557"/>
    </row>
    <row r="1558" spans="8:16" s="1" customFormat="1">
      <c r="H1558" s="185"/>
      <c r="I1558" s="185"/>
      <c r="J1558" s="185"/>
      <c r="K1558"/>
      <c r="L1558"/>
      <c r="M1558"/>
      <c r="N1558"/>
      <c r="O1558"/>
      <c r="P1558"/>
    </row>
    <row r="1559" spans="8:16" s="1" customFormat="1">
      <c r="H1559" s="185"/>
      <c r="I1559" s="185"/>
      <c r="J1559" s="185"/>
      <c r="K1559"/>
      <c r="L1559"/>
      <c r="M1559"/>
      <c r="N1559"/>
      <c r="O1559"/>
      <c r="P1559"/>
    </row>
    <row r="1560" spans="8:16" s="1" customFormat="1">
      <c r="H1560" s="185"/>
      <c r="I1560" s="185"/>
      <c r="J1560" s="185"/>
      <c r="K1560"/>
      <c r="L1560"/>
      <c r="M1560"/>
      <c r="N1560"/>
      <c r="O1560"/>
      <c r="P1560"/>
    </row>
    <row r="1561" spans="8:16" s="1" customFormat="1">
      <c r="H1561" s="185"/>
      <c r="I1561" s="185"/>
      <c r="J1561" s="185"/>
      <c r="K1561"/>
      <c r="L1561"/>
      <c r="M1561"/>
      <c r="N1561"/>
      <c r="O1561"/>
      <c r="P1561"/>
    </row>
    <row r="1562" spans="8:16" s="1" customFormat="1">
      <c r="H1562" s="185"/>
      <c r="I1562" s="185"/>
      <c r="J1562" s="185"/>
      <c r="K1562"/>
      <c r="L1562"/>
      <c r="M1562"/>
      <c r="N1562"/>
      <c r="O1562"/>
      <c r="P1562"/>
    </row>
    <row r="1563" spans="8:16" s="1" customFormat="1">
      <c r="H1563" s="185"/>
      <c r="I1563" s="185"/>
      <c r="J1563" s="185"/>
      <c r="K1563"/>
      <c r="L1563"/>
      <c r="M1563"/>
      <c r="N1563"/>
      <c r="O1563"/>
      <c r="P1563"/>
    </row>
    <row r="1564" spans="8:16" s="1" customFormat="1">
      <c r="H1564" s="185"/>
      <c r="I1564" s="185"/>
      <c r="J1564" s="185"/>
      <c r="K1564"/>
      <c r="L1564"/>
      <c r="M1564"/>
      <c r="N1564"/>
      <c r="O1564"/>
      <c r="P1564"/>
    </row>
    <row r="1565" spans="8:16" s="1" customFormat="1">
      <c r="H1565" s="185"/>
      <c r="I1565" s="185"/>
      <c r="J1565" s="185"/>
      <c r="K1565"/>
      <c r="L1565"/>
      <c r="M1565"/>
      <c r="N1565"/>
      <c r="O1565"/>
      <c r="P1565"/>
    </row>
    <row r="1566" spans="8:16" s="1" customFormat="1">
      <c r="H1566" s="185"/>
      <c r="I1566" s="185"/>
      <c r="J1566" s="185"/>
      <c r="K1566"/>
      <c r="L1566"/>
      <c r="M1566"/>
      <c r="N1566"/>
      <c r="O1566"/>
      <c r="P1566"/>
    </row>
    <row r="1567" spans="8:16" s="1" customFormat="1">
      <c r="H1567" s="185"/>
      <c r="I1567" s="185"/>
      <c r="J1567" s="185"/>
      <c r="K1567"/>
      <c r="L1567"/>
      <c r="M1567"/>
      <c r="N1567"/>
      <c r="O1567"/>
      <c r="P1567"/>
    </row>
    <row r="1568" spans="8:16" s="1" customFormat="1">
      <c r="H1568" s="185"/>
      <c r="I1568" s="185"/>
      <c r="J1568" s="185"/>
      <c r="K1568"/>
      <c r="L1568"/>
      <c r="M1568"/>
      <c r="N1568"/>
      <c r="O1568"/>
      <c r="P1568"/>
    </row>
    <row r="1569" spans="8:16" s="1" customFormat="1">
      <c r="H1569" s="185"/>
      <c r="I1569" s="185"/>
      <c r="J1569" s="185"/>
      <c r="K1569"/>
      <c r="L1569"/>
      <c r="M1569"/>
      <c r="N1569"/>
      <c r="O1569"/>
      <c r="P1569"/>
    </row>
    <row r="1570" spans="8:16" s="1" customFormat="1">
      <c r="H1570" s="185"/>
      <c r="I1570" s="185"/>
      <c r="J1570" s="185"/>
      <c r="K1570"/>
      <c r="L1570"/>
      <c r="M1570"/>
      <c r="N1570"/>
      <c r="O1570"/>
      <c r="P1570"/>
    </row>
    <row r="1571" spans="8:16" s="1" customFormat="1">
      <c r="H1571" s="185"/>
      <c r="I1571" s="185"/>
      <c r="J1571" s="185"/>
      <c r="K1571"/>
      <c r="L1571"/>
      <c r="M1571"/>
      <c r="N1571"/>
      <c r="O1571"/>
      <c r="P1571"/>
    </row>
    <row r="1572" spans="8:16" s="1" customFormat="1">
      <c r="H1572" s="185"/>
      <c r="I1572" s="185"/>
      <c r="J1572" s="185"/>
      <c r="K1572"/>
      <c r="L1572"/>
      <c r="M1572"/>
      <c r="N1572"/>
      <c r="O1572"/>
      <c r="P1572"/>
    </row>
    <row r="1573" spans="8:16" s="1" customFormat="1">
      <c r="H1573" s="185"/>
      <c r="I1573" s="185"/>
      <c r="J1573" s="185"/>
      <c r="K1573"/>
      <c r="L1573"/>
      <c r="M1573"/>
      <c r="N1573"/>
      <c r="O1573"/>
      <c r="P1573"/>
    </row>
    <row r="1574" spans="8:16" s="1" customFormat="1">
      <c r="H1574" s="185"/>
      <c r="I1574" s="185"/>
      <c r="J1574" s="185"/>
      <c r="K1574"/>
      <c r="L1574"/>
      <c r="M1574"/>
      <c r="N1574"/>
      <c r="O1574"/>
      <c r="P1574"/>
    </row>
    <row r="1575" spans="8:16" s="1" customFormat="1">
      <c r="H1575" s="185"/>
      <c r="I1575" s="185"/>
      <c r="J1575" s="185"/>
      <c r="K1575"/>
      <c r="L1575"/>
      <c r="M1575"/>
      <c r="N1575"/>
      <c r="O1575"/>
      <c r="P1575"/>
    </row>
    <row r="1576" spans="8:16" s="1" customFormat="1">
      <c r="H1576" s="185"/>
      <c r="I1576" s="185"/>
      <c r="J1576" s="185"/>
      <c r="K1576"/>
      <c r="L1576"/>
      <c r="M1576"/>
      <c r="N1576"/>
      <c r="O1576"/>
      <c r="P1576"/>
    </row>
    <row r="1577" spans="8:16" s="1" customFormat="1">
      <c r="H1577" s="185"/>
      <c r="I1577" s="185"/>
      <c r="J1577" s="185"/>
      <c r="K1577"/>
      <c r="L1577"/>
      <c r="M1577"/>
      <c r="N1577"/>
      <c r="O1577"/>
      <c r="P1577"/>
    </row>
    <row r="1578" spans="8:16" s="1" customFormat="1">
      <c r="H1578" s="185"/>
      <c r="I1578" s="185"/>
      <c r="J1578" s="185"/>
      <c r="K1578"/>
      <c r="L1578"/>
      <c r="M1578"/>
      <c r="N1578"/>
      <c r="O1578"/>
      <c r="P1578"/>
    </row>
    <row r="1579" spans="8:16" s="1" customFormat="1">
      <c r="H1579" s="185"/>
      <c r="I1579" s="185"/>
      <c r="J1579" s="185"/>
      <c r="K1579"/>
      <c r="L1579"/>
      <c r="M1579"/>
      <c r="N1579"/>
      <c r="O1579"/>
      <c r="P1579"/>
    </row>
    <row r="1580" spans="8:16" s="1" customFormat="1">
      <c r="H1580" s="185"/>
      <c r="I1580" s="185"/>
      <c r="J1580" s="185"/>
      <c r="K1580"/>
      <c r="L1580"/>
      <c r="M1580"/>
      <c r="N1580"/>
      <c r="O1580"/>
      <c r="P1580"/>
    </row>
    <row r="1581" spans="8:16" s="1" customFormat="1">
      <c r="H1581" s="185"/>
      <c r="I1581" s="185"/>
      <c r="J1581" s="185"/>
      <c r="K1581"/>
      <c r="L1581"/>
      <c r="M1581"/>
      <c r="N1581"/>
      <c r="O1581"/>
      <c r="P1581"/>
    </row>
    <row r="1582" spans="8:16" s="1" customFormat="1">
      <c r="H1582" s="185"/>
      <c r="I1582" s="185"/>
      <c r="J1582" s="185"/>
      <c r="K1582"/>
      <c r="L1582"/>
      <c r="M1582"/>
      <c r="N1582"/>
      <c r="O1582"/>
      <c r="P1582"/>
    </row>
    <row r="1583" spans="8:16" s="1" customFormat="1">
      <c r="H1583" s="185"/>
      <c r="I1583" s="185"/>
      <c r="J1583" s="185"/>
      <c r="K1583"/>
      <c r="L1583"/>
      <c r="M1583"/>
      <c r="N1583"/>
      <c r="O1583"/>
      <c r="P1583"/>
    </row>
    <row r="1584" spans="8:16" s="1" customFormat="1">
      <c r="H1584" s="185"/>
      <c r="I1584" s="185"/>
      <c r="J1584" s="185"/>
      <c r="K1584"/>
      <c r="L1584"/>
      <c r="M1584"/>
      <c r="N1584"/>
      <c r="O1584"/>
      <c r="P1584"/>
    </row>
    <row r="1585" spans="8:16" s="1" customFormat="1">
      <c r="H1585" s="185"/>
      <c r="I1585" s="185"/>
      <c r="J1585" s="185"/>
      <c r="K1585"/>
      <c r="L1585"/>
      <c r="M1585"/>
      <c r="N1585"/>
      <c r="O1585"/>
      <c r="P1585"/>
    </row>
    <row r="1586" spans="8:16" s="1" customFormat="1">
      <c r="H1586" s="185"/>
      <c r="I1586" s="185"/>
      <c r="J1586" s="185"/>
      <c r="K1586"/>
      <c r="L1586"/>
      <c r="M1586"/>
      <c r="N1586"/>
      <c r="O1586"/>
      <c r="P1586"/>
    </row>
    <row r="1587" spans="8:16" s="1" customFormat="1">
      <c r="H1587" s="185"/>
      <c r="I1587" s="185"/>
      <c r="J1587" s="185"/>
      <c r="K1587"/>
      <c r="L1587"/>
      <c r="M1587"/>
      <c r="N1587"/>
      <c r="O1587"/>
      <c r="P1587"/>
    </row>
    <row r="1588" spans="8:16" s="1" customFormat="1">
      <c r="H1588" s="185"/>
      <c r="I1588" s="185"/>
      <c r="J1588" s="185"/>
      <c r="K1588"/>
      <c r="L1588"/>
      <c r="M1588"/>
      <c r="N1588"/>
      <c r="O1588"/>
      <c r="P1588"/>
    </row>
    <row r="1589" spans="8:16" s="1" customFormat="1">
      <c r="H1589" s="185"/>
      <c r="I1589" s="185"/>
      <c r="J1589" s="185"/>
      <c r="K1589"/>
      <c r="L1589"/>
      <c r="M1589"/>
      <c r="N1589"/>
      <c r="O1589"/>
      <c r="P1589"/>
    </row>
    <row r="1590" spans="8:16" s="1" customFormat="1">
      <c r="H1590" s="185"/>
      <c r="I1590" s="185"/>
      <c r="J1590" s="185"/>
      <c r="K1590"/>
      <c r="L1590"/>
      <c r="M1590"/>
      <c r="N1590"/>
      <c r="O1590"/>
      <c r="P1590"/>
    </row>
    <row r="1591" spans="8:16" s="1" customFormat="1">
      <c r="H1591" s="185"/>
      <c r="I1591" s="185"/>
      <c r="J1591" s="185"/>
      <c r="K1591"/>
      <c r="L1591"/>
      <c r="M1591"/>
      <c r="N1591"/>
      <c r="O1591"/>
      <c r="P1591"/>
    </row>
    <row r="1592" spans="8:16" s="1" customFormat="1">
      <c r="H1592" s="185"/>
      <c r="I1592" s="185"/>
      <c r="J1592" s="185"/>
      <c r="K1592"/>
      <c r="L1592"/>
      <c r="M1592"/>
      <c r="N1592"/>
      <c r="O1592"/>
      <c r="P1592"/>
    </row>
    <row r="1593" spans="8:16" s="1" customFormat="1">
      <c r="H1593" s="185"/>
      <c r="I1593" s="185"/>
      <c r="J1593" s="185"/>
      <c r="K1593"/>
      <c r="L1593"/>
      <c r="M1593"/>
      <c r="N1593"/>
      <c r="O1593"/>
      <c r="P1593"/>
    </row>
    <row r="1594" spans="8:16" s="1" customFormat="1">
      <c r="H1594" s="185"/>
      <c r="I1594" s="185"/>
      <c r="J1594" s="185"/>
      <c r="K1594"/>
      <c r="L1594"/>
      <c r="M1594"/>
      <c r="N1594"/>
      <c r="O1594"/>
      <c r="P1594"/>
    </row>
    <row r="1595" spans="8:16" s="1" customFormat="1">
      <c r="H1595" s="185"/>
      <c r="I1595" s="185"/>
      <c r="J1595" s="185"/>
      <c r="K1595"/>
      <c r="L1595"/>
      <c r="M1595"/>
      <c r="N1595"/>
      <c r="O1595"/>
      <c r="P1595"/>
    </row>
    <row r="1596" spans="8:16" s="1" customFormat="1">
      <c r="H1596" s="185"/>
      <c r="I1596" s="185"/>
      <c r="J1596" s="185"/>
      <c r="K1596"/>
      <c r="L1596"/>
      <c r="M1596"/>
      <c r="N1596"/>
      <c r="O1596"/>
      <c r="P1596"/>
    </row>
    <row r="1597" spans="8:16" s="1" customFormat="1">
      <c r="H1597" s="185"/>
      <c r="I1597" s="185"/>
      <c r="J1597" s="185"/>
      <c r="K1597"/>
      <c r="L1597"/>
      <c r="M1597"/>
      <c r="N1597"/>
      <c r="O1597"/>
      <c r="P1597"/>
    </row>
    <row r="1598" spans="8:16" s="1" customFormat="1">
      <c r="H1598" s="185"/>
      <c r="I1598" s="185"/>
      <c r="J1598" s="185"/>
      <c r="K1598"/>
      <c r="L1598"/>
      <c r="M1598"/>
      <c r="N1598"/>
      <c r="O1598"/>
      <c r="P1598"/>
    </row>
    <row r="1599" spans="8:16" s="1" customFormat="1">
      <c r="H1599" s="185"/>
      <c r="I1599" s="185"/>
      <c r="J1599" s="185"/>
      <c r="K1599"/>
      <c r="L1599"/>
      <c r="M1599"/>
      <c r="N1599"/>
      <c r="O1599"/>
      <c r="P1599"/>
    </row>
    <row r="1600" spans="8:16" s="1" customFormat="1">
      <c r="H1600" s="185"/>
      <c r="I1600" s="185"/>
      <c r="J1600" s="185"/>
      <c r="K1600"/>
      <c r="L1600"/>
      <c r="M1600"/>
      <c r="N1600"/>
      <c r="O1600"/>
      <c r="P1600"/>
    </row>
    <row r="1601" spans="8:16" s="1" customFormat="1">
      <c r="H1601" s="185"/>
      <c r="I1601" s="185"/>
      <c r="J1601" s="185"/>
      <c r="K1601"/>
      <c r="L1601"/>
      <c r="M1601"/>
      <c r="N1601"/>
      <c r="O1601"/>
      <c r="P1601"/>
    </row>
    <row r="1602" spans="8:16" s="1" customFormat="1">
      <c r="H1602" s="185"/>
      <c r="I1602" s="185"/>
      <c r="J1602" s="185"/>
      <c r="K1602"/>
      <c r="L1602"/>
      <c r="M1602"/>
      <c r="N1602"/>
      <c r="O1602"/>
      <c r="P1602"/>
    </row>
    <row r="1603" spans="8:16" s="1" customFormat="1">
      <c r="H1603" s="185"/>
      <c r="I1603" s="185"/>
      <c r="J1603" s="185"/>
      <c r="K1603"/>
      <c r="L1603"/>
      <c r="M1603"/>
      <c r="N1603"/>
      <c r="O1603"/>
      <c r="P1603"/>
    </row>
    <row r="1604" spans="8:16" s="1" customFormat="1">
      <c r="H1604" s="185"/>
      <c r="I1604" s="185"/>
      <c r="J1604" s="185"/>
      <c r="K1604"/>
      <c r="L1604"/>
      <c r="M1604"/>
      <c r="N1604"/>
      <c r="O1604"/>
      <c r="P1604"/>
    </row>
    <row r="1605" spans="8:16" s="1" customFormat="1">
      <c r="H1605" s="185"/>
      <c r="I1605" s="185"/>
      <c r="J1605" s="185"/>
      <c r="K1605"/>
      <c r="L1605"/>
      <c r="M1605"/>
      <c r="N1605"/>
      <c r="O1605"/>
      <c r="P1605"/>
    </row>
    <row r="1606" spans="8:16" s="1" customFormat="1">
      <c r="H1606" s="185"/>
      <c r="I1606" s="185"/>
      <c r="J1606" s="185"/>
      <c r="K1606"/>
      <c r="L1606"/>
      <c r="M1606"/>
      <c r="N1606"/>
      <c r="O1606"/>
      <c r="P1606"/>
    </row>
    <row r="1607" spans="8:16" s="1" customFormat="1">
      <c r="H1607" s="185"/>
      <c r="I1607" s="185"/>
      <c r="J1607" s="185"/>
      <c r="K1607"/>
      <c r="L1607"/>
      <c r="M1607"/>
      <c r="N1607"/>
      <c r="O1607"/>
      <c r="P1607"/>
    </row>
    <row r="1608" spans="8:16" s="1" customFormat="1">
      <c r="H1608" s="185"/>
      <c r="I1608" s="185"/>
      <c r="J1608" s="185"/>
      <c r="K1608"/>
      <c r="L1608"/>
      <c r="M1608"/>
      <c r="N1608"/>
      <c r="O1608"/>
      <c r="P1608"/>
    </row>
    <row r="1609" spans="8:16" s="1" customFormat="1">
      <c r="H1609" s="185"/>
      <c r="I1609" s="185"/>
      <c r="J1609" s="185"/>
      <c r="K1609"/>
      <c r="L1609"/>
      <c r="M1609"/>
      <c r="N1609"/>
      <c r="O1609"/>
      <c r="P1609"/>
    </row>
    <row r="1610" spans="8:16" s="1" customFormat="1">
      <c r="H1610" s="185"/>
      <c r="I1610" s="185"/>
      <c r="J1610" s="185"/>
      <c r="K1610"/>
      <c r="L1610"/>
      <c r="M1610"/>
      <c r="N1610"/>
      <c r="O1610"/>
      <c r="P1610"/>
    </row>
    <row r="1611" spans="8:16" s="1" customFormat="1">
      <c r="H1611" s="185"/>
      <c r="I1611" s="185"/>
      <c r="J1611" s="185"/>
      <c r="K1611"/>
      <c r="L1611"/>
      <c r="M1611"/>
      <c r="N1611"/>
      <c r="O1611"/>
      <c r="P1611"/>
    </row>
    <row r="1612" spans="8:16" s="1" customFormat="1">
      <c r="H1612" s="185"/>
      <c r="I1612" s="185"/>
      <c r="J1612" s="185"/>
      <c r="K1612"/>
      <c r="L1612"/>
      <c r="M1612"/>
      <c r="N1612"/>
      <c r="O1612"/>
      <c r="P1612"/>
    </row>
    <row r="1613" spans="8:16" s="1" customFormat="1">
      <c r="H1613" s="185"/>
      <c r="I1613" s="185"/>
      <c r="J1613" s="185"/>
      <c r="K1613"/>
      <c r="L1613"/>
      <c r="M1613"/>
      <c r="N1613"/>
      <c r="O1613"/>
      <c r="P1613"/>
    </row>
    <row r="1614" spans="8:16" s="1" customFormat="1">
      <c r="H1614" s="185"/>
      <c r="I1614" s="185"/>
      <c r="J1614" s="185"/>
      <c r="K1614"/>
      <c r="L1614"/>
      <c r="M1614"/>
      <c r="N1614"/>
      <c r="O1614"/>
      <c r="P1614"/>
    </row>
    <row r="1615" spans="8:16" s="1" customFormat="1">
      <c r="H1615" s="185"/>
      <c r="I1615" s="185"/>
      <c r="J1615" s="185"/>
      <c r="K1615"/>
      <c r="L1615"/>
      <c r="M1615"/>
      <c r="N1615"/>
      <c r="O1615"/>
      <c r="P1615"/>
    </row>
    <row r="1616" spans="8:16" s="1" customFormat="1">
      <c r="H1616" s="185"/>
      <c r="I1616" s="185"/>
      <c r="J1616" s="185"/>
      <c r="K1616"/>
      <c r="L1616"/>
      <c r="M1616"/>
      <c r="N1616"/>
      <c r="O1616"/>
      <c r="P1616"/>
    </row>
    <row r="1617" spans="8:16" s="1" customFormat="1">
      <c r="H1617" s="185"/>
      <c r="I1617" s="185"/>
      <c r="J1617" s="185"/>
      <c r="K1617"/>
      <c r="L1617"/>
      <c r="M1617"/>
      <c r="N1617"/>
      <c r="O1617"/>
      <c r="P1617"/>
    </row>
    <row r="1618" spans="8:16" s="1" customFormat="1">
      <c r="H1618" s="185"/>
      <c r="I1618" s="185"/>
      <c r="J1618" s="185"/>
      <c r="K1618"/>
      <c r="L1618"/>
      <c r="M1618"/>
      <c r="N1618"/>
      <c r="O1618"/>
      <c r="P1618"/>
    </row>
    <row r="1619" spans="8:16" s="1" customFormat="1">
      <c r="H1619" s="185"/>
      <c r="I1619" s="185"/>
      <c r="J1619" s="185"/>
      <c r="K1619"/>
      <c r="L1619"/>
      <c r="M1619"/>
      <c r="N1619"/>
      <c r="O1619"/>
      <c r="P1619"/>
    </row>
    <row r="1620" spans="8:16" s="1" customFormat="1">
      <c r="H1620" s="185"/>
      <c r="I1620" s="185"/>
      <c r="J1620" s="185"/>
      <c r="K1620"/>
      <c r="L1620"/>
      <c r="M1620"/>
      <c r="N1620"/>
      <c r="O1620"/>
      <c r="P1620"/>
    </row>
    <row r="1621" spans="8:16" s="1" customFormat="1">
      <c r="H1621" s="185"/>
      <c r="I1621" s="185"/>
      <c r="J1621" s="185"/>
      <c r="K1621"/>
      <c r="L1621"/>
      <c r="M1621"/>
      <c r="N1621"/>
      <c r="O1621"/>
      <c r="P1621"/>
    </row>
    <row r="1622" spans="8:16" s="1" customFormat="1">
      <c r="H1622" s="185"/>
      <c r="I1622" s="185"/>
      <c r="J1622" s="185"/>
      <c r="K1622"/>
      <c r="L1622"/>
      <c r="M1622"/>
      <c r="N1622"/>
      <c r="O1622"/>
      <c r="P1622"/>
    </row>
    <row r="1623" spans="8:16" s="1" customFormat="1">
      <c r="H1623" s="185"/>
      <c r="I1623" s="185"/>
      <c r="J1623" s="185"/>
      <c r="K1623"/>
      <c r="L1623"/>
      <c r="M1623"/>
      <c r="N1623"/>
      <c r="O1623"/>
      <c r="P1623"/>
    </row>
    <row r="1624" spans="8:16" s="1" customFormat="1">
      <c r="H1624" s="185"/>
      <c r="I1624" s="185"/>
      <c r="J1624" s="185"/>
      <c r="K1624"/>
      <c r="L1624"/>
      <c r="M1624"/>
      <c r="N1624"/>
      <c r="O1624"/>
      <c r="P1624"/>
    </row>
    <row r="1625" spans="8:16" s="1" customFormat="1">
      <c r="H1625" s="185"/>
      <c r="I1625" s="185"/>
      <c r="J1625" s="185"/>
      <c r="K1625"/>
      <c r="L1625"/>
      <c r="M1625"/>
      <c r="N1625"/>
      <c r="O1625"/>
      <c r="P1625"/>
    </row>
    <row r="1626" spans="8:16" s="1" customFormat="1">
      <c r="H1626" s="185"/>
      <c r="I1626" s="185"/>
      <c r="J1626" s="185"/>
      <c r="K1626"/>
      <c r="L1626"/>
      <c r="M1626"/>
      <c r="N1626"/>
      <c r="O1626"/>
      <c r="P1626"/>
    </row>
    <row r="1627" spans="8:16" s="1" customFormat="1">
      <c r="H1627" s="185"/>
      <c r="I1627" s="185"/>
      <c r="J1627" s="185"/>
      <c r="K1627"/>
      <c r="L1627"/>
      <c r="M1627"/>
      <c r="N1627"/>
      <c r="O1627"/>
      <c r="P1627"/>
    </row>
    <row r="1628" spans="8:16" s="1" customFormat="1">
      <c r="H1628" s="185"/>
      <c r="I1628" s="185"/>
      <c r="J1628" s="185"/>
      <c r="K1628"/>
      <c r="L1628"/>
      <c r="M1628"/>
      <c r="N1628"/>
      <c r="O1628"/>
      <c r="P1628"/>
    </row>
    <row r="1629" spans="8:16" s="1" customFormat="1">
      <c r="H1629" s="185"/>
      <c r="I1629" s="185"/>
      <c r="J1629" s="185"/>
      <c r="K1629"/>
      <c r="L1629"/>
      <c r="M1629"/>
      <c r="N1629"/>
      <c r="O1629"/>
      <c r="P1629"/>
    </row>
    <row r="1630" spans="8:16" s="1" customFormat="1">
      <c r="H1630" s="185"/>
      <c r="I1630" s="185"/>
      <c r="J1630" s="185"/>
      <c r="K1630"/>
      <c r="L1630"/>
      <c r="M1630"/>
      <c r="N1630"/>
      <c r="O1630"/>
      <c r="P1630"/>
    </row>
    <row r="1631" spans="8:16" s="1" customFormat="1">
      <c r="H1631" s="185"/>
      <c r="I1631" s="185"/>
      <c r="J1631" s="185"/>
      <c r="K1631"/>
      <c r="L1631"/>
      <c r="M1631"/>
      <c r="N1631"/>
      <c r="O1631"/>
      <c r="P1631"/>
    </row>
    <row r="1632" spans="8:16" s="1" customFormat="1">
      <c r="H1632" s="185"/>
      <c r="I1632" s="185"/>
      <c r="J1632" s="185"/>
      <c r="K1632"/>
      <c r="L1632"/>
      <c r="M1632"/>
      <c r="N1632"/>
      <c r="O1632"/>
      <c r="P1632"/>
    </row>
    <row r="1633" spans="8:16" s="1" customFormat="1">
      <c r="H1633" s="185"/>
      <c r="I1633" s="185"/>
      <c r="J1633" s="185"/>
      <c r="K1633"/>
      <c r="L1633"/>
      <c r="M1633"/>
      <c r="N1633"/>
      <c r="O1633"/>
      <c r="P1633"/>
    </row>
    <row r="1634" spans="8:16" s="1" customFormat="1">
      <c r="H1634" s="185"/>
      <c r="I1634" s="185"/>
      <c r="J1634" s="185"/>
      <c r="K1634"/>
      <c r="L1634"/>
      <c r="M1634"/>
      <c r="N1634"/>
      <c r="O1634"/>
      <c r="P1634"/>
    </row>
    <row r="1635" spans="8:16" s="1" customFormat="1">
      <c r="H1635" s="185"/>
      <c r="I1635" s="185"/>
      <c r="J1635" s="185"/>
      <c r="K1635"/>
      <c r="L1635"/>
      <c r="M1635"/>
      <c r="N1635"/>
      <c r="O1635"/>
      <c r="P1635"/>
    </row>
    <row r="1636" spans="8:16" s="1" customFormat="1">
      <c r="H1636" s="185"/>
      <c r="I1636" s="185"/>
      <c r="J1636" s="185"/>
      <c r="K1636"/>
      <c r="L1636"/>
      <c r="M1636"/>
      <c r="N1636"/>
      <c r="O1636"/>
      <c r="P1636"/>
    </row>
    <row r="1637" spans="8:16" s="1" customFormat="1">
      <c r="H1637" s="185"/>
      <c r="I1637" s="185"/>
      <c r="J1637" s="185"/>
      <c r="K1637"/>
      <c r="L1637"/>
      <c r="M1637"/>
      <c r="N1637"/>
      <c r="O1637"/>
      <c r="P1637"/>
    </row>
    <row r="1638" spans="8:16" s="1" customFormat="1">
      <c r="H1638" s="185"/>
      <c r="I1638" s="185"/>
      <c r="J1638" s="185"/>
      <c r="K1638"/>
      <c r="L1638"/>
      <c r="M1638"/>
      <c r="N1638"/>
      <c r="O1638"/>
      <c r="P1638"/>
    </row>
    <row r="1639" spans="8:16" s="1" customFormat="1">
      <c r="H1639" s="185"/>
      <c r="I1639" s="185"/>
      <c r="J1639" s="185"/>
      <c r="K1639"/>
      <c r="L1639"/>
      <c r="M1639"/>
      <c r="N1639"/>
      <c r="O1639"/>
      <c r="P1639"/>
    </row>
    <row r="1640" spans="8:16" s="1" customFormat="1">
      <c r="H1640" s="185"/>
      <c r="I1640" s="185"/>
      <c r="J1640" s="185"/>
      <c r="K1640"/>
      <c r="L1640"/>
      <c r="M1640"/>
      <c r="N1640"/>
      <c r="O1640"/>
      <c r="P1640"/>
    </row>
    <row r="1641" spans="8:16" s="1" customFormat="1">
      <c r="H1641" s="185"/>
      <c r="I1641" s="185"/>
      <c r="J1641" s="185"/>
      <c r="K1641"/>
      <c r="L1641"/>
      <c r="M1641"/>
      <c r="N1641"/>
      <c r="O1641"/>
      <c r="P1641"/>
    </row>
    <row r="1642" spans="8:16" s="1" customFormat="1">
      <c r="H1642" s="185"/>
      <c r="I1642" s="185"/>
      <c r="J1642" s="185"/>
      <c r="K1642"/>
      <c r="L1642"/>
      <c r="M1642"/>
      <c r="N1642"/>
      <c r="O1642"/>
      <c r="P1642"/>
    </row>
    <row r="1643" spans="8:16" s="1" customFormat="1">
      <c r="H1643" s="185"/>
      <c r="I1643" s="185"/>
      <c r="J1643" s="185"/>
      <c r="K1643"/>
      <c r="L1643"/>
      <c r="M1643"/>
      <c r="N1643"/>
      <c r="O1643"/>
      <c r="P1643"/>
    </row>
    <row r="1644" spans="8:16" s="1" customFormat="1">
      <c r="H1644" s="185"/>
      <c r="I1644" s="185"/>
      <c r="J1644" s="185"/>
      <c r="K1644"/>
      <c r="L1644"/>
      <c r="M1644"/>
      <c r="N1644"/>
      <c r="O1644"/>
      <c r="P1644"/>
    </row>
    <row r="1645" spans="8:16" s="1" customFormat="1">
      <c r="H1645" s="185"/>
      <c r="I1645" s="185"/>
      <c r="J1645" s="185"/>
      <c r="K1645"/>
      <c r="L1645"/>
      <c r="M1645"/>
      <c r="N1645"/>
      <c r="O1645"/>
      <c r="P1645"/>
    </row>
    <row r="1646" spans="8:16" s="1" customFormat="1">
      <c r="H1646" s="185"/>
      <c r="I1646" s="185"/>
      <c r="J1646" s="185"/>
      <c r="K1646"/>
      <c r="L1646"/>
      <c r="M1646"/>
      <c r="N1646"/>
      <c r="O1646"/>
      <c r="P1646"/>
    </row>
    <row r="1647" spans="8:16" s="1" customFormat="1">
      <c r="H1647" s="185"/>
      <c r="I1647" s="185"/>
      <c r="J1647" s="185"/>
      <c r="K1647"/>
      <c r="L1647"/>
      <c r="M1647"/>
      <c r="N1647"/>
      <c r="O1647"/>
      <c r="P1647"/>
    </row>
    <row r="1648" spans="8:16" s="1" customFormat="1">
      <c r="H1648" s="185"/>
      <c r="I1648" s="185"/>
      <c r="J1648" s="185"/>
      <c r="K1648"/>
      <c r="L1648"/>
      <c r="M1648"/>
      <c r="N1648"/>
      <c r="O1648"/>
      <c r="P1648"/>
    </row>
    <row r="1649" spans="8:16" s="1" customFormat="1">
      <c r="H1649" s="185"/>
      <c r="I1649" s="185"/>
      <c r="J1649" s="185"/>
      <c r="K1649"/>
      <c r="L1649"/>
      <c r="M1649"/>
      <c r="N1649"/>
      <c r="O1649"/>
      <c r="P1649"/>
    </row>
    <row r="1650" spans="8:16" s="1" customFormat="1">
      <c r="H1650" s="185"/>
      <c r="I1650" s="185"/>
      <c r="J1650" s="185"/>
      <c r="K1650"/>
      <c r="L1650"/>
      <c r="M1650"/>
      <c r="N1650"/>
      <c r="O1650"/>
      <c r="P1650"/>
    </row>
    <row r="1651" spans="8:16" s="1" customFormat="1">
      <c r="H1651" s="185"/>
      <c r="I1651" s="185"/>
      <c r="J1651" s="185"/>
      <c r="K1651"/>
      <c r="L1651"/>
      <c r="M1651"/>
      <c r="N1651"/>
      <c r="O1651"/>
      <c r="P1651"/>
    </row>
    <row r="1652" spans="8:16" s="1" customFormat="1">
      <c r="H1652" s="185"/>
      <c r="I1652" s="185"/>
      <c r="J1652" s="185"/>
      <c r="K1652"/>
      <c r="L1652"/>
      <c r="M1652"/>
      <c r="N1652"/>
      <c r="O1652"/>
      <c r="P1652"/>
    </row>
    <row r="1653" spans="8:16" s="1" customFormat="1">
      <c r="H1653" s="185"/>
      <c r="I1653" s="185"/>
      <c r="J1653" s="185"/>
      <c r="K1653"/>
      <c r="L1653"/>
      <c r="M1653"/>
      <c r="N1653"/>
      <c r="O1653"/>
      <c r="P1653"/>
    </row>
    <row r="1654" spans="8:16" s="1" customFormat="1">
      <c r="H1654" s="185"/>
      <c r="I1654" s="185"/>
      <c r="J1654" s="185"/>
      <c r="K1654"/>
      <c r="L1654"/>
      <c r="M1654"/>
      <c r="N1654"/>
      <c r="O1654"/>
      <c r="P1654"/>
    </row>
    <row r="1655" spans="8:16" s="1" customFormat="1">
      <c r="H1655" s="185"/>
      <c r="I1655" s="185"/>
      <c r="J1655" s="185"/>
      <c r="K1655"/>
      <c r="L1655"/>
      <c r="M1655"/>
      <c r="N1655"/>
      <c r="O1655"/>
      <c r="P1655"/>
    </row>
    <row r="1656" spans="8:16" s="1" customFormat="1">
      <c r="H1656" s="185"/>
      <c r="I1656" s="185"/>
      <c r="J1656" s="185"/>
      <c r="K1656"/>
      <c r="L1656"/>
      <c r="M1656"/>
      <c r="N1656"/>
      <c r="O1656"/>
      <c r="P1656"/>
    </row>
    <row r="1657" spans="8:16" s="1" customFormat="1">
      <c r="H1657" s="185"/>
      <c r="I1657" s="185"/>
      <c r="J1657" s="185"/>
      <c r="K1657"/>
      <c r="L1657"/>
      <c r="M1657"/>
      <c r="N1657"/>
      <c r="O1657"/>
      <c r="P1657"/>
    </row>
    <row r="1658" spans="8:16" s="1" customFormat="1">
      <c r="H1658" s="185"/>
      <c r="I1658" s="185"/>
      <c r="J1658" s="185"/>
      <c r="K1658"/>
      <c r="L1658"/>
      <c r="M1658"/>
      <c r="N1658"/>
      <c r="O1658"/>
      <c r="P1658"/>
    </row>
    <row r="1659" spans="8:16" s="1" customFormat="1">
      <c r="H1659" s="185"/>
      <c r="I1659" s="185"/>
      <c r="J1659" s="185"/>
      <c r="K1659"/>
      <c r="L1659"/>
      <c r="M1659"/>
      <c r="N1659"/>
      <c r="O1659"/>
      <c r="P1659"/>
    </row>
    <row r="1660" spans="8:16" s="1" customFormat="1">
      <c r="H1660" s="185"/>
      <c r="I1660" s="185"/>
      <c r="J1660" s="185"/>
      <c r="K1660"/>
      <c r="L1660"/>
      <c r="M1660"/>
      <c r="N1660"/>
      <c r="O1660"/>
      <c r="P1660"/>
    </row>
    <row r="1661" spans="8:16" s="1" customFormat="1">
      <c r="H1661" s="185"/>
      <c r="I1661" s="185"/>
      <c r="J1661" s="185"/>
      <c r="K1661"/>
      <c r="L1661"/>
      <c r="M1661"/>
      <c r="N1661"/>
      <c r="O1661"/>
      <c r="P1661"/>
    </row>
    <row r="1662" spans="8:16" s="1" customFormat="1">
      <c r="H1662" s="185"/>
      <c r="I1662" s="185"/>
      <c r="J1662" s="185"/>
      <c r="K1662"/>
      <c r="L1662"/>
      <c r="M1662"/>
      <c r="N1662"/>
      <c r="O1662"/>
      <c r="P1662"/>
    </row>
    <row r="1663" spans="8:16" s="1" customFormat="1">
      <c r="H1663" s="185"/>
      <c r="I1663" s="185"/>
      <c r="J1663" s="185"/>
      <c r="K1663"/>
      <c r="L1663"/>
      <c r="M1663"/>
      <c r="N1663"/>
      <c r="O1663"/>
      <c r="P1663"/>
    </row>
    <row r="1664" spans="8:16" s="1" customFormat="1">
      <c r="H1664" s="185"/>
      <c r="I1664" s="185"/>
      <c r="J1664" s="185"/>
      <c r="K1664"/>
      <c r="L1664"/>
      <c r="M1664"/>
      <c r="N1664"/>
      <c r="O1664"/>
      <c r="P1664"/>
    </row>
    <row r="1665" spans="8:16" s="1" customFormat="1">
      <c r="H1665" s="185"/>
      <c r="I1665" s="185"/>
      <c r="J1665" s="185"/>
      <c r="K1665"/>
      <c r="L1665"/>
      <c r="M1665"/>
      <c r="N1665"/>
      <c r="O1665"/>
      <c r="P1665"/>
    </row>
    <row r="1666" spans="8:16" s="1" customFormat="1">
      <c r="H1666" s="185"/>
      <c r="I1666" s="185"/>
      <c r="J1666" s="185"/>
      <c r="K1666"/>
      <c r="L1666"/>
      <c r="M1666"/>
      <c r="N1666"/>
      <c r="O1666"/>
      <c r="P1666"/>
    </row>
    <row r="1667" spans="8:16" s="1" customFormat="1">
      <c r="H1667" s="185"/>
      <c r="I1667" s="185"/>
      <c r="J1667" s="185"/>
      <c r="K1667"/>
      <c r="L1667"/>
      <c r="M1667"/>
      <c r="N1667"/>
      <c r="O1667"/>
      <c r="P1667"/>
    </row>
    <row r="1668" spans="8:16" s="1" customFormat="1">
      <c r="H1668" s="185"/>
      <c r="I1668" s="185"/>
      <c r="J1668" s="185"/>
      <c r="K1668"/>
      <c r="L1668"/>
      <c r="M1668"/>
      <c r="N1668"/>
      <c r="O1668"/>
      <c r="P1668"/>
    </row>
    <row r="1669" spans="8:16" s="1" customFormat="1">
      <c r="H1669" s="185"/>
      <c r="I1669" s="185"/>
      <c r="J1669" s="185"/>
      <c r="K1669"/>
      <c r="L1669"/>
      <c r="M1669"/>
      <c r="N1669"/>
      <c r="O1669"/>
      <c r="P1669"/>
    </row>
    <row r="1670" spans="8:16" s="1" customFormat="1">
      <c r="H1670" s="185"/>
      <c r="I1670" s="185"/>
      <c r="J1670" s="185"/>
      <c r="K1670"/>
      <c r="L1670"/>
      <c r="M1670"/>
      <c r="N1670"/>
      <c r="O1670"/>
      <c r="P1670"/>
    </row>
    <row r="1671" spans="8:16" s="1" customFormat="1">
      <c r="H1671" s="185"/>
      <c r="I1671" s="185"/>
      <c r="J1671" s="185"/>
      <c r="K1671"/>
      <c r="L1671"/>
      <c r="M1671"/>
      <c r="N1671"/>
      <c r="O1671"/>
      <c r="P1671"/>
    </row>
    <row r="1672" spans="8:16" s="1" customFormat="1">
      <c r="H1672" s="185"/>
      <c r="I1672" s="185"/>
      <c r="J1672" s="185"/>
      <c r="K1672"/>
      <c r="L1672"/>
      <c r="M1672"/>
      <c r="N1672"/>
      <c r="O1672"/>
      <c r="P1672"/>
    </row>
    <row r="1673" spans="8:16" s="1" customFormat="1">
      <c r="H1673" s="185"/>
      <c r="I1673" s="185"/>
      <c r="J1673" s="185"/>
      <c r="K1673"/>
      <c r="L1673"/>
      <c r="M1673"/>
      <c r="N1673"/>
      <c r="O1673"/>
      <c r="P1673"/>
    </row>
    <row r="1674" spans="8:16" s="1" customFormat="1">
      <c r="H1674" s="185"/>
      <c r="I1674" s="185"/>
      <c r="J1674" s="185"/>
      <c r="K1674"/>
      <c r="L1674"/>
      <c r="M1674"/>
      <c r="N1674"/>
      <c r="O1674"/>
      <c r="P1674"/>
    </row>
    <row r="1675" spans="8:16" s="1" customFormat="1">
      <c r="H1675" s="185"/>
      <c r="I1675" s="185"/>
      <c r="J1675" s="185"/>
      <c r="K1675"/>
      <c r="L1675"/>
      <c r="M1675"/>
      <c r="N1675"/>
      <c r="O1675"/>
      <c r="P1675"/>
    </row>
    <row r="1676" spans="8:16" s="1" customFormat="1">
      <c r="H1676" s="185"/>
      <c r="I1676" s="185"/>
      <c r="J1676" s="185"/>
      <c r="K1676"/>
      <c r="L1676"/>
      <c r="M1676"/>
      <c r="N1676"/>
      <c r="O1676"/>
      <c r="P1676"/>
    </row>
    <row r="1677" spans="8:16" s="1" customFormat="1">
      <c r="H1677" s="185"/>
      <c r="I1677" s="185"/>
      <c r="J1677" s="185"/>
      <c r="K1677"/>
      <c r="L1677"/>
      <c r="M1677"/>
      <c r="N1677"/>
      <c r="O1677"/>
      <c r="P1677"/>
    </row>
    <row r="1678" spans="8:16" s="1" customFormat="1">
      <c r="H1678" s="185"/>
      <c r="I1678" s="185"/>
      <c r="J1678" s="185"/>
      <c r="K1678"/>
      <c r="L1678"/>
      <c r="M1678"/>
      <c r="N1678"/>
      <c r="O1678"/>
      <c r="P1678"/>
    </row>
    <row r="1679" spans="8:16" s="1" customFormat="1">
      <c r="H1679" s="185"/>
      <c r="I1679" s="185"/>
      <c r="J1679" s="185"/>
      <c r="K1679"/>
      <c r="L1679"/>
      <c r="M1679"/>
      <c r="N1679"/>
      <c r="O1679"/>
      <c r="P1679"/>
    </row>
    <row r="1680" spans="8:16" s="1" customFormat="1">
      <c r="H1680" s="185"/>
      <c r="I1680" s="185"/>
      <c r="J1680" s="185"/>
      <c r="K1680"/>
      <c r="L1680"/>
      <c r="M1680"/>
      <c r="N1680"/>
      <c r="O1680"/>
      <c r="P1680"/>
    </row>
    <row r="1681" spans="8:16" s="1" customFormat="1">
      <c r="H1681" s="185"/>
      <c r="I1681" s="185"/>
      <c r="J1681" s="185"/>
      <c r="K1681"/>
      <c r="L1681"/>
      <c r="M1681"/>
      <c r="N1681"/>
      <c r="O1681"/>
      <c r="P1681"/>
    </row>
    <row r="1682" spans="8:16" s="1" customFormat="1">
      <c r="H1682" s="185"/>
      <c r="I1682" s="185"/>
      <c r="J1682" s="185"/>
      <c r="K1682"/>
      <c r="L1682"/>
      <c r="M1682"/>
      <c r="N1682"/>
      <c r="O1682"/>
      <c r="P1682"/>
    </row>
    <row r="1683" spans="8:16" s="1" customFormat="1">
      <c r="H1683" s="185"/>
      <c r="I1683" s="185"/>
      <c r="J1683" s="185"/>
      <c r="K1683"/>
      <c r="L1683"/>
      <c r="M1683"/>
      <c r="N1683"/>
      <c r="O1683"/>
      <c r="P1683"/>
    </row>
    <row r="1684" spans="8:16" s="1" customFormat="1">
      <c r="H1684" s="185"/>
      <c r="I1684" s="185"/>
      <c r="J1684" s="185"/>
      <c r="K1684"/>
      <c r="L1684"/>
      <c r="M1684"/>
      <c r="N1684"/>
      <c r="O1684"/>
      <c r="P1684"/>
    </row>
    <row r="1685" spans="8:16" s="1" customFormat="1">
      <c r="H1685" s="185"/>
      <c r="I1685" s="185"/>
      <c r="J1685" s="185"/>
      <c r="K1685"/>
      <c r="L1685"/>
      <c r="M1685"/>
      <c r="N1685"/>
      <c r="O1685"/>
      <c r="P1685"/>
    </row>
    <row r="1686" spans="8:16" s="1" customFormat="1">
      <c r="H1686" s="185"/>
      <c r="I1686" s="185"/>
      <c r="J1686" s="185"/>
      <c r="K1686"/>
      <c r="L1686"/>
      <c r="M1686"/>
      <c r="N1686"/>
      <c r="O1686"/>
      <c r="P1686"/>
    </row>
    <row r="1687" spans="8:16" s="1" customFormat="1">
      <c r="H1687" s="185"/>
      <c r="I1687" s="185"/>
      <c r="J1687" s="185"/>
      <c r="K1687"/>
      <c r="L1687"/>
      <c r="M1687"/>
      <c r="N1687"/>
      <c r="O1687"/>
      <c r="P1687"/>
    </row>
    <row r="1688" spans="8:16" s="1" customFormat="1">
      <c r="H1688" s="185"/>
      <c r="I1688" s="185"/>
      <c r="J1688" s="185"/>
      <c r="K1688"/>
      <c r="L1688"/>
      <c r="M1688"/>
      <c r="N1688"/>
      <c r="O1688"/>
      <c r="P1688"/>
    </row>
    <row r="1689" spans="8:16" s="1" customFormat="1">
      <c r="H1689" s="185"/>
      <c r="I1689" s="185"/>
      <c r="J1689" s="185"/>
      <c r="K1689"/>
      <c r="L1689"/>
      <c r="M1689"/>
      <c r="N1689"/>
      <c r="O1689"/>
      <c r="P1689"/>
    </row>
    <row r="1690" spans="8:16" s="1" customFormat="1">
      <c r="H1690" s="185"/>
      <c r="I1690" s="185"/>
      <c r="J1690" s="185"/>
      <c r="K1690"/>
      <c r="L1690"/>
      <c r="M1690"/>
      <c r="N1690"/>
      <c r="O1690"/>
      <c r="P1690"/>
    </row>
    <row r="1691" spans="8:16" s="1" customFormat="1">
      <c r="H1691" s="185"/>
      <c r="I1691" s="185"/>
      <c r="J1691" s="185"/>
      <c r="K1691"/>
      <c r="L1691"/>
      <c r="M1691"/>
      <c r="N1691"/>
      <c r="O1691"/>
      <c r="P1691"/>
    </row>
    <row r="1692" spans="8:16" s="1" customFormat="1">
      <c r="H1692" s="185"/>
      <c r="I1692" s="185"/>
      <c r="J1692" s="185"/>
      <c r="K1692"/>
      <c r="L1692"/>
      <c r="M1692"/>
      <c r="N1692"/>
      <c r="O1692"/>
      <c r="P1692"/>
    </row>
    <row r="1693" spans="8:16" s="1" customFormat="1">
      <c r="H1693" s="185"/>
      <c r="I1693" s="185"/>
      <c r="J1693" s="185"/>
      <c r="K1693"/>
      <c r="L1693"/>
      <c r="M1693"/>
      <c r="N1693"/>
      <c r="O1693"/>
      <c r="P1693"/>
    </row>
    <row r="1694" spans="8:16" s="1" customFormat="1">
      <c r="H1694" s="185"/>
      <c r="I1694" s="185"/>
      <c r="J1694" s="185"/>
      <c r="K1694"/>
      <c r="L1694"/>
      <c r="M1694"/>
      <c r="N1694"/>
      <c r="O1694"/>
      <c r="P1694"/>
    </row>
    <row r="1695" spans="8:16" s="1" customFormat="1">
      <c r="H1695" s="185"/>
      <c r="I1695" s="185"/>
      <c r="J1695" s="185"/>
      <c r="K1695"/>
      <c r="L1695"/>
      <c r="M1695"/>
      <c r="N1695"/>
      <c r="O1695"/>
      <c r="P1695"/>
    </row>
    <row r="1696" spans="8:16" s="1" customFormat="1">
      <c r="H1696" s="185"/>
      <c r="I1696" s="185"/>
      <c r="J1696" s="185"/>
      <c r="K1696"/>
      <c r="L1696"/>
      <c r="M1696"/>
      <c r="N1696"/>
      <c r="O1696"/>
      <c r="P1696"/>
    </row>
    <row r="1697" spans="8:16" s="1" customFormat="1">
      <c r="H1697" s="185"/>
      <c r="I1697" s="185"/>
      <c r="J1697" s="185"/>
      <c r="K1697"/>
      <c r="L1697"/>
      <c r="M1697"/>
      <c r="N1697"/>
      <c r="O1697"/>
      <c r="P1697"/>
    </row>
    <row r="1698" spans="8:16" s="1" customFormat="1">
      <c r="H1698" s="185"/>
      <c r="I1698" s="185"/>
      <c r="J1698" s="185"/>
      <c r="K1698"/>
      <c r="L1698"/>
      <c r="M1698"/>
      <c r="N1698"/>
      <c r="O1698"/>
      <c r="P1698"/>
    </row>
    <row r="1699" spans="8:16" s="1" customFormat="1">
      <c r="H1699" s="185"/>
      <c r="I1699" s="185"/>
      <c r="J1699" s="185"/>
      <c r="K1699"/>
      <c r="L1699"/>
      <c r="M1699"/>
      <c r="N1699"/>
      <c r="O1699"/>
      <c r="P1699"/>
    </row>
    <row r="1700" spans="8:16" s="1" customFormat="1">
      <c r="H1700" s="185"/>
      <c r="I1700" s="185"/>
      <c r="J1700" s="185"/>
      <c r="K1700"/>
      <c r="L1700"/>
      <c r="M1700"/>
      <c r="N1700"/>
      <c r="O1700"/>
      <c r="P1700"/>
    </row>
    <row r="1701" spans="8:16" s="1" customFormat="1">
      <c r="H1701" s="185"/>
      <c r="I1701" s="185"/>
      <c r="J1701" s="185"/>
      <c r="K1701"/>
      <c r="L1701"/>
      <c r="M1701"/>
      <c r="N1701"/>
      <c r="O1701"/>
      <c r="P1701"/>
    </row>
    <row r="1702" spans="8:16" s="1" customFormat="1">
      <c r="H1702" s="185"/>
      <c r="I1702" s="185"/>
      <c r="J1702" s="185"/>
      <c r="K1702"/>
      <c r="L1702"/>
      <c r="M1702"/>
      <c r="N1702"/>
      <c r="O1702"/>
      <c r="P1702"/>
    </row>
    <row r="1703" spans="8:16" s="1" customFormat="1">
      <c r="H1703" s="185"/>
      <c r="I1703" s="185"/>
      <c r="J1703" s="185"/>
      <c r="K1703"/>
      <c r="L1703"/>
      <c r="M1703"/>
      <c r="N1703"/>
      <c r="O1703"/>
      <c r="P1703"/>
    </row>
    <row r="1704" spans="8:16" s="1" customFormat="1">
      <c r="H1704" s="185"/>
      <c r="I1704" s="185"/>
      <c r="J1704" s="185"/>
      <c r="K1704"/>
      <c r="L1704"/>
      <c r="M1704"/>
      <c r="N1704"/>
      <c r="O1704"/>
      <c r="P1704"/>
    </row>
    <row r="1705" spans="8:16" s="1" customFormat="1">
      <c r="H1705" s="185"/>
      <c r="I1705" s="185"/>
      <c r="J1705" s="185"/>
      <c r="K1705"/>
      <c r="L1705"/>
      <c r="M1705"/>
      <c r="N1705"/>
      <c r="O1705"/>
      <c r="P1705"/>
    </row>
    <row r="1706" spans="8:16" s="1" customFormat="1">
      <c r="H1706" s="185"/>
      <c r="I1706" s="185"/>
      <c r="J1706" s="185"/>
      <c r="K1706"/>
      <c r="L1706"/>
      <c r="M1706"/>
      <c r="N1706"/>
      <c r="O1706"/>
      <c r="P1706"/>
    </row>
    <row r="1707" spans="8:16" s="1" customFormat="1">
      <c r="H1707" s="185"/>
      <c r="I1707" s="185"/>
      <c r="J1707" s="185"/>
      <c r="K1707"/>
      <c r="L1707"/>
      <c r="M1707"/>
      <c r="N1707"/>
      <c r="O1707"/>
      <c r="P1707"/>
    </row>
    <row r="1708" spans="8:16" s="1" customFormat="1">
      <c r="H1708" s="185"/>
      <c r="I1708" s="185"/>
      <c r="J1708" s="185"/>
      <c r="K1708"/>
      <c r="L1708"/>
      <c r="M1708"/>
      <c r="N1708"/>
      <c r="O1708"/>
      <c r="P1708"/>
    </row>
    <row r="1709" spans="8:16" s="1" customFormat="1">
      <c r="H1709" s="185"/>
      <c r="I1709" s="185"/>
      <c r="J1709" s="185"/>
      <c r="K1709"/>
      <c r="L1709"/>
      <c r="M1709"/>
      <c r="N1709"/>
      <c r="O1709"/>
      <c r="P1709"/>
    </row>
    <row r="1710" spans="8:16" s="1" customFormat="1">
      <c r="H1710" s="185"/>
      <c r="I1710" s="185"/>
      <c r="J1710" s="185"/>
      <c r="K1710"/>
      <c r="L1710"/>
      <c r="M1710"/>
      <c r="N1710"/>
      <c r="O1710"/>
      <c r="P1710"/>
    </row>
    <row r="1711" spans="8:16" s="1" customFormat="1">
      <c r="H1711" s="185"/>
      <c r="I1711" s="185"/>
      <c r="J1711" s="185"/>
      <c r="K1711"/>
      <c r="L1711"/>
      <c r="M1711"/>
      <c r="N1711"/>
      <c r="O1711"/>
      <c r="P1711"/>
    </row>
    <row r="1712" spans="8:16" s="1" customFormat="1">
      <c r="H1712" s="185"/>
      <c r="I1712" s="185"/>
      <c r="J1712" s="185"/>
      <c r="K1712"/>
      <c r="L1712"/>
      <c r="M1712"/>
      <c r="N1712"/>
      <c r="O1712"/>
      <c r="P1712"/>
    </row>
    <row r="1713" spans="8:16" s="1" customFormat="1">
      <c r="H1713" s="185"/>
      <c r="I1713" s="185"/>
      <c r="J1713" s="185"/>
      <c r="K1713"/>
      <c r="L1713"/>
      <c r="M1713"/>
      <c r="N1713"/>
      <c r="O1713"/>
      <c r="P1713"/>
    </row>
    <row r="1714" spans="8:16" s="1" customFormat="1">
      <c r="H1714" s="185"/>
      <c r="I1714" s="185"/>
      <c r="J1714" s="185"/>
      <c r="K1714"/>
      <c r="L1714"/>
      <c r="M1714"/>
      <c r="N1714"/>
      <c r="O1714"/>
      <c r="P1714"/>
    </row>
    <row r="1715" spans="8:16" s="1" customFormat="1">
      <c r="H1715" s="185"/>
      <c r="I1715" s="185"/>
      <c r="J1715" s="185"/>
      <c r="K1715"/>
      <c r="L1715"/>
      <c r="M1715"/>
      <c r="N1715"/>
      <c r="O1715"/>
      <c r="P1715"/>
    </row>
    <row r="1716" spans="8:16" s="1" customFormat="1">
      <c r="H1716" s="185"/>
      <c r="I1716" s="185"/>
      <c r="J1716" s="185"/>
      <c r="K1716"/>
      <c r="L1716"/>
      <c r="M1716"/>
      <c r="N1716"/>
      <c r="O1716"/>
      <c r="P1716"/>
    </row>
    <row r="1717" spans="8:16" s="1" customFormat="1">
      <c r="H1717" s="185"/>
      <c r="I1717" s="185"/>
      <c r="J1717" s="185"/>
      <c r="K1717"/>
      <c r="L1717"/>
      <c r="M1717"/>
      <c r="N1717"/>
      <c r="O1717"/>
      <c r="P1717"/>
    </row>
    <row r="1718" spans="8:16" s="1" customFormat="1">
      <c r="H1718" s="185"/>
      <c r="I1718" s="185"/>
      <c r="J1718" s="185"/>
      <c r="K1718"/>
      <c r="L1718"/>
      <c r="M1718"/>
      <c r="N1718"/>
      <c r="O1718"/>
      <c r="P1718"/>
    </row>
    <row r="1719" spans="8:16" s="1" customFormat="1">
      <c r="H1719" s="185"/>
      <c r="I1719" s="185"/>
      <c r="J1719" s="185"/>
      <c r="K1719"/>
      <c r="L1719"/>
      <c r="M1719"/>
      <c r="N1719"/>
      <c r="O1719"/>
      <c r="P1719"/>
    </row>
    <row r="1720" spans="8:16" s="1" customFormat="1">
      <c r="H1720" s="185"/>
      <c r="I1720" s="185"/>
      <c r="J1720" s="185"/>
      <c r="K1720"/>
      <c r="L1720"/>
      <c r="M1720"/>
      <c r="N1720"/>
      <c r="O1720"/>
      <c r="P1720"/>
    </row>
    <row r="1721" spans="8:16" s="1" customFormat="1">
      <c r="H1721" s="185"/>
      <c r="I1721" s="185"/>
      <c r="J1721" s="185"/>
      <c r="K1721"/>
      <c r="L1721"/>
      <c r="M1721"/>
      <c r="N1721"/>
      <c r="O1721"/>
      <c r="P1721"/>
    </row>
    <row r="1722" spans="8:16" s="1" customFormat="1">
      <c r="H1722" s="185"/>
      <c r="I1722" s="185"/>
      <c r="J1722" s="185"/>
      <c r="K1722"/>
      <c r="L1722"/>
      <c r="M1722"/>
      <c r="N1722"/>
      <c r="O1722"/>
      <c r="P1722"/>
    </row>
    <row r="1723" spans="8:16" s="1" customFormat="1">
      <c r="H1723" s="185"/>
      <c r="I1723" s="185"/>
      <c r="J1723" s="185"/>
      <c r="K1723"/>
      <c r="L1723"/>
      <c r="M1723"/>
      <c r="N1723"/>
      <c r="O1723"/>
      <c r="P1723"/>
    </row>
    <row r="1724" spans="8:16" s="1" customFormat="1">
      <c r="H1724" s="185"/>
      <c r="I1724" s="185"/>
      <c r="J1724" s="185"/>
      <c r="K1724"/>
      <c r="L1724"/>
      <c r="M1724"/>
      <c r="N1724"/>
      <c r="O1724"/>
      <c r="P1724"/>
    </row>
    <row r="1725" spans="8:16" s="1" customFormat="1">
      <c r="H1725" s="185"/>
      <c r="I1725" s="185"/>
      <c r="J1725" s="185"/>
      <c r="K1725"/>
      <c r="L1725"/>
      <c r="M1725"/>
      <c r="N1725"/>
      <c r="O1725"/>
      <c r="P1725"/>
    </row>
    <row r="1726" spans="8:16" s="1" customFormat="1">
      <c r="H1726" s="185"/>
      <c r="I1726" s="185"/>
      <c r="J1726" s="185"/>
      <c r="K1726"/>
      <c r="L1726"/>
      <c r="M1726"/>
      <c r="N1726"/>
      <c r="O1726"/>
      <c r="P1726"/>
    </row>
    <row r="1727" spans="8:16" s="1" customFormat="1">
      <c r="H1727" s="185"/>
      <c r="I1727" s="185"/>
      <c r="J1727" s="185"/>
      <c r="K1727"/>
      <c r="L1727"/>
      <c r="M1727"/>
      <c r="N1727"/>
      <c r="O1727"/>
      <c r="P1727"/>
    </row>
    <row r="1728" spans="8:16" s="1" customFormat="1">
      <c r="H1728" s="185"/>
      <c r="I1728" s="185"/>
      <c r="J1728" s="185"/>
      <c r="K1728"/>
      <c r="L1728"/>
      <c r="M1728"/>
      <c r="N1728"/>
      <c r="O1728"/>
      <c r="P1728"/>
    </row>
    <row r="1729" spans="8:16" s="1" customFormat="1">
      <c r="H1729" s="185"/>
      <c r="I1729" s="185"/>
      <c r="J1729" s="185"/>
      <c r="K1729"/>
      <c r="L1729"/>
      <c r="M1729"/>
      <c r="N1729"/>
      <c r="O1729"/>
      <c r="P1729"/>
    </row>
    <row r="1730" spans="8:16" s="1" customFormat="1">
      <c r="H1730" s="185"/>
      <c r="I1730" s="185"/>
      <c r="J1730" s="185"/>
      <c r="K1730"/>
      <c r="L1730"/>
      <c r="M1730"/>
      <c r="N1730"/>
      <c r="O1730"/>
      <c r="P1730"/>
    </row>
    <row r="1731" spans="8:16" s="1" customFormat="1">
      <c r="H1731" s="185"/>
      <c r="I1731" s="185"/>
      <c r="J1731" s="185"/>
      <c r="K1731"/>
      <c r="L1731"/>
      <c r="M1731"/>
      <c r="N1731"/>
      <c r="O1731"/>
      <c r="P1731"/>
    </row>
    <row r="1732" spans="8:16" s="1" customFormat="1">
      <c r="H1732" s="185"/>
      <c r="I1732" s="185"/>
      <c r="J1732" s="185"/>
      <c r="K1732"/>
      <c r="L1732"/>
      <c r="M1732"/>
      <c r="N1732"/>
      <c r="O1732"/>
      <c r="P1732"/>
    </row>
    <row r="1733" spans="8:16" s="1" customFormat="1">
      <c r="H1733" s="185"/>
      <c r="I1733" s="185"/>
      <c r="J1733" s="185"/>
      <c r="K1733"/>
      <c r="L1733"/>
      <c r="M1733"/>
      <c r="N1733"/>
      <c r="O1733"/>
      <c r="P1733"/>
    </row>
    <row r="1734" spans="8:16" s="1" customFormat="1">
      <c r="H1734" s="185"/>
      <c r="I1734" s="185"/>
      <c r="J1734" s="185"/>
      <c r="K1734"/>
      <c r="L1734"/>
      <c r="M1734"/>
      <c r="N1734"/>
      <c r="O1734"/>
      <c r="P1734"/>
    </row>
    <row r="1735" spans="8:16" s="1" customFormat="1">
      <c r="H1735" s="185"/>
      <c r="I1735" s="185"/>
      <c r="J1735" s="185"/>
      <c r="K1735"/>
      <c r="L1735"/>
      <c r="M1735"/>
      <c r="N1735"/>
      <c r="O1735"/>
      <c r="P1735"/>
    </row>
    <row r="1736" spans="8:16" s="1" customFormat="1">
      <c r="H1736" s="185"/>
      <c r="I1736" s="185"/>
      <c r="J1736" s="185"/>
      <c r="K1736"/>
      <c r="L1736"/>
      <c r="M1736"/>
      <c r="N1736"/>
      <c r="O1736"/>
      <c r="P1736"/>
    </row>
    <row r="1737" spans="8:16" s="1" customFormat="1">
      <c r="H1737" s="185"/>
      <c r="I1737" s="185"/>
      <c r="J1737" s="185"/>
      <c r="K1737"/>
      <c r="L1737"/>
      <c r="M1737"/>
      <c r="N1737"/>
      <c r="O1737"/>
      <c r="P1737"/>
    </row>
    <row r="1738" spans="8:16" s="1" customFormat="1">
      <c r="H1738" s="185"/>
      <c r="I1738" s="185"/>
      <c r="J1738" s="185"/>
      <c r="K1738"/>
      <c r="L1738"/>
      <c r="M1738"/>
      <c r="N1738"/>
      <c r="O1738"/>
      <c r="P1738"/>
    </row>
    <row r="1739" spans="8:16" s="1" customFormat="1">
      <c r="H1739" s="185"/>
      <c r="I1739" s="185"/>
      <c r="J1739" s="185"/>
      <c r="K1739"/>
      <c r="L1739"/>
      <c r="M1739"/>
      <c r="N1739"/>
      <c r="O1739"/>
      <c r="P1739"/>
    </row>
    <row r="1740" spans="8:16" s="1" customFormat="1">
      <c r="H1740" s="185"/>
      <c r="I1740" s="185"/>
      <c r="J1740" s="185"/>
      <c r="K1740"/>
      <c r="L1740"/>
      <c r="M1740"/>
      <c r="N1740"/>
      <c r="O1740"/>
      <c r="P1740"/>
    </row>
    <row r="1741" spans="8:16" s="1" customFormat="1">
      <c r="H1741" s="185"/>
      <c r="I1741" s="185"/>
      <c r="J1741" s="185"/>
      <c r="K1741"/>
      <c r="L1741"/>
      <c r="M1741"/>
      <c r="N1741"/>
      <c r="O1741"/>
      <c r="P1741"/>
    </row>
    <row r="1742" spans="8:16" s="1" customFormat="1">
      <c r="H1742" s="185"/>
      <c r="I1742" s="185"/>
      <c r="J1742" s="185"/>
      <c r="K1742"/>
      <c r="L1742"/>
      <c r="M1742"/>
      <c r="N1742"/>
      <c r="O1742"/>
      <c r="P1742"/>
    </row>
    <row r="1743" spans="8:16" s="1" customFormat="1">
      <c r="H1743" s="185"/>
      <c r="I1743" s="185"/>
      <c r="J1743" s="185"/>
      <c r="K1743"/>
      <c r="L1743"/>
      <c r="M1743"/>
      <c r="N1743"/>
      <c r="O1743"/>
      <c r="P1743"/>
    </row>
    <row r="1744" spans="8:16" s="1" customFormat="1">
      <c r="H1744" s="185"/>
      <c r="I1744" s="185"/>
      <c r="J1744" s="185"/>
      <c r="K1744"/>
      <c r="L1744"/>
      <c r="M1744"/>
      <c r="N1744"/>
      <c r="O1744"/>
      <c r="P1744"/>
    </row>
    <row r="1745" spans="8:16" s="1" customFormat="1">
      <c r="H1745" s="185"/>
      <c r="I1745" s="185"/>
      <c r="J1745" s="185"/>
      <c r="K1745"/>
      <c r="L1745"/>
      <c r="M1745"/>
      <c r="N1745"/>
      <c r="O1745"/>
      <c r="P1745"/>
    </row>
    <row r="1746" spans="8:16" s="1" customFormat="1">
      <c r="H1746" s="185"/>
      <c r="I1746" s="185"/>
      <c r="J1746" s="185"/>
      <c r="K1746"/>
      <c r="L1746"/>
      <c r="M1746"/>
      <c r="N1746"/>
      <c r="O1746"/>
      <c r="P1746"/>
    </row>
    <row r="1747" spans="8:16" s="1" customFormat="1">
      <c r="H1747" s="185"/>
      <c r="I1747" s="185"/>
      <c r="J1747" s="185"/>
      <c r="K1747"/>
      <c r="L1747"/>
      <c r="M1747"/>
      <c r="N1747"/>
      <c r="O1747"/>
      <c r="P1747"/>
    </row>
    <row r="1748" spans="8:16" s="1" customFormat="1">
      <c r="H1748" s="185"/>
      <c r="I1748" s="185"/>
      <c r="J1748" s="185"/>
      <c r="K1748"/>
      <c r="L1748"/>
      <c r="M1748"/>
      <c r="N1748"/>
      <c r="O1748"/>
      <c r="P1748"/>
    </row>
    <row r="1749" spans="8:16" s="1" customFormat="1">
      <c r="H1749" s="185"/>
      <c r="I1749" s="185"/>
      <c r="J1749" s="185"/>
      <c r="K1749"/>
      <c r="L1749"/>
      <c r="M1749"/>
      <c r="N1749"/>
      <c r="O1749"/>
      <c r="P1749"/>
    </row>
    <row r="1750" spans="8:16" s="1" customFormat="1">
      <c r="H1750" s="185"/>
      <c r="I1750" s="185"/>
      <c r="J1750" s="185"/>
      <c r="K1750"/>
      <c r="L1750"/>
      <c r="M1750"/>
      <c r="N1750"/>
      <c r="O1750"/>
      <c r="P1750"/>
    </row>
    <row r="1751" spans="8:16" s="1" customFormat="1">
      <c r="H1751" s="185"/>
      <c r="I1751" s="185"/>
      <c r="J1751" s="185"/>
      <c r="K1751"/>
      <c r="L1751"/>
      <c r="M1751"/>
      <c r="N1751"/>
      <c r="O1751"/>
      <c r="P1751"/>
    </row>
    <row r="1752" spans="8:16" s="1" customFormat="1">
      <c r="H1752" s="185"/>
      <c r="I1752" s="185"/>
      <c r="J1752" s="185"/>
      <c r="K1752"/>
      <c r="L1752"/>
      <c r="M1752"/>
      <c r="N1752"/>
      <c r="O1752"/>
      <c r="P1752"/>
    </row>
    <row r="1753" spans="8:16" s="1" customFormat="1">
      <c r="H1753" s="185"/>
      <c r="I1753" s="185"/>
      <c r="J1753" s="185"/>
      <c r="K1753"/>
      <c r="L1753"/>
      <c r="M1753"/>
      <c r="N1753"/>
      <c r="O1753"/>
      <c r="P1753"/>
    </row>
    <row r="1754" spans="8:16" s="1" customFormat="1">
      <c r="H1754" s="185"/>
      <c r="I1754" s="185"/>
      <c r="J1754" s="185"/>
      <c r="K1754"/>
      <c r="L1754"/>
      <c r="M1754"/>
      <c r="N1754"/>
      <c r="O1754"/>
      <c r="P1754"/>
    </row>
    <row r="1755" spans="8:16" s="1" customFormat="1">
      <c r="H1755" s="185"/>
      <c r="I1755" s="185"/>
      <c r="J1755" s="185"/>
      <c r="K1755"/>
      <c r="L1755"/>
      <c r="M1755"/>
      <c r="N1755"/>
      <c r="O1755"/>
      <c r="P1755"/>
    </row>
    <row r="1756" spans="8:16" s="1" customFormat="1">
      <c r="H1756" s="185"/>
      <c r="I1756" s="185"/>
      <c r="J1756" s="185"/>
      <c r="K1756"/>
      <c r="L1756"/>
      <c r="M1756"/>
      <c r="N1756"/>
      <c r="O1756"/>
      <c r="P1756"/>
    </row>
    <row r="1757" spans="8:16" s="1" customFormat="1">
      <c r="H1757" s="185"/>
      <c r="I1757" s="185"/>
      <c r="J1757" s="185"/>
      <c r="K1757"/>
      <c r="L1757"/>
      <c r="M1757"/>
      <c r="N1757"/>
      <c r="O1757"/>
      <c r="P1757"/>
    </row>
    <row r="1758" spans="8:16" s="1" customFormat="1">
      <c r="H1758" s="185"/>
      <c r="I1758" s="185"/>
      <c r="J1758" s="185"/>
      <c r="K1758"/>
      <c r="L1758"/>
      <c r="M1758"/>
      <c r="N1758"/>
      <c r="O1758"/>
      <c r="P1758"/>
    </row>
    <row r="1759" spans="8:16" s="1" customFormat="1">
      <c r="H1759" s="185"/>
      <c r="I1759" s="185"/>
      <c r="J1759" s="185"/>
      <c r="K1759"/>
      <c r="L1759"/>
      <c r="M1759"/>
      <c r="N1759"/>
      <c r="O1759"/>
      <c r="P1759"/>
    </row>
    <row r="1760" spans="8:16" s="1" customFormat="1">
      <c r="H1760" s="185"/>
      <c r="I1760" s="185"/>
      <c r="J1760" s="185"/>
      <c r="K1760"/>
      <c r="L1760"/>
      <c r="M1760"/>
      <c r="N1760"/>
      <c r="O1760"/>
      <c r="P1760"/>
    </row>
    <row r="1761" spans="8:16" s="1" customFormat="1">
      <c r="H1761" s="185"/>
      <c r="I1761" s="185"/>
      <c r="J1761" s="185"/>
      <c r="K1761"/>
      <c r="L1761"/>
      <c r="M1761"/>
      <c r="N1761"/>
      <c r="O1761"/>
      <c r="P1761"/>
    </row>
    <row r="1762" spans="8:16" s="1" customFormat="1">
      <c r="H1762" s="185"/>
      <c r="I1762" s="185"/>
      <c r="J1762" s="185"/>
      <c r="K1762"/>
      <c r="L1762"/>
      <c r="M1762"/>
      <c r="N1762"/>
      <c r="O1762"/>
      <c r="P1762"/>
    </row>
    <row r="1763" spans="8:16" s="1" customFormat="1">
      <c r="H1763" s="185"/>
      <c r="I1763" s="185"/>
      <c r="J1763" s="185"/>
      <c r="K1763"/>
      <c r="L1763"/>
      <c r="M1763"/>
      <c r="N1763"/>
      <c r="O1763"/>
      <c r="P1763"/>
    </row>
    <row r="1764" spans="8:16" s="1" customFormat="1">
      <c r="H1764" s="185"/>
      <c r="I1764" s="185"/>
      <c r="J1764" s="185"/>
      <c r="K1764"/>
      <c r="L1764"/>
      <c r="M1764"/>
      <c r="N1764"/>
      <c r="O1764"/>
      <c r="P1764"/>
    </row>
    <row r="1765" spans="8:16" s="1" customFormat="1">
      <c r="H1765" s="185"/>
      <c r="I1765" s="185"/>
      <c r="J1765" s="185"/>
      <c r="K1765"/>
      <c r="L1765"/>
      <c r="M1765"/>
      <c r="N1765"/>
      <c r="O1765"/>
      <c r="P1765"/>
    </row>
    <row r="1766" spans="8:16" s="1" customFormat="1">
      <c r="H1766" s="185"/>
      <c r="I1766" s="185"/>
      <c r="J1766" s="185"/>
      <c r="K1766"/>
      <c r="L1766"/>
      <c r="M1766"/>
      <c r="N1766"/>
      <c r="O1766"/>
      <c r="P1766"/>
    </row>
    <row r="1767" spans="8:16" s="1" customFormat="1">
      <c r="H1767" s="185"/>
      <c r="I1767" s="185"/>
      <c r="J1767" s="185"/>
      <c r="K1767"/>
      <c r="L1767"/>
      <c r="M1767"/>
      <c r="N1767"/>
      <c r="O1767"/>
      <c r="P1767"/>
    </row>
    <row r="1768" spans="8:16" s="1" customFormat="1">
      <c r="H1768" s="185"/>
      <c r="I1768" s="185"/>
      <c r="J1768" s="185"/>
      <c r="K1768"/>
      <c r="L1768"/>
      <c r="M1768"/>
      <c r="N1768"/>
      <c r="O1768"/>
      <c r="P1768"/>
    </row>
    <row r="1769" spans="8:16" s="1" customFormat="1">
      <c r="H1769" s="185"/>
      <c r="I1769" s="185"/>
      <c r="J1769" s="185"/>
      <c r="K1769"/>
      <c r="L1769"/>
      <c r="M1769"/>
      <c r="N1769"/>
      <c r="O1769"/>
      <c r="P1769"/>
    </row>
    <row r="1770" spans="8:16" s="1" customFormat="1">
      <c r="H1770" s="185"/>
      <c r="I1770" s="185"/>
      <c r="J1770" s="185"/>
      <c r="K1770"/>
      <c r="L1770"/>
      <c r="M1770"/>
      <c r="N1770"/>
      <c r="O1770"/>
      <c r="P1770"/>
    </row>
    <row r="1771" spans="8:16" s="1" customFormat="1">
      <c r="H1771" s="185"/>
      <c r="I1771" s="185"/>
      <c r="J1771" s="185"/>
      <c r="K1771"/>
      <c r="L1771"/>
      <c r="M1771"/>
      <c r="N1771"/>
      <c r="O1771"/>
      <c r="P1771"/>
    </row>
    <row r="1772" spans="8:16" s="1" customFormat="1">
      <c r="H1772" s="185"/>
      <c r="I1772" s="185"/>
      <c r="J1772" s="185"/>
      <c r="K1772"/>
      <c r="L1772"/>
      <c r="M1772"/>
      <c r="N1772"/>
      <c r="O1772"/>
      <c r="P1772"/>
    </row>
    <row r="1773" spans="8:16" s="1" customFormat="1">
      <c r="H1773" s="185"/>
      <c r="I1773" s="185"/>
      <c r="J1773" s="185"/>
      <c r="K1773"/>
      <c r="L1773"/>
      <c r="M1773"/>
      <c r="N1773"/>
      <c r="O1773"/>
      <c r="P1773"/>
    </row>
    <row r="1774" spans="8:16" s="1" customFormat="1">
      <c r="H1774" s="185"/>
      <c r="I1774" s="185"/>
      <c r="J1774" s="185"/>
      <c r="K1774"/>
      <c r="L1774"/>
      <c r="M1774"/>
      <c r="N1774"/>
      <c r="O1774"/>
      <c r="P1774"/>
    </row>
    <row r="1775" spans="8:16" s="1" customFormat="1">
      <c r="H1775" s="185"/>
      <c r="I1775" s="185"/>
      <c r="J1775" s="185"/>
      <c r="K1775"/>
      <c r="L1775"/>
      <c r="M1775"/>
      <c r="N1775"/>
      <c r="O1775"/>
      <c r="P1775"/>
    </row>
    <row r="1776" spans="8:16" s="1" customFormat="1">
      <c r="H1776" s="185"/>
      <c r="I1776" s="185"/>
      <c r="J1776" s="185"/>
      <c r="K1776"/>
      <c r="L1776"/>
      <c r="M1776"/>
      <c r="N1776"/>
      <c r="O1776"/>
      <c r="P1776"/>
    </row>
    <row r="1777" spans="8:16" s="1" customFormat="1">
      <c r="H1777" s="185"/>
      <c r="I1777" s="185"/>
      <c r="J1777" s="185"/>
      <c r="K1777"/>
      <c r="L1777"/>
      <c r="M1777"/>
      <c r="N1777"/>
      <c r="O1777"/>
      <c r="P1777"/>
    </row>
    <row r="1778" spans="8:16" s="1" customFormat="1">
      <c r="H1778" s="185"/>
      <c r="I1778" s="185"/>
      <c r="J1778" s="185"/>
      <c r="K1778"/>
      <c r="L1778"/>
      <c r="M1778"/>
      <c r="N1778"/>
      <c r="O1778"/>
      <c r="P1778"/>
    </row>
    <row r="1779" spans="8:16" s="1" customFormat="1">
      <c r="H1779" s="185"/>
      <c r="I1779" s="185"/>
      <c r="J1779" s="185"/>
      <c r="K1779"/>
      <c r="L1779"/>
      <c r="M1779"/>
      <c r="N1779"/>
      <c r="O1779"/>
      <c r="P1779"/>
    </row>
    <row r="1780" spans="8:16" s="1" customFormat="1">
      <c r="H1780" s="185"/>
      <c r="I1780" s="185"/>
      <c r="J1780" s="185"/>
      <c r="K1780"/>
      <c r="L1780"/>
      <c r="M1780"/>
      <c r="N1780"/>
      <c r="O1780"/>
      <c r="P1780"/>
    </row>
    <row r="1781" spans="8:16" s="1" customFormat="1">
      <c r="H1781" s="185"/>
      <c r="I1781" s="185"/>
      <c r="J1781" s="185"/>
      <c r="K1781"/>
      <c r="L1781"/>
      <c r="M1781"/>
      <c r="N1781"/>
      <c r="O1781"/>
      <c r="P1781"/>
    </row>
    <row r="1782" spans="8:16" s="1" customFormat="1">
      <c r="H1782" s="185"/>
      <c r="I1782" s="185"/>
      <c r="J1782" s="185"/>
      <c r="K1782"/>
      <c r="L1782"/>
      <c r="M1782"/>
      <c r="N1782"/>
      <c r="O1782"/>
      <c r="P1782"/>
    </row>
    <row r="1783" spans="8:16" s="1" customFormat="1">
      <c r="H1783" s="185"/>
      <c r="I1783" s="185"/>
      <c r="J1783" s="185"/>
      <c r="K1783"/>
      <c r="L1783"/>
      <c r="M1783"/>
      <c r="N1783"/>
      <c r="O1783"/>
      <c r="P1783"/>
    </row>
    <row r="1784" spans="8:16" s="1" customFormat="1">
      <c r="H1784" s="185"/>
      <c r="I1784" s="185"/>
      <c r="J1784" s="185"/>
      <c r="K1784"/>
      <c r="L1784"/>
      <c r="M1784"/>
      <c r="N1784"/>
      <c r="O1784"/>
      <c r="P1784"/>
    </row>
    <row r="1785" spans="8:16" s="1" customFormat="1">
      <c r="H1785" s="185"/>
      <c r="I1785" s="185"/>
      <c r="J1785" s="185"/>
      <c r="K1785"/>
      <c r="L1785"/>
      <c r="M1785"/>
      <c r="N1785"/>
      <c r="O1785"/>
      <c r="P1785"/>
    </row>
    <row r="1786" spans="8:16" s="1" customFormat="1">
      <c r="H1786" s="185"/>
      <c r="I1786" s="185"/>
      <c r="J1786" s="185"/>
      <c r="K1786"/>
      <c r="L1786"/>
      <c r="M1786"/>
      <c r="N1786"/>
      <c r="O1786"/>
      <c r="P1786"/>
    </row>
    <row r="1787" spans="8:16" s="1" customFormat="1">
      <c r="H1787" s="185"/>
      <c r="I1787" s="185"/>
      <c r="J1787" s="185"/>
      <c r="K1787"/>
      <c r="L1787"/>
      <c r="M1787"/>
      <c r="N1787"/>
      <c r="O1787"/>
      <c r="P1787"/>
    </row>
    <row r="1788" spans="8:16" s="1" customFormat="1">
      <c r="H1788" s="185"/>
      <c r="I1788" s="185"/>
      <c r="J1788" s="185"/>
      <c r="K1788"/>
      <c r="L1788"/>
      <c r="M1788"/>
      <c r="N1788"/>
      <c r="O1788"/>
      <c r="P1788"/>
    </row>
    <row r="1789" spans="8:16" s="1" customFormat="1">
      <c r="H1789" s="185"/>
      <c r="I1789" s="185"/>
      <c r="J1789" s="185"/>
      <c r="K1789"/>
      <c r="L1789"/>
      <c r="M1789"/>
      <c r="N1789"/>
      <c r="O1789"/>
      <c r="P1789"/>
    </row>
    <row r="1790" spans="8:16" s="1" customFormat="1">
      <c r="H1790" s="185"/>
      <c r="I1790" s="185"/>
      <c r="J1790" s="185"/>
      <c r="K1790"/>
      <c r="L1790"/>
      <c r="M1790"/>
      <c r="N1790"/>
      <c r="O1790"/>
      <c r="P1790"/>
    </row>
    <row r="1791" spans="8:16" s="1" customFormat="1">
      <c r="H1791" s="185"/>
      <c r="I1791" s="185"/>
      <c r="J1791" s="185"/>
      <c r="K1791"/>
      <c r="L1791"/>
      <c r="M1791"/>
      <c r="N1791"/>
      <c r="O1791"/>
      <c r="P1791"/>
    </row>
    <row r="1792" spans="8:16" s="1" customFormat="1">
      <c r="H1792" s="185"/>
      <c r="I1792" s="185"/>
      <c r="J1792" s="185"/>
      <c r="K1792"/>
      <c r="L1792"/>
      <c r="M1792"/>
      <c r="N1792"/>
      <c r="O1792"/>
      <c r="P1792"/>
    </row>
    <row r="1793" spans="8:16" s="1" customFormat="1">
      <c r="H1793" s="185"/>
      <c r="I1793" s="185"/>
      <c r="J1793" s="185"/>
      <c r="K1793"/>
      <c r="L1793"/>
      <c r="M1793"/>
      <c r="N1793"/>
      <c r="O1793"/>
      <c r="P1793"/>
    </row>
    <row r="1794" spans="8:16" s="1" customFormat="1">
      <c r="H1794" s="185"/>
      <c r="I1794" s="185"/>
      <c r="J1794" s="185"/>
      <c r="K1794"/>
      <c r="L1794"/>
      <c r="M1794"/>
      <c r="N1794"/>
      <c r="O1794"/>
      <c r="P1794"/>
    </row>
    <row r="1795" spans="8:16" s="1" customFormat="1">
      <c r="H1795" s="185"/>
      <c r="I1795" s="185"/>
      <c r="J1795" s="185"/>
      <c r="K1795"/>
      <c r="L1795"/>
      <c r="M1795"/>
      <c r="N1795"/>
      <c r="O1795"/>
      <c r="P1795"/>
    </row>
    <row r="1796" spans="8:16" s="1" customFormat="1">
      <c r="H1796" s="185"/>
      <c r="I1796" s="185"/>
      <c r="J1796" s="185"/>
      <c r="K1796"/>
      <c r="L1796"/>
      <c r="M1796"/>
      <c r="N1796"/>
      <c r="O1796"/>
      <c r="P1796"/>
    </row>
    <row r="1797" spans="8:16" s="1" customFormat="1">
      <c r="H1797" s="185"/>
      <c r="I1797" s="185"/>
      <c r="J1797" s="185"/>
      <c r="K1797"/>
      <c r="L1797"/>
      <c r="M1797"/>
      <c r="N1797"/>
      <c r="O1797"/>
      <c r="P1797"/>
    </row>
    <row r="1798" spans="8:16" s="1" customFormat="1">
      <c r="H1798" s="185"/>
      <c r="I1798" s="185"/>
      <c r="J1798" s="185"/>
      <c r="K1798"/>
      <c r="L1798"/>
      <c r="M1798"/>
      <c r="N1798"/>
      <c r="O1798"/>
      <c r="P1798"/>
    </row>
    <row r="1799" spans="8:16" s="1" customFormat="1">
      <c r="H1799" s="185"/>
      <c r="I1799" s="185"/>
      <c r="J1799" s="185"/>
      <c r="K1799"/>
      <c r="L1799"/>
      <c r="M1799"/>
      <c r="N1799"/>
      <c r="O1799"/>
      <c r="P1799"/>
    </row>
    <row r="1800" spans="8:16" s="1" customFormat="1">
      <c r="H1800" s="185"/>
      <c r="I1800" s="185"/>
      <c r="J1800" s="185"/>
      <c r="K1800"/>
      <c r="L1800"/>
      <c r="M1800"/>
      <c r="N1800"/>
      <c r="O1800"/>
      <c r="P1800"/>
    </row>
    <row r="1801" spans="8:16" s="1" customFormat="1">
      <c r="H1801" s="185"/>
      <c r="I1801" s="185"/>
      <c r="J1801" s="185"/>
      <c r="K1801"/>
      <c r="L1801"/>
      <c r="M1801"/>
      <c r="N1801"/>
      <c r="O1801"/>
      <c r="P1801"/>
    </row>
    <row r="1802" spans="8:16" s="1" customFormat="1">
      <c r="H1802" s="185"/>
      <c r="I1802" s="185"/>
      <c r="J1802" s="185"/>
      <c r="K1802"/>
      <c r="L1802"/>
      <c r="M1802"/>
      <c r="N1802"/>
      <c r="O1802"/>
      <c r="P1802"/>
    </row>
    <row r="1803" spans="8:16" s="1" customFormat="1">
      <c r="H1803" s="185"/>
      <c r="I1803" s="185"/>
      <c r="J1803" s="185"/>
      <c r="K1803"/>
      <c r="L1803"/>
      <c r="M1803"/>
      <c r="N1803"/>
      <c r="O1803"/>
      <c r="P1803"/>
    </row>
    <row r="1804" spans="8:16" s="1" customFormat="1">
      <c r="H1804" s="185"/>
      <c r="I1804" s="185"/>
      <c r="J1804" s="185"/>
      <c r="K1804"/>
      <c r="L1804"/>
      <c r="M1804"/>
      <c r="N1804"/>
      <c r="O1804"/>
      <c r="P1804"/>
    </row>
    <row r="1805" spans="8:16" s="1" customFormat="1">
      <c r="H1805" s="185"/>
      <c r="I1805" s="185"/>
      <c r="J1805" s="185"/>
      <c r="K1805"/>
      <c r="L1805"/>
      <c r="M1805"/>
      <c r="N1805"/>
      <c r="O1805"/>
      <c r="P1805"/>
    </row>
    <row r="1806" spans="8:16" s="1" customFormat="1">
      <c r="H1806" s="185"/>
      <c r="I1806" s="185"/>
      <c r="J1806" s="185"/>
      <c r="K1806"/>
      <c r="L1806"/>
      <c r="M1806"/>
      <c r="N1806"/>
      <c r="O1806"/>
      <c r="P1806"/>
    </row>
    <row r="1807" spans="8:16" s="1" customFormat="1">
      <c r="H1807" s="185"/>
      <c r="I1807" s="185"/>
      <c r="J1807" s="185"/>
      <c r="K1807"/>
      <c r="L1807"/>
      <c r="M1807"/>
      <c r="N1807"/>
      <c r="O1807"/>
      <c r="P1807"/>
    </row>
    <row r="1808" spans="8:16" s="1" customFormat="1">
      <c r="H1808" s="185"/>
      <c r="I1808" s="185"/>
      <c r="J1808" s="185"/>
      <c r="K1808"/>
      <c r="L1808"/>
      <c r="M1808"/>
      <c r="N1808"/>
      <c r="O1808"/>
      <c r="P1808"/>
    </row>
    <row r="1809" spans="8:16" s="1" customFormat="1">
      <c r="H1809" s="185"/>
      <c r="I1809" s="185"/>
      <c r="J1809" s="185"/>
      <c r="K1809"/>
      <c r="L1809"/>
      <c r="M1809"/>
      <c r="N1809"/>
      <c r="O1809"/>
      <c r="P1809"/>
    </row>
    <row r="1810" spans="8:16" s="1" customFormat="1">
      <c r="H1810" s="185"/>
      <c r="I1810" s="185"/>
      <c r="J1810" s="185"/>
      <c r="K1810"/>
      <c r="L1810"/>
      <c r="M1810"/>
      <c r="N1810"/>
      <c r="O1810"/>
      <c r="P1810"/>
    </row>
    <row r="1811" spans="8:16" s="1" customFormat="1">
      <c r="H1811" s="185"/>
      <c r="I1811" s="185"/>
      <c r="J1811" s="185"/>
      <c r="K1811"/>
      <c r="L1811"/>
      <c r="M1811"/>
      <c r="N1811"/>
      <c r="O1811"/>
      <c r="P1811"/>
    </row>
    <row r="1812" spans="8:16" s="1" customFormat="1">
      <c r="H1812" s="185"/>
      <c r="I1812" s="185"/>
      <c r="J1812" s="185"/>
      <c r="K1812"/>
      <c r="L1812"/>
      <c r="M1812"/>
      <c r="N1812"/>
      <c r="O1812"/>
      <c r="P1812"/>
    </row>
    <row r="1813" spans="8:16" s="1" customFormat="1">
      <c r="H1813" s="185"/>
      <c r="I1813" s="185"/>
      <c r="J1813" s="185"/>
      <c r="K1813"/>
      <c r="L1813"/>
      <c r="M1813"/>
      <c r="N1813"/>
      <c r="O1813"/>
      <c r="P1813"/>
    </row>
    <row r="1814" spans="8:16" s="1" customFormat="1">
      <c r="H1814" s="185"/>
      <c r="I1814" s="185"/>
      <c r="J1814" s="185"/>
      <c r="K1814"/>
      <c r="L1814"/>
      <c r="M1814"/>
      <c r="N1814"/>
      <c r="O1814"/>
      <c r="P1814"/>
    </row>
    <row r="1815" spans="8:16" s="1" customFormat="1">
      <c r="H1815" s="185"/>
      <c r="I1815" s="185"/>
      <c r="J1815" s="185"/>
      <c r="K1815"/>
      <c r="L1815"/>
      <c r="M1815"/>
      <c r="N1815"/>
      <c r="O1815"/>
      <c r="P1815"/>
    </row>
    <row r="1816" spans="8:16" s="1" customFormat="1">
      <c r="H1816" s="185"/>
      <c r="I1816" s="185"/>
      <c r="J1816" s="185"/>
      <c r="K1816"/>
      <c r="L1816"/>
      <c r="M1816"/>
      <c r="N1816"/>
      <c r="O1816"/>
      <c r="P1816"/>
    </row>
    <row r="1817" spans="8:16" s="1" customFormat="1">
      <c r="H1817" s="185"/>
      <c r="I1817" s="185"/>
      <c r="J1817" s="185"/>
      <c r="K1817"/>
      <c r="L1817"/>
      <c r="M1817"/>
      <c r="N1817"/>
      <c r="O1817"/>
      <c r="P1817"/>
    </row>
    <row r="1818" spans="8:16" s="1" customFormat="1">
      <c r="H1818" s="185"/>
      <c r="I1818" s="185"/>
      <c r="J1818" s="185"/>
      <c r="K1818"/>
      <c r="L1818"/>
      <c r="M1818"/>
      <c r="N1818"/>
      <c r="O1818"/>
      <c r="P1818"/>
    </row>
    <row r="1819" spans="8:16" s="1" customFormat="1">
      <c r="H1819" s="185"/>
      <c r="I1819" s="185"/>
      <c r="J1819" s="185"/>
      <c r="K1819"/>
      <c r="L1819"/>
      <c r="M1819"/>
      <c r="N1819"/>
      <c r="O1819"/>
      <c r="P1819"/>
    </row>
    <row r="1820" spans="8:16" s="1" customFormat="1">
      <c r="H1820" s="185"/>
      <c r="I1820" s="185"/>
      <c r="J1820" s="185"/>
      <c r="K1820"/>
      <c r="L1820"/>
      <c r="M1820"/>
      <c r="N1820"/>
      <c r="O1820"/>
      <c r="P1820"/>
    </row>
    <row r="1821" spans="8:16" s="1" customFormat="1">
      <c r="H1821" s="185"/>
      <c r="I1821" s="185"/>
      <c r="J1821" s="185"/>
      <c r="K1821"/>
      <c r="L1821"/>
      <c r="M1821"/>
      <c r="N1821"/>
      <c r="O1821"/>
      <c r="P1821"/>
    </row>
    <row r="1822" spans="8:16" s="1" customFormat="1">
      <c r="H1822" s="185"/>
      <c r="I1822" s="185"/>
      <c r="J1822" s="185"/>
      <c r="K1822"/>
      <c r="L1822"/>
      <c r="M1822"/>
      <c r="N1822"/>
      <c r="O1822"/>
      <c r="P1822"/>
    </row>
    <row r="1823" spans="8:16" s="1" customFormat="1">
      <c r="H1823" s="185"/>
      <c r="I1823" s="185"/>
      <c r="J1823" s="185"/>
      <c r="K1823"/>
      <c r="L1823"/>
      <c r="M1823"/>
      <c r="N1823"/>
      <c r="O1823"/>
      <c r="P1823"/>
    </row>
    <row r="1824" spans="8:16" s="1" customFormat="1">
      <c r="H1824" s="185"/>
      <c r="I1824" s="185"/>
      <c r="J1824" s="185"/>
      <c r="K1824"/>
      <c r="L1824"/>
      <c r="M1824"/>
      <c r="N1824"/>
      <c r="O1824"/>
      <c r="P1824"/>
    </row>
    <row r="1825" spans="8:16" s="1" customFormat="1">
      <c r="H1825" s="185"/>
      <c r="I1825" s="185"/>
      <c r="J1825" s="185"/>
      <c r="K1825"/>
      <c r="L1825"/>
      <c r="M1825"/>
      <c r="N1825"/>
      <c r="O1825"/>
      <c r="P1825"/>
    </row>
    <row r="1826" spans="8:16" s="1" customFormat="1">
      <c r="H1826" s="185"/>
      <c r="I1826" s="185"/>
      <c r="J1826" s="185"/>
      <c r="K1826"/>
      <c r="L1826"/>
      <c r="M1826"/>
      <c r="N1826"/>
      <c r="O1826"/>
      <c r="P1826"/>
    </row>
    <row r="1827" spans="8:16" s="1" customFormat="1">
      <c r="H1827" s="185"/>
      <c r="I1827" s="185"/>
      <c r="J1827" s="185"/>
      <c r="K1827"/>
      <c r="L1827"/>
      <c r="M1827"/>
      <c r="N1827"/>
      <c r="O1827"/>
      <c r="P1827"/>
    </row>
    <row r="1828" spans="8:16" s="1" customFormat="1">
      <c r="H1828" s="185"/>
      <c r="I1828" s="185"/>
      <c r="J1828" s="185"/>
      <c r="K1828"/>
      <c r="L1828"/>
      <c r="M1828"/>
      <c r="N1828"/>
      <c r="O1828"/>
      <c r="P1828"/>
    </row>
    <row r="1829" spans="8:16" s="1" customFormat="1">
      <c r="H1829" s="185"/>
      <c r="I1829" s="185"/>
      <c r="J1829" s="185"/>
      <c r="K1829"/>
      <c r="L1829"/>
      <c r="M1829"/>
      <c r="N1829"/>
      <c r="O1829"/>
      <c r="P1829"/>
    </row>
    <row r="1830" spans="8:16" s="1" customFormat="1">
      <c r="H1830" s="185"/>
      <c r="I1830" s="185"/>
      <c r="J1830" s="185"/>
      <c r="K1830"/>
      <c r="L1830"/>
      <c r="M1830"/>
      <c r="N1830"/>
      <c r="O1830"/>
      <c r="P1830"/>
    </row>
    <row r="1831" spans="8:16" s="1" customFormat="1">
      <c r="H1831" s="185"/>
      <c r="I1831" s="185"/>
      <c r="J1831" s="185"/>
      <c r="K1831"/>
      <c r="L1831"/>
      <c r="M1831"/>
      <c r="N1831"/>
      <c r="O1831"/>
      <c r="P1831"/>
    </row>
    <row r="1832" spans="8:16" s="1" customFormat="1">
      <c r="H1832" s="185"/>
      <c r="I1832" s="185"/>
      <c r="J1832" s="185"/>
      <c r="K1832"/>
      <c r="L1832"/>
      <c r="M1832"/>
      <c r="N1832"/>
      <c r="O1832"/>
      <c r="P1832"/>
    </row>
    <row r="1833" spans="8:16" s="1" customFormat="1">
      <c r="H1833" s="185"/>
      <c r="I1833" s="185"/>
      <c r="J1833" s="185"/>
      <c r="K1833"/>
      <c r="L1833"/>
      <c r="M1833"/>
      <c r="N1833"/>
      <c r="O1833"/>
      <c r="P1833"/>
    </row>
    <row r="1834" spans="8:16" s="1" customFormat="1">
      <c r="H1834" s="185"/>
      <c r="I1834" s="185"/>
      <c r="J1834" s="185"/>
      <c r="K1834"/>
      <c r="L1834"/>
      <c r="M1834"/>
      <c r="N1834"/>
      <c r="O1834"/>
      <c r="P1834"/>
    </row>
    <row r="1835" spans="8:16" s="1" customFormat="1">
      <c r="H1835" s="185"/>
      <c r="I1835" s="185"/>
      <c r="J1835" s="185"/>
      <c r="K1835"/>
      <c r="L1835"/>
      <c r="M1835"/>
      <c r="N1835"/>
      <c r="O1835"/>
      <c r="P1835"/>
    </row>
    <row r="1836" spans="8:16" s="1" customFormat="1">
      <c r="H1836" s="185"/>
      <c r="I1836" s="185"/>
      <c r="J1836" s="185"/>
      <c r="K1836"/>
      <c r="L1836"/>
      <c r="M1836"/>
      <c r="N1836"/>
      <c r="O1836"/>
      <c r="P1836"/>
    </row>
    <row r="1837" spans="8:16" s="1" customFormat="1">
      <c r="H1837" s="185"/>
      <c r="I1837" s="185"/>
      <c r="J1837" s="185"/>
      <c r="K1837"/>
      <c r="L1837"/>
      <c r="M1837"/>
      <c r="N1837"/>
      <c r="O1837"/>
      <c r="P1837"/>
    </row>
    <row r="1838" spans="8:16" s="1" customFormat="1">
      <c r="H1838" s="185"/>
      <c r="I1838" s="185"/>
      <c r="J1838" s="185"/>
      <c r="K1838"/>
      <c r="L1838"/>
      <c r="M1838"/>
      <c r="N1838"/>
      <c r="O1838"/>
      <c r="P1838"/>
    </row>
    <row r="1839" spans="8:16" s="1" customFormat="1">
      <c r="H1839" s="185"/>
      <c r="I1839" s="185"/>
      <c r="J1839" s="185"/>
      <c r="K1839"/>
      <c r="L1839"/>
      <c r="M1839"/>
      <c r="N1839"/>
      <c r="O1839"/>
      <c r="P1839"/>
    </row>
    <row r="1840" spans="8:16" s="1" customFormat="1">
      <c r="H1840" s="185"/>
      <c r="I1840" s="185"/>
      <c r="J1840" s="185"/>
      <c r="K1840"/>
      <c r="L1840"/>
      <c r="M1840"/>
      <c r="N1840"/>
      <c r="O1840"/>
      <c r="P1840"/>
    </row>
    <row r="1841" spans="8:16" s="1" customFormat="1">
      <c r="H1841" s="185"/>
      <c r="I1841" s="185"/>
      <c r="J1841" s="185"/>
      <c r="K1841"/>
      <c r="L1841"/>
      <c r="M1841"/>
      <c r="N1841"/>
      <c r="O1841"/>
      <c r="P1841"/>
    </row>
    <row r="1842" spans="8:16" s="1" customFormat="1">
      <c r="H1842" s="185"/>
      <c r="I1842" s="185"/>
      <c r="J1842" s="185"/>
      <c r="K1842"/>
      <c r="L1842"/>
      <c r="M1842"/>
      <c r="N1842"/>
      <c r="O1842"/>
      <c r="P1842"/>
    </row>
    <row r="1843" spans="8:16" s="1" customFormat="1">
      <c r="H1843" s="185"/>
      <c r="I1843" s="185"/>
      <c r="J1843" s="185"/>
      <c r="K1843"/>
      <c r="L1843"/>
      <c r="M1843"/>
      <c r="N1843"/>
      <c r="O1843"/>
      <c r="P1843"/>
    </row>
    <row r="1844" spans="8:16" s="1" customFormat="1">
      <c r="H1844" s="185"/>
      <c r="I1844" s="185"/>
      <c r="J1844" s="185"/>
      <c r="K1844"/>
      <c r="L1844"/>
      <c r="M1844"/>
      <c r="N1844"/>
      <c r="O1844"/>
      <c r="P1844"/>
    </row>
    <row r="1845" spans="8:16" s="1" customFormat="1">
      <c r="H1845" s="185"/>
      <c r="I1845" s="185"/>
      <c r="J1845" s="185"/>
      <c r="K1845"/>
      <c r="L1845"/>
      <c r="M1845"/>
      <c r="N1845"/>
      <c r="O1845"/>
      <c r="P1845"/>
    </row>
    <row r="1846" spans="8:16" s="1" customFormat="1">
      <c r="H1846" s="185"/>
      <c r="I1846" s="185"/>
      <c r="J1846" s="185"/>
      <c r="K1846"/>
      <c r="L1846"/>
      <c r="M1846"/>
      <c r="N1846"/>
      <c r="O1846"/>
      <c r="P1846"/>
    </row>
    <row r="1847" spans="8:16" s="1" customFormat="1">
      <c r="H1847" s="185"/>
      <c r="I1847" s="185"/>
      <c r="J1847" s="185"/>
      <c r="K1847"/>
      <c r="L1847"/>
      <c r="M1847"/>
      <c r="N1847"/>
      <c r="O1847"/>
      <c r="P1847"/>
    </row>
    <row r="1848" spans="8:16" s="1" customFormat="1">
      <c r="H1848" s="185"/>
      <c r="I1848" s="185"/>
      <c r="J1848" s="185"/>
      <c r="K1848"/>
      <c r="L1848"/>
      <c r="M1848"/>
      <c r="N1848"/>
      <c r="O1848"/>
      <c r="P1848"/>
    </row>
    <row r="1849" spans="8:16" s="1" customFormat="1">
      <c r="H1849" s="185"/>
      <c r="I1849" s="185"/>
      <c r="J1849" s="185"/>
      <c r="K1849"/>
      <c r="L1849"/>
      <c r="M1849"/>
      <c r="N1849"/>
      <c r="O1849"/>
      <c r="P1849"/>
    </row>
    <row r="1850" spans="8:16" s="1" customFormat="1">
      <c r="H1850" s="185"/>
      <c r="I1850" s="185"/>
      <c r="J1850" s="185"/>
      <c r="K1850"/>
      <c r="L1850"/>
      <c r="M1850"/>
      <c r="N1850"/>
      <c r="O1850"/>
      <c r="P1850"/>
    </row>
    <row r="1851" spans="8:16" s="1" customFormat="1">
      <c r="H1851" s="185"/>
      <c r="I1851" s="185"/>
      <c r="J1851" s="185"/>
      <c r="K1851"/>
      <c r="L1851"/>
      <c r="M1851"/>
      <c r="N1851"/>
      <c r="O1851"/>
      <c r="P1851"/>
    </row>
    <row r="1852" spans="8:16" s="1" customFormat="1">
      <c r="H1852" s="185"/>
      <c r="I1852" s="185"/>
      <c r="J1852" s="185"/>
      <c r="K1852"/>
      <c r="L1852"/>
      <c r="M1852"/>
      <c r="N1852"/>
      <c r="O1852"/>
      <c r="P1852"/>
    </row>
    <row r="1853" spans="8:16" s="1" customFormat="1">
      <c r="H1853" s="185"/>
      <c r="I1853" s="185"/>
      <c r="J1853" s="185"/>
      <c r="K1853"/>
      <c r="L1853"/>
      <c r="M1853"/>
      <c r="N1853"/>
      <c r="O1853"/>
      <c r="P1853"/>
    </row>
    <row r="1854" spans="8:16" s="1" customFormat="1">
      <c r="H1854" s="185"/>
      <c r="I1854" s="185"/>
      <c r="J1854" s="185"/>
      <c r="K1854"/>
      <c r="L1854"/>
      <c r="M1854"/>
      <c r="N1854"/>
      <c r="O1854"/>
      <c r="P1854"/>
    </row>
    <row r="1855" spans="8:16" s="1" customFormat="1">
      <c r="H1855" s="185"/>
      <c r="I1855" s="185"/>
      <c r="J1855" s="185"/>
      <c r="K1855"/>
      <c r="L1855"/>
      <c r="M1855"/>
      <c r="N1855"/>
      <c r="O1855"/>
      <c r="P1855"/>
    </row>
    <row r="1856" spans="8:16" s="1" customFormat="1">
      <c r="H1856" s="185"/>
      <c r="I1856" s="185"/>
      <c r="J1856" s="185"/>
      <c r="K1856"/>
      <c r="L1856"/>
      <c r="M1856"/>
      <c r="N1856"/>
      <c r="O1856"/>
      <c r="P1856"/>
    </row>
    <row r="1857" spans="8:16" s="1" customFormat="1">
      <c r="H1857" s="185"/>
      <c r="I1857" s="185"/>
      <c r="J1857" s="185"/>
      <c r="K1857"/>
      <c r="L1857"/>
      <c r="M1857"/>
      <c r="N1857"/>
      <c r="O1857"/>
      <c r="P1857"/>
    </row>
    <row r="1858" spans="8:16" s="1" customFormat="1">
      <c r="H1858" s="185"/>
      <c r="I1858" s="185"/>
      <c r="J1858" s="185"/>
      <c r="K1858"/>
      <c r="L1858"/>
      <c r="M1858"/>
      <c r="N1858"/>
      <c r="O1858"/>
      <c r="P1858"/>
    </row>
    <row r="1859" spans="8:16" s="1" customFormat="1">
      <c r="H1859" s="185"/>
      <c r="I1859" s="185"/>
      <c r="J1859" s="185"/>
      <c r="K1859"/>
      <c r="L1859"/>
      <c r="M1859"/>
      <c r="N1859"/>
      <c r="O1859"/>
      <c r="P1859"/>
    </row>
    <row r="1860" spans="8:16" s="1" customFormat="1">
      <c r="H1860" s="185"/>
      <c r="I1860" s="185"/>
      <c r="J1860" s="185"/>
      <c r="K1860"/>
      <c r="L1860"/>
      <c r="M1860"/>
      <c r="N1860"/>
      <c r="O1860"/>
      <c r="P1860"/>
    </row>
    <row r="1861" spans="8:16" s="1" customFormat="1">
      <c r="H1861" s="185"/>
      <c r="I1861" s="185"/>
      <c r="J1861" s="185"/>
      <c r="K1861"/>
      <c r="L1861"/>
      <c r="M1861"/>
      <c r="N1861"/>
      <c r="O1861"/>
      <c r="P1861"/>
    </row>
    <row r="1862" spans="8:16" s="1" customFormat="1">
      <c r="H1862" s="185"/>
      <c r="I1862" s="185"/>
      <c r="J1862" s="185"/>
      <c r="K1862"/>
      <c r="L1862"/>
      <c r="M1862"/>
      <c r="N1862"/>
      <c r="O1862"/>
      <c r="P1862"/>
    </row>
    <row r="1863" spans="8:16" s="1" customFormat="1">
      <c r="H1863" s="185"/>
      <c r="I1863" s="185"/>
      <c r="J1863" s="185"/>
      <c r="K1863"/>
      <c r="L1863"/>
      <c r="M1863"/>
      <c r="N1863"/>
      <c r="O1863"/>
      <c r="P1863"/>
    </row>
    <row r="1864" spans="8:16" s="1" customFormat="1">
      <c r="H1864" s="185"/>
      <c r="I1864" s="185"/>
      <c r="J1864" s="185"/>
      <c r="K1864"/>
      <c r="L1864"/>
      <c r="M1864"/>
      <c r="N1864"/>
      <c r="O1864"/>
      <c r="P1864"/>
    </row>
    <row r="1865" spans="8:16" s="1" customFormat="1">
      <c r="H1865" s="185"/>
      <c r="I1865" s="185"/>
      <c r="J1865" s="185"/>
      <c r="K1865"/>
      <c r="L1865"/>
      <c r="M1865"/>
      <c r="N1865"/>
      <c r="O1865"/>
      <c r="P1865"/>
    </row>
    <row r="1866" spans="8:16" s="1" customFormat="1">
      <c r="H1866" s="185"/>
      <c r="I1866" s="185"/>
      <c r="J1866" s="185"/>
      <c r="K1866"/>
      <c r="L1866"/>
      <c r="M1866"/>
      <c r="N1866"/>
      <c r="O1866"/>
      <c r="P1866"/>
    </row>
    <row r="1867" spans="8:16" s="1" customFormat="1">
      <c r="H1867" s="185"/>
      <c r="I1867" s="185"/>
      <c r="J1867" s="185"/>
      <c r="K1867"/>
      <c r="L1867"/>
      <c r="M1867"/>
      <c r="N1867"/>
      <c r="O1867"/>
      <c r="P1867"/>
    </row>
    <row r="1868" spans="8:16" s="1" customFormat="1">
      <c r="H1868" s="185"/>
      <c r="I1868" s="185"/>
      <c r="J1868" s="185"/>
      <c r="K1868"/>
      <c r="L1868"/>
      <c r="M1868"/>
      <c r="N1868"/>
      <c r="O1868"/>
      <c r="P1868"/>
    </row>
    <row r="1869" spans="8:16" s="1" customFormat="1">
      <c r="H1869" s="185"/>
      <c r="I1869" s="185"/>
      <c r="J1869" s="185"/>
      <c r="K1869"/>
      <c r="L1869"/>
      <c r="M1869"/>
      <c r="N1869"/>
      <c r="O1869"/>
      <c r="P1869"/>
    </row>
    <row r="1870" spans="8:16" s="1" customFormat="1">
      <c r="H1870" s="185"/>
      <c r="I1870" s="185"/>
      <c r="J1870" s="185"/>
      <c r="K1870"/>
      <c r="L1870"/>
      <c r="M1870"/>
      <c r="N1870"/>
      <c r="O1870"/>
      <c r="P1870"/>
    </row>
    <row r="1871" spans="8:16" s="1" customFormat="1">
      <c r="H1871" s="185"/>
      <c r="I1871" s="185"/>
      <c r="J1871" s="185"/>
      <c r="K1871"/>
      <c r="L1871"/>
      <c r="M1871"/>
      <c r="N1871"/>
      <c r="O1871"/>
      <c r="P1871"/>
    </row>
    <row r="1872" spans="8:16" s="1" customFormat="1">
      <c r="H1872" s="185"/>
      <c r="I1872" s="185"/>
      <c r="J1872" s="185"/>
      <c r="K1872"/>
      <c r="L1872"/>
      <c r="M1872"/>
      <c r="N1872"/>
      <c r="O1872"/>
      <c r="P1872"/>
    </row>
    <row r="1873" spans="8:16" s="1" customFormat="1">
      <c r="H1873" s="185"/>
      <c r="I1873" s="185"/>
      <c r="J1873" s="185"/>
      <c r="K1873"/>
      <c r="L1873"/>
      <c r="M1873"/>
      <c r="N1873"/>
      <c r="O1873"/>
      <c r="P1873"/>
    </row>
    <row r="1874" spans="8:16" s="1" customFormat="1">
      <c r="H1874" s="185"/>
      <c r="I1874" s="185"/>
      <c r="J1874" s="185"/>
      <c r="K1874"/>
      <c r="L1874"/>
      <c r="M1874"/>
      <c r="N1874"/>
      <c r="O1874"/>
      <c r="P1874"/>
    </row>
    <row r="1875" spans="8:16" s="1" customFormat="1">
      <c r="H1875" s="185"/>
      <c r="I1875" s="185"/>
      <c r="J1875" s="185"/>
      <c r="K1875"/>
      <c r="L1875"/>
      <c r="M1875"/>
      <c r="N1875"/>
      <c r="O1875"/>
      <c r="P1875"/>
    </row>
    <row r="1876" spans="8:16" s="1" customFormat="1">
      <c r="H1876" s="185"/>
      <c r="I1876" s="185"/>
      <c r="J1876" s="185"/>
      <c r="K1876"/>
      <c r="L1876"/>
      <c r="M1876"/>
      <c r="N1876"/>
      <c r="O1876"/>
      <c r="P1876"/>
    </row>
    <row r="1877" spans="8:16" s="1" customFormat="1">
      <c r="H1877" s="185"/>
      <c r="I1877" s="185"/>
      <c r="J1877" s="185"/>
      <c r="K1877"/>
      <c r="L1877"/>
      <c r="M1877"/>
      <c r="N1877"/>
      <c r="O1877"/>
      <c r="P1877"/>
    </row>
    <row r="1878" spans="8:16" s="1" customFormat="1">
      <c r="H1878" s="185"/>
      <c r="I1878" s="185"/>
      <c r="J1878" s="185"/>
      <c r="K1878"/>
      <c r="L1878"/>
      <c r="M1878"/>
      <c r="N1878"/>
      <c r="O1878"/>
      <c r="P1878"/>
    </row>
    <row r="1879" spans="8:16" s="1" customFormat="1">
      <c r="H1879" s="185"/>
      <c r="I1879" s="185"/>
      <c r="J1879" s="185"/>
      <c r="K1879"/>
      <c r="L1879"/>
      <c r="M1879"/>
      <c r="N1879"/>
      <c r="O1879"/>
      <c r="P1879"/>
    </row>
    <row r="1880" spans="8:16" s="1" customFormat="1">
      <c r="H1880" s="185"/>
      <c r="I1880" s="185"/>
      <c r="J1880" s="185"/>
      <c r="K1880"/>
      <c r="L1880"/>
      <c r="M1880"/>
      <c r="N1880"/>
      <c r="O1880"/>
      <c r="P1880"/>
    </row>
    <row r="1881" spans="8:16" s="1" customFormat="1">
      <c r="H1881" s="185"/>
      <c r="I1881" s="185"/>
      <c r="J1881" s="185"/>
      <c r="K1881"/>
      <c r="L1881"/>
      <c r="M1881"/>
      <c r="N1881"/>
      <c r="O1881"/>
      <c r="P1881"/>
    </row>
    <row r="1882" spans="8:16" s="1" customFormat="1">
      <c r="H1882" s="185"/>
      <c r="I1882" s="185"/>
      <c r="J1882" s="185"/>
      <c r="K1882"/>
      <c r="L1882"/>
      <c r="M1882"/>
      <c r="N1882"/>
      <c r="O1882"/>
      <c r="P1882"/>
    </row>
    <row r="1883" spans="8:16" s="1" customFormat="1">
      <c r="H1883" s="185"/>
      <c r="I1883" s="185"/>
      <c r="J1883" s="185"/>
      <c r="K1883"/>
      <c r="L1883"/>
      <c r="M1883"/>
      <c r="N1883"/>
      <c r="O1883"/>
      <c r="P1883"/>
    </row>
    <row r="1884" spans="8:16" s="1" customFormat="1">
      <c r="H1884" s="185"/>
      <c r="I1884" s="185"/>
      <c r="J1884" s="185"/>
      <c r="K1884"/>
      <c r="L1884"/>
      <c r="M1884"/>
      <c r="N1884"/>
      <c r="O1884"/>
      <c r="P1884"/>
    </row>
    <row r="1885" spans="8:16" s="1" customFormat="1">
      <c r="H1885" s="185"/>
      <c r="I1885" s="185"/>
      <c r="J1885" s="185"/>
      <c r="K1885"/>
      <c r="L1885"/>
      <c r="M1885"/>
      <c r="N1885"/>
      <c r="O1885"/>
      <c r="P1885"/>
    </row>
    <row r="1886" spans="8:16" s="1" customFormat="1">
      <c r="H1886" s="185"/>
      <c r="I1886" s="185"/>
      <c r="J1886" s="185"/>
      <c r="K1886"/>
      <c r="L1886"/>
      <c r="M1886"/>
      <c r="N1886"/>
      <c r="O1886"/>
      <c r="P1886"/>
    </row>
    <row r="1887" spans="8:16" s="1" customFormat="1">
      <c r="H1887" s="185"/>
      <c r="I1887" s="185"/>
      <c r="J1887" s="185"/>
      <c r="K1887"/>
      <c r="L1887"/>
      <c r="M1887"/>
      <c r="N1887"/>
      <c r="O1887"/>
      <c r="P1887"/>
    </row>
    <row r="1888" spans="8:16" s="1" customFormat="1">
      <c r="H1888" s="185"/>
      <c r="I1888" s="185"/>
      <c r="J1888" s="185"/>
      <c r="K1888"/>
      <c r="L1888"/>
      <c r="M1888"/>
      <c r="N1888"/>
      <c r="O1888"/>
      <c r="P1888"/>
    </row>
    <row r="1889" spans="8:16" s="1" customFormat="1">
      <c r="H1889" s="185"/>
      <c r="I1889" s="185"/>
      <c r="J1889" s="185"/>
      <c r="K1889"/>
      <c r="L1889"/>
      <c r="M1889"/>
      <c r="N1889"/>
      <c r="O1889"/>
      <c r="P1889"/>
    </row>
    <row r="1890" spans="8:16" s="1" customFormat="1">
      <c r="H1890" s="185"/>
      <c r="I1890" s="185"/>
      <c r="J1890" s="185"/>
      <c r="K1890"/>
      <c r="L1890"/>
      <c r="M1890"/>
      <c r="N1890"/>
      <c r="O1890"/>
      <c r="P1890"/>
    </row>
    <row r="1891" spans="8:16" s="1" customFormat="1">
      <c r="H1891" s="185"/>
      <c r="I1891" s="185"/>
      <c r="J1891" s="185"/>
      <c r="K1891"/>
      <c r="L1891"/>
      <c r="M1891"/>
      <c r="N1891"/>
      <c r="O1891"/>
      <c r="P1891"/>
    </row>
    <row r="1892" spans="8:16" s="1" customFormat="1">
      <c r="H1892" s="185"/>
      <c r="I1892" s="185"/>
      <c r="J1892" s="185"/>
      <c r="K1892"/>
      <c r="L1892"/>
      <c r="M1892"/>
      <c r="N1892"/>
      <c r="O1892"/>
      <c r="P1892"/>
    </row>
    <row r="1893" spans="8:16" s="1" customFormat="1">
      <c r="H1893" s="185"/>
      <c r="I1893" s="185"/>
      <c r="J1893" s="185"/>
      <c r="K1893"/>
      <c r="L1893"/>
      <c r="M1893"/>
      <c r="N1893"/>
      <c r="O1893"/>
      <c r="P1893"/>
    </row>
    <row r="1894" spans="8:16" s="1" customFormat="1">
      <c r="H1894" s="185"/>
      <c r="I1894" s="185"/>
      <c r="J1894" s="185"/>
      <c r="K1894"/>
      <c r="L1894"/>
      <c r="M1894"/>
      <c r="N1894"/>
      <c r="O1894"/>
      <c r="P1894"/>
    </row>
    <row r="1895" spans="8:16" s="1" customFormat="1">
      <c r="H1895" s="185"/>
      <c r="I1895" s="185"/>
      <c r="J1895" s="185"/>
      <c r="K1895"/>
      <c r="L1895"/>
      <c r="M1895"/>
      <c r="N1895"/>
      <c r="O1895"/>
      <c r="P1895"/>
    </row>
    <row r="1896" spans="8:16" s="1" customFormat="1">
      <c r="H1896" s="185"/>
      <c r="I1896" s="185"/>
      <c r="J1896" s="185"/>
      <c r="K1896"/>
      <c r="L1896"/>
      <c r="M1896"/>
      <c r="N1896"/>
      <c r="O1896"/>
      <c r="P1896"/>
    </row>
    <row r="1897" spans="8:16" s="1" customFormat="1">
      <c r="H1897" s="185"/>
      <c r="I1897" s="185"/>
      <c r="J1897" s="185"/>
      <c r="K1897"/>
      <c r="L1897"/>
      <c r="M1897"/>
      <c r="N1897"/>
      <c r="O1897"/>
      <c r="P1897"/>
    </row>
    <row r="1898" spans="8:16" s="1" customFormat="1">
      <c r="H1898" s="185"/>
      <c r="I1898" s="185"/>
      <c r="J1898" s="185"/>
      <c r="K1898"/>
      <c r="L1898"/>
      <c r="M1898"/>
      <c r="N1898"/>
      <c r="O1898"/>
      <c r="P1898"/>
    </row>
    <row r="1899" spans="8:16" s="1" customFormat="1">
      <c r="H1899" s="185"/>
      <c r="I1899" s="185"/>
      <c r="J1899" s="185"/>
      <c r="K1899"/>
      <c r="L1899"/>
      <c r="M1899"/>
      <c r="N1899"/>
      <c r="O1899"/>
      <c r="P1899"/>
    </row>
    <row r="1900" spans="8:16" s="1" customFormat="1">
      <c r="H1900" s="185"/>
      <c r="I1900" s="185"/>
      <c r="J1900" s="185"/>
      <c r="K1900"/>
      <c r="L1900"/>
      <c r="M1900"/>
      <c r="N1900"/>
      <c r="O1900"/>
      <c r="P1900"/>
    </row>
    <row r="1901" spans="8:16" s="1" customFormat="1">
      <c r="H1901" s="185"/>
      <c r="I1901" s="185"/>
      <c r="J1901" s="185"/>
      <c r="K1901"/>
      <c r="L1901"/>
      <c r="M1901"/>
      <c r="N1901"/>
      <c r="O1901"/>
      <c r="P1901"/>
    </row>
    <row r="1902" spans="8:16" s="1" customFormat="1">
      <c r="H1902" s="185"/>
      <c r="I1902" s="185"/>
      <c r="J1902" s="185"/>
      <c r="K1902"/>
      <c r="L1902"/>
      <c r="M1902"/>
      <c r="N1902"/>
      <c r="O1902"/>
      <c r="P1902"/>
    </row>
    <row r="1903" spans="8:16" s="1" customFormat="1">
      <c r="H1903" s="185"/>
      <c r="I1903" s="185"/>
      <c r="J1903" s="185"/>
      <c r="K1903"/>
      <c r="L1903"/>
      <c r="M1903"/>
      <c r="N1903"/>
      <c r="O1903"/>
      <c r="P1903"/>
    </row>
    <row r="1904" spans="8:16" s="1" customFormat="1">
      <c r="H1904" s="185"/>
      <c r="I1904" s="185"/>
      <c r="J1904" s="185"/>
      <c r="K1904"/>
      <c r="L1904"/>
      <c r="M1904"/>
      <c r="N1904"/>
      <c r="O1904"/>
      <c r="P1904"/>
    </row>
    <row r="1905" spans="8:16" s="1" customFormat="1">
      <c r="H1905" s="185"/>
      <c r="I1905" s="185"/>
      <c r="J1905" s="185"/>
      <c r="K1905"/>
      <c r="L1905"/>
      <c r="M1905"/>
      <c r="N1905"/>
      <c r="O1905"/>
      <c r="P1905"/>
    </row>
    <row r="1906" spans="8:16" s="1" customFormat="1">
      <c r="H1906" s="185"/>
      <c r="I1906" s="185"/>
      <c r="J1906" s="185"/>
      <c r="K1906"/>
      <c r="L1906"/>
      <c r="M1906"/>
      <c r="N1906"/>
      <c r="O1906"/>
      <c r="P1906"/>
    </row>
    <row r="1907" spans="8:16" s="1" customFormat="1">
      <c r="H1907" s="185"/>
      <c r="I1907" s="185"/>
      <c r="J1907" s="185"/>
      <c r="K1907"/>
      <c r="L1907"/>
      <c r="M1907"/>
      <c r="N1907"/>
      <c r="O1907"/>
      <c r="P1907"/>
    </row>
    <row r="1908" spans="8:16" s="1" customFormat="1">
      <c r="H1908" s="185"/>
      <c r="I1908" s="185"/>
      <c r="J1908" s="185"/>
      <c r="K1908"/>
      <c r="L1908"/>
      <c r="M1908"/>
      <c r="N1908"/>
      <c r="O1908"/>
      <c r="P1908"/>
    </row>
    <row r="1909" spans="8:16" s="1" customFormat="1">
      <c r="H1909" s="185"/>
      <c r="I1909" s="185"/>
      <c r="J1909" s="185"/>
      <c r="K1909"/>
      <c r="L1909"/>
      <c r="M1909"/>
      <c r="N1909"/>
      <c r="O1909"/>
      <c r="P1909"/>
    </row>
    <row r="1910" spans="8:16" s="1" customFormat="1">
      <c r="H1910" s="185"/>
      <c r="I1910" s="185"/>
      <c r="J1910" s="185"/>
      <c r="K1910"/>
      <c r="L1910"/>
      <c r="M1910"/>
      <c r="N1910"/>
      <c r="O1910"/>
      <c r="P1910"/>
    </row>
    <row r="1911" spans="8:16" s="1" customFormat="1">
      <c r="H1911" s="185"/>
      <c r="I1911" s="185"/>
      <c r="J1911" s="185"/>
      <c r="K1911"/>
      <c r="L1911"/>
      <c r="M1911"/>
      <c r="N1911"/>
      <c r="O1911"/>
      <c r="P1911"/>
    </row>
    <row r="1912" spans="8:16" s="1" customFormat="1">
      <c r="H1912" s="185"/>
      <c r="I1912" s="185"/>
      <c r="J1912" s="185"/>
      <c r="K1912"/>
      <c r="L1912"/>
      <c r="M1912"/>
      <c r="N1912"/>
      <c r="O1912"/>
      <c r="P1912"/>
    </row>
    <row r="1913" spans="8:16" s="1" customFormat="1">
      <c r="H1913" s="185"/>
      <c r="I1913" s="185"/>
      <c r="J1913" s="185"/>
      <c r="K1913"/>
      <c r="L1913"/>
      <c r="M1913"/>
      <c r="N1913"/>
      <c r="O1913"/>
      <c r="P1913"/>
    </row>
    <row r="1914" spans="8:16" s="1" customFormat="1">
      <c r="H1914" s="185"/>
      <c r="I1914" s="185"/>
      <c r="J1914" s="185"/>
      <c r="K1914"/>
      <c r="L1914"/>
      <c r="M1914"/>
      <c r="N1914"/>
      <c r="O1914"/>
      <c r="P1914"/>
    </row>
    <row r="1915" spans="8:16" s="1" customFormat="1">
      <c r="H1915" s="185"/>
      <c r="I1915" s="185"/>
      <c r="J1915" s="185"/>
      <c r="K1915"/>
      <c r="L1915"/>
      <c r="M1915"/>
      <c r="N1915"/>
      <c r="O1915"/>
      <c r="P1915"/>
    </row>
    <row r="1916" spans="8:16" s="1" customFormat="1">
      <c r="H1916" s="185"/>
      <c r="I1916" s="185"/>
      <c r="J1916" s="185"/>
      <c r="K1916"/>
      <c r="L1916"/>
      <c r="M1916"/>
      <c r="N1916"/>
      <c r="O1916"/>
      <c r="P1916"/>
    </row>
    <row r="1917" spans="8:16" s="1" customFormat="1">
      <c r="H1917" s="185"/>
      <c r="I1917" s="185"/>
      <c r="J1917" s="185"/>
      <c r="K1917"/>
      <c r="L1917"/>
      <c r="M1917"/>
      <c r="N1917"/>
      <c r="O1917"/>
      <c r="P1917"/>
    </row>
    <row r="1918" spans="8:16" s="1" customFormat="1">
      <c r="H1918" s="185"/>
      <c r="I1918" s="185"/>
      <c r="J1918" s="185"/>
      <c r="K1918"/>
      <c r="L1918"/>
      <c r="M1918"/>
      <c r="N1918"/>
      <c r="O1918"/>
      <c r="P1918"/>
    </row>
    <row r="1919" spans="8:16" s="1" customFormat="1">
      <c r="H1919" s="185"/>
      <c r="I1919" s="185"/>
      <c r="J1919" s="185"/>
      <c r="K1919"/>
      <c r="L1919"/>
      <c r="M1919"/>
      <c r="N1919"/>
      <c r="O1919"/>
      <c r="P1919"/>
    </row>
    <row r="1920" spans="8:16" s="1" customFormat="1">
      <c r="H1920" s="185"/>
      <c r="I1920" s="185"/>
      <c r="J1920" s="185"/>
      <c r="K1920"/>
      <c r="L1920"/>
      <c r="M1920"/>
      <c r="N1920"/>
      <c r="O1920"/>
      <c r="P1920"/>
    </row>
    <row r="1921" spans="8:16" s="1" customFormat="1">
      <c r="H1921" s="185"/>
      <c r="I1921" s="185"/>
      <c r="J1921" s="185"/>
      <c r="K1921"/>
      <c r="L1921"/>
      <c r="M1921"/>
      <c r="N1921"/>
      <c r="O1921"/>
      <c r="P1921"/>
    </row>
    <row r="1922" spans="8:16" s="1" customFormat="1">
      <c r="H1922" s="185"/>
      <c r="I1922" s="185"/>
      <c r="J1922" s="185"/>
      <c r="K1922"/>
      <c r="L1922"/>
      <c r="M1922"/>
      <c r="N1922"/>
      <c r="O1922"/>
      <c r="P1922"/>
    </row>
    <row r="1923" spans="8:16" s="1" customFormat="1">
      <c r="H1923" s="185"/>
      <c r="I1923" s="185"/>
      <c r="J1923" s="185"/>
      <c r="K1923"/>
      <c r="L1923"/>
      <c r="M1923"/>
      <c r="N1923"/>
      <c r="O1923"/>
      <c r="P1923"/>
    </row>
    <row r="1924" spans="8:16" s="1" customFormat="1">
      <c r="H1924" s="185"/>
      <c r="I1924" s="185"/>
      <c r="J1924" s="185"/>
      <c r="K1924"/>
      <c r="L1924"/>
      <c r="M1924"/>
      <c r="N1924"/>
      <c r="O1924"/>
      <c r="P1924"/>
    </row>
    <row r="1925" spans="8:16" s="1" customFormat="1">
      <c r="H1925" s="185"/>
      <c r="I1925" s="185"/>
      <c r="J1925" s="185"/>
      <c r="K1925"/>
      <c r="L1925"/>
      <c r="M1925"/>
      <c r="N1925"/>
      <c r="O1925"/>
      <c r="P1925"/>
    </row>
    <row r="1926" spans="8:16" s="1" customFormat="1">
      <c r="H1926" s="185"/>
      <c r="I1926" s="185"/>
      <c r="J1926" s="185"/>
      <c r="K1926"/>
      <c r="L1926"/>
      <c r="M1926"/>
      <c r="N1926"/>
      <c r="O1926"/>
      <c r="P1926"/>
    </row>
    <row r="1927" spans="8:16" s="1" customFormat="1">
      <c r="H1927" s="185"/>
      <c r="I1927" s="185"/>
      <c r="J1927" s="185"/>
      <c r="K1927"/>
      <c r="L1927"/>
      <c r="M1927"/>
      <c r="N1927"/>
      <c r="O1927"/>
      <c r="P1927"/>
    </row>
    <row r="1928" spans="8:16" s="1" customFormat="1">
      <c r="H1928" s="185"/>
      <c r="I1928" s="185"/>
      <c r="J1928" s="185"/>
      <c r="K1928"/>
      <c r="L1928"/>
      <c r="M1928"/>
      <c r="N1928"/>
      <c r="O1928"/>
      <c r="P1928"/>
    </row>
    <row r="1929" spans="8:16" s="1" customFormat="1">
      <c r="H1929" s="185"/>
      <c r="I1929" s="185"/>
      <c r="J1929" s="185"/>
      <c r="K1929"/>
      <c r="L1929"/>
      <c r="M1929"/>
      <c r="N1929"/>
      <c r="O1929"/>
      <c r="P1929"/>
    </row>
    <row r="1930" spans="8:16" s="1" customFormat="1">
      <c r="H1930" s="185"/>
      <c r="I1930" s="185"/>
      <c r="J1930" s="185"/>
      <c r="K1930"/>
      <c r="L1930"/>
      <c r="M1930"/>
      <c r="N1930"/>
      <c r="O1930"/>
      <c r="P1930"/>
    </row>
    <row r="1931" spans="8:16" s="1" customFormat="1">
      <c r="H1931" s="185"/>
      <c r="I1931" s="185"/>
      <c r="J1931" s="185"/>
      <c r="K1931"/>
      <c r="L1931"/>
      <c r="M1931"/>
      <c r="N1931"/>
      <c r="O1931"/>
      <c r="P1931"/>
    </row>
    <row r="1932" spans="8:16" s="1" customFormat="1">
      <c r="H1932" s="185"/>
      <c r="I1932" s="185"/>
      <c r="J1932" s="185"/>
      <c r="K1932"/>
      <c r="L1932"/>
      <c r="M1932"/>
      <c r="N1932"/>
      <c r="O1932"/>
      <c r="P1932"/>
    </row>
    <row r="1933" spans="8:16" s="1" customFormat="1">
      <c r="H1933" s="185"/>
      <c r="I1933" s="185"/>
      <c r="J1933" s="185"/>
      <c r="K1933"/>
      <c r="L1933"/>
      <c r="M1933"/>
      <c r="N1933"/>
      <c r="O1933"/>
      <c r="P1933"/>
    </row>
    <row r="1934" spans="8:16" s="1" customFormat="1">
      <c r="H1934" s="185"/>
      <c r="I1934" s="185"/>
      <c r="J1934" s="185"/>
      <c r="K1934"/>
      <c r="L1934"/>
      <c r="M1934"/>
      <c r="N1934"/>
      <c r="O1934"/>
      <c r="P1934"/>
    </row>
    <row r="1935" spans="8:16" s="1" customFormat="1">
      <c r="H1935" s="185"/>
      <c r="I1935" s="185"/>
      <c r="J1935" s="185"/>
      <c r="K1935"/>
      <c r="L1935"/>
      <c r="M1935"/>
      <c r="N1935"/>
      <c r="O1935"/>
      <c r="P1935"/>
    </row>
    <row r="1936" spans="8:16" s="1" customFormat="1">
      <c r="H1936" s="185"/>
      <c r="I1936" s="185"/>
      <c r="J1936" s="185"/>
      <c r="K1936"/>
      <c r="L1936"/>
      <c r="M1936"/>
      <c r="N1936"/>
      <c r="O1936"/>
      <c r="P1936"/>
    </row>
    <row r="1937" spans="8:16" s="1" customFormat="1">
      <c r="H1937" s="185"/>
      <c r="I1937" s="185"/>
      <c r="J1937" s="185"/>
      <c r="K1937"/>
      <c r="L1937"/>
      <c r="M1937"/>
      <c r="N1937"/>
      <c r="O1937"/>
      <c r="P1937"/>
    </row>
    <row r="1938" spans="8:16" s="1" customFormat="1">
      <c r="H1938" s="185"/>
      <c r="I1938" s="185"/>
      <c r="J1938" s="185"/>
      <c r="K1938"/>
      <c r="L1938"/>
      <c r="M1938"/>
      <c r="N1938"/>
      <c r="O1938"/>
      <c r="P1938"/>
    </row>
    <row r="1939" spans="8:16" s="1" customFormat="1">
      <c r="H1939" s="185"/>
      <c r="I1939" s="185"/>
      <c r="J1939" s="185"/>
      <c r="K1939"/>
      <c r="L1939"/>
      <c r="M1939"/>
      <c r="N1939"/>
      <c r="O1939"/>
      <c r="P1939"/>
    </row>
    <row r="1940" spans="8:16" s="1" customFormat="1">
      <c r="H1940" s="185"/>
      <c r="I1940" s="185"/>
      <c r="J1940" s="185"/>
      <c r="K1940"/>
      <c r="L1940"/>
      <c r="M1940"/>
      <c r="N1940"/>
      <c r="O1940"/>
      <c r="P1940"/>
    </row>
    <row r="1941" spans="8:16" s="1" customFormat="1">
      <c r="H1941" s="185"/>
      <c r="I1941" s="185"/>
      <c r="J1941" s="185"/>
      <c r="K1941"/>
      <c r="L1941"/>
      <c r="M1941"/>
      <c r="N1941"/>
      <c r="O1941"/>
      <c r="P1941"/>
    </row>
    <row r="1942" spans="8:16" s="1" customFormat="1">
      <c r="H1942" s="185"/>
      <c r="I1942" s="185"/>
      <c r="J1942" s="185"/>
      <c r="K1942"/>
      <c r="L1942"/>
      <c r="M1942"/>
      <c r="N1942"/>
      <c r="O1942"/>
      <c r="P1942"/>
    </row>
    <row r="1943" spans="8:16" s="1" customFormat="1">
      <c r="H1943" s="185"/>
      <c r="I1943" s="185"/>
      <c r="J1943" s="185"/>
      <c r="K1943"/>
      <c r="L1943"/>
      <c r="M1943"/>
      <c r="N1943"/>
      <c r="O1943"/>
      <c r="P1943"/>
    </row>
    <row r="1944" spans="8:16" s="1" customFormat="1">
      <c r="H1944" s="185"/>
      <c r="I1944" s="185"/>
      <c r="J1944" s="185"/>
      <c r="K1944"/>
      <c r="L1944"/>
      <c r="M1944"/>
      <c r="N1944"/>
      <c r="O1944"/>
      <c r="P1944"/>
    </row>
    <row r="1945" spans="8:16" s="1" customFormat="1">
      <c r="H1945" s="185"/>
      <c r="I1945" s="185"/>
      <c r="J1945" s="185"/>
      <c r="K1945"/>
      <c r="L1945"/>
      <c r="M1945"/>
      <c r="N1945"/>
      <c r="O1945"/>
      <c r="P1945"/>
    </row>
    <row r="1946" spans="8:16" s="1" customFormat="1">
      <c r="H1946" s="185"/>
      <c r="I1946" s="185"/>
      <c r="J1946" s="185"/>
      <c r="K1946"/>
      <c r="L1946"/>
      <c r="M1946"/>
      <c r="N1946"/>
      <c r="O1946"/>
      <c r="P1946"/>
    </row>
    <row r="1947" spans="8:16" s="1" customFormat="1">
      <c r="H1947" s="185"/>
      <c r="I1947" s="185"/>
      <c r="J1947" s="185"/>
      <c r="K1947"/>
      <c r="L1947"/>
      <c r="M1947"/>
      <c r="N1947"/>
      <c r="O1947"/>
      <c r="P1947"/>
    </row>
    <row r="1948" spans="8:16" s="1" customFormat="1">
      <c r="H1948" s="185"/>
      <c r="I1948" s="185"/>
      <c r="J1948" s="185"/>
      <c r="K1948"/>
      <c r="L1948"/>
      <c r="M1948"/>
      <c r="N1948"/>
      <c r="O1948"/>
      <c r="P1948"/>
    </row>
    <row r="1949" spans="8:16" s="1" customFormat="1">
      <c r="H1949" s="185"/>
      <c r="I1949" s="185"/>
      <c r="J1949" s="185"/>
      <c r="K1949"/>
      <c r="L1949"/>
      <c r="M1949"/>
      <c r="N1949"/>
      <c r="O1949"/>
      <c r="P1949"/>
    </row>
    <row r="1950" spans="8:16" s="1" customFormat="1">
      <c r="H1950" s="185"/>
      <c r="I1950" s="185"/>
      <c r="J1950" s="185"/>
      <c r="K1950"/>
      <c r="L1950"/>
      <c r="M1950"/>
      <c r="N1950"/>
      <c r="O1950"/>
      <c r="P1950"/>
    </row>
    <row r="1951" spans="8:16" s="1" customFormat="1">
      <c r="H1951" s="185"/>
      <c r="I1951" s="185"/>
      <c r="J1951" s="185"/>
      <c r="K1951"/>
      <c r="L1951"/>
      <c r="M1951"/>
      <c r="N1951"/>
      <c r="O1951"/>
      <c r="P1951"/>
    </row>
    <row r="1952" spans="8:16" s="1" customFormat="1">
      <c r="H1952" s="185"/>
      <c r="I1952" s="185"/>
      <c r="J1952" s="185"/>
      <c r="K1952"/>
      <c r="L1952"/>
      <c r="M1952"/>
      <c r="N1952"/>
      <c r="O1952"/>
      <c r="P1952"/>
    </row>
    <row r="1953" spans="8:16" s="1" customFormat="1">
      <c r="H1953" s="185"/>
      <c r="I1953" s="185"/>
      <c r="J1953" s="185"/>
      <c r="K1953"/>
      <c r="L1953"/>
      <c r="M1953"/>
      <c r="N1953"/>
      <c r="O1953"/>
      <c r="P1953"/>
    </row>
    <row r="1954" spans="8:16" s="1" customFormat="1">
      <c r="H1954" s="185"/>
      <c r="I1954" s="185"/>
      <c r="J1954" s="185"/>
      <c r="K1954"/>
      <c r="L1954"/>
      <c r="M1954"/>
      <c r="N1954"/>
      <c r="O1954"/>
      <c r="P1954"/>
    </row>
    <row r="1955" spans="8:16" s="1" customFormat="1">
      <c r="H1955" s="185"/>
      <c r="I1955" s="185"/>
      <c r="J1955" s="185"/>
      <c r="K1955"/>
      <c r="L1955"/>
      <c r="M1955"/>
      <c r="N1955"/>
      <c r="O1955"/>
      <c r="P1955"/>
    </row>
    <row r="1956" spans="8:16" s="1" customFormat="1">
      <c r="H1956" s="185"/>
      <c r="I1956" s="185"/>
      <c r="J1956" s="185"/>
      <c r="K1956"/>
      <c r="L1956"/>
      <c r="M1956"/>
      <c r="N1956"/>
      <c r="O1956"/>
      <c r="P1956"/>
    </row>
    <row r="1957" spans="8:16" s="1" customFormat="1">
      <c r="H1957" s="185"/>
      <c r="I1957" s="185"/>
      <c r="J1957" s="185"/>
      <c r="K1957"/>
      <c r="L1957"/>
      <c r="M1957"/>
      <c r="N1957"/>
      <c r="O1957"/>
      <c r="P1957"/>
    </row>
    <row r="1958" spans="8:16" s="1" customFormat="1">
      <c r="H1958" s="185"/>
      <c r="I1958" s="185"/>
      <c r="J1958" s="185"/>
      <c r="K1958"/>
      <c r="L1958"/>
      <c r="M1958"/>
      <c r="N1958"/>
      <c r="O1958"/>
      <c r="P1958"/>
    </row>
    <row r="1959" spans="8:16" s="1" customFormat="1">
      <c r="H1959" s="185"/>
      <c r="I1959" s="185"/>
      <c r="J1959" s="185"/>
      <c r="K1959"/>
      <c r="L1959"/>
      <c r="M1959"/>
      <c r="N1959"/>
      <c r="O1959"/>
      <c r="P1959"/>
    </row>
    <row r="1960" spans="8:16" s="1" customFormat="1">
      <c r="H1960" s="185"/>
      <c r="I1960" s="185"/>
      <c r="J1960" s="185"/>
      <c r="K1960"/>
      <c r="L1960"/>
      <c r="M1960"/>
      <c r="N1960"/>
      <c r="O1960"/>
      <c r="P1960"/>
    </row>
    <row r="1961" spans="8:16" s="1" customFormat="1">
      <c r="H1961" s="185"/>
      <c r="I1961" s="185"/>
      <c r="J1961" s="185"/>
      <c r="K1961"/>
      <c r="L1961"/>
      <c r="M1961"/>
      <c r="N1961"/>
      <c r="O1961"/>
      <c r="P1961"/>
    </row>
    <row r="1962" spans="8:16" s="1" customFormat="1">
      <c r="H1962" s="185"/>
      <c r="I1962" s="185"/>
      <c r="J1962" s="185"/>
      <c r="K1962"/>
      <c r="L1962"/>
      <c r="M1962"/>
      <c r="N1962"/>
      <c r="O1962"/>
      <c r="P1962"/>
    </row>
    <row r="1963" spans="8:16" s="1" customFormat="1">
      <c r="H1963" s="185"/>
      <c r="I1963" s="185"/>
      <c r="J1963" s="185"/>
      <c r="K1963"/>
      <c r="L1963"/>
      <c r="M1963"/>
      <c r="N1963"/>
      <c r="O1963"/>
      <c r="P1963"/>
    </row>
    <row r="1964" spans="8:16" s="1" customFormat="1">
      <c r="H1964" s="185"/>
      <c r="I1964" s="185"/>
      <c r="J1964" s="185"/>
      <c r="K1964"/>
      <c r="L1964"/>
      <c r="M1964"/>
      <c r="N1964"/>
      <c r="O1964"/>
      <c r="P1964"/>
    </row>
    <row r="1965" spans="8:16" s="1" customFormat="1">
      <c r="H1965" s="185"/>
      <c r="I1965" s="185"/>
      <c r="J1965" s="185"/>
      <c r="K1965"/>
      <c r="L1965"/>
      <c r="M1965"/>
      <c r="N1965"/>
      <c r="O1965"/>
      <c r="P1965"/>
    </row>
    <row r="1966" spans="8:16" s="1" customFormat="1">
      <c r="H1966" s="185"/>
      <c r="I1966" s="185"/>
      <c r="J1966" s="185"/>
      <c r="K1966"/>
      <c r="L1966"/>
      <c r="M1966"/>
      <c r="N1966"/>
      <c r="O1966"/>
      <c r="P1966"/>
    </row>
    <row r="1967" spans="8:16" s="1" customFormat="1">
      <c r="H1967" s="185"/>
      <c r="I1967" s="185"/>
      <c r="J1967" s="185"/>
      <c r="K1967"/>
      <c r="L1967"/>
      <c r="M1967"/>
      <c r="N1967"/>
      <c r="O1967"/>
      <c r="P1967"/>
    </row>
    <row r="1968" spans="8:16" s="1" customFormat="1">
      <c r="H1968" s="185"/>
      <c r="I1968" s="185"/>
      <c r="J1968" s="185"/>
      <c r="K1968"/>
      <c r="L1968"/>
      <c r="M1968"/>
      <c r="N1968"/>
      <c r="O1968"/>
      <c r="P1968"/>
    </row>
    <row r="1969" spans="8:16" s="1" customFormat="1">
      <c r="H1969" s="185"/>
      <c r="I1969" s="185"/>
      <c r="J1969" s="185"/>
      <c r="K1969"/>
      <c r="L1969"/>
      <c r="M1969"/>
      <c r="N1969"/>
      <c r="O1969"/>
      <c r="P1969"/>
    </row>
    <row r="1970" spans="8:16" s="1" customFormat="1">
      <c r="H1970" s="185"/>
      <c r="I1970" s="185"/>
      <c r="J1970" s="185"/>
      <c r="K1970"/>
      <c r="L1970"/>
      <c r="M1970"/>
      <c r="N1970"/>
      <c r="O1970"/>
      <c r="P1970"/>
    </row>
    <row r="1971" spans="8:16" s="1" customFormat="1">
      <c r="H1971" s="185"/>
      <c r="I1971" s="185"/>
      <c r="J1971" s="185"/>
      <c r="K1971"/>
      <c r="L1971"/>
      <c r="M1971"/>
      <c r="N1971"/>
      <c r="O1971"/>
      <c r="P1971"/>
    </row>
    <row r="1972" spans="8:16" s="1" customFormat="1">
      <c r="H1972" s="185"/>
      <c r="I1972" s="185"/>
      <c r="J1972" s="185"/>
      <c r="K1972"/>
      <c r="L1972"/>
      <c r="M1972"/>
      <c r="N1972"/>
      <c r="O1972"/>
      <c r="P1972"/>
    </row>
    <row r="1973" spans="8:16" s="1" customFormat="1">
      <c r="H1973" s="185"/>
      <c r="I1973" s="185"/>
      <c r="J1973" s="185"/>
      <c r="K1973"/>
      <c r="L1973"/>
      <c r="M1973"/>
      <c r="N1973"/>
      <c r="O1973"/>
      <c r="P1973"/>
    </row>
    <row r="1974" spans="8:16" s="1" customFormat="1">
      <c r="H1974" s="185"/>
      <c r="I1974" s="185"/>
      <c r="J1974" s="185"/>
      <c r="K1974"/>
      <c r="L1974"/>
      <c r="M1974"/>
      <c r="N1974"/>
      <c r="O1974"/>
      <c r="P1974"/>
    </row>
    <row r="1975" spans="8:16" s="1" customFormat="1">
      <c r="H1975" s="185"/>
      <c r="I1975" s="185"/>
      <c r="J1975" s="185"/>
      <c r="K1975"/>
      <c r="L1975"/>
      <c r="M1975"/>
      <c r="N1975"/>
      <c r="O1975"/>
      <c r="P1975"/>
    </row>
    <row r="1976" spans="8:16" s="1" customFormat="1">
      <c r="H1976" s="185"/>
      <c r="I1976" s="185"/>
      <c r="J1976" s="185"/>
      <c r="K1976"/>
      <c r="L1976"/>
      <c r="M1976"/>
      <c r="N1976"/>
      <c r="O1976"/>
      <c r="P1976"/>
    </row>
    <row r="1977" spans="8:16" s="1" customFormat="1">
      <c r="H1977" s="185"/>
      <c r="I1977" s="185"/>
      <c r="J1977" s="185"/>
      <c r="K1977"/>
      <c r="L1977"/>
      <c r="M1977"/>
      <c r="N1977"/>
      <c r="O1977"/>
      <c r="P1977"/>
    </row>
    <row r="1978" spans="8:16" s="1" customFormat="1">
      <c r="H1978" s="185"/>
      <c r="I1978" s="185"/>
      <c r="J1978" s="185"/>
      <c r="K1978"/>
      <c r="L1978"/>
      <c r="M1978"/>
      <c r="N1978"/>
      <c r="O1978"/>
      <c r="P1978"/>
    </row>
    <row r="1979" spans="8:16" s="1" customFormat="1">
      <c r="H1979" s="185"/>
      <c r="I1979" s="185"/>
      <c r="J1979" s="185"/>
      <c r="K1979"/>
      <c r="L1979"/>
      <c r="M1979"/>
      <c r="N1979"/>
      <c r="O1979"/>
      <c r="P1979"/>
    </row>
    <row r="1980" spans="8:16" s="1" customFormat="1">
      <c r="H1980" s="185"/>
      <c r="I1980" s="185"/>
      <c r="J1980" s="185"/>
      <c r="K1980"/>
      <c r="L1980"/>
      <c r="M1980"/>
      <c r="N1980"/>
      <c r="O1980"/>
      <c r="P1980"/>
    </row>
    <row r="1981" spans="8:16" s="1" customFormat="1">
      <c r="H1981" s="185"/>
      <c r="I1981" s="185"/>
      <c r="J1981" s="185"/>
      <c r="K1981"/>
      <c r="L1981"/>
      <c r="M1981"/>
      <c r="N1981"/>
      <c r="O1981"/>
      <c r="P1981"/>
    </row>
    <row r="1982" spans="8:16" s="1" customFormat="1">
      <c r="H1982" s="185"/>
      <c r="I1982" s="185"/>
      <c r="J1982" s="185"/>
      <c r="K1982"/>
      <c r="L1982"/>
      <c r="M1982"/>
      <c r="N1982"/>
      <c r="O1982"/>
      <c r="P1982"/>
    </row>
    <row r="1983" spans="8:16" s="1" customFormat="1">
      <c r="H1983" s="185"/>
      <c r="I1983" s="185"/>
      <c r="J1983" s="185"/>
      <c r="K1983"/>
      <c r="L1983"/>
      <c r="M1983"/>
      <c r="N1983"/>
      <c r="O1983"/>
      <c r="P1983"/>
    </row>
    <row r="1984" spans="8:16" s="1" customFormat="1">
      <c r="H1984" s="185"/>
      <c r="I1984" s="185"/>
      <c r="J1984" s="185"/>
      <c r="K1984"/>
      <c r="L1984"/>
      <c r="M1984"/>
      <c r="N1984"/>
      <c r="O1984"/>
      <c r="P1984"/>
    </row>
    <row r="1985" spans="8:16" s="1" customFormat="1">
      <c r="H1985" s="185"/>
      <c r="I1985" s="185"/>
      <c r="J1985" s="185"/>
      <c r="K1985"/>
      <c r="L1985"/>
      <c r="M1985"/>
      <c r="N1985"/>
      <c r="O1985"/>
      <c r="P1985"/>
    </row>
    <row r="1986" spans="8:16" s="1" customFormat="1">
      <c r="H1986" s="185"/>
      <c r="I1986" s="185"/>
      <c r="J1986" s="185"/>
      <c r="K1986"/>
      <c r="L1986"/>
      <c r="M1986"/>
      <c r="N1986"/>
      <c r="O1986"/>
      <c r="P1986"/>
    </row>
    <row r="1987" spans="8:16" s="1" customFormat="1">
      <c r="H1987" s="185"/>
      <c r="I1987" s="185"/>
      <c r="J1987" s="185"/>
      <c r="K1987"/>
      <c r="L1987"/>
      <c r="M1987"/>
      <c r="N1987"/>
      <c r="O1987"/>
      <c r="P1987"/>
    </row>
    <row r="1988" spans="8:16" s="1" customFormat="1">
      <c r="H1988" s="185"/>
      <c r="I1988" s="185"/>
      <c r="J1988" s="185"/>
      <c r="K1988"/>
      <c r="L1988"/>
      <c r="M1988"/>
      <c r="N1988"/>
      <c r="O1988"/>
      <c r="P1988"/>
    </row>
    <row r="1989" spans="8:16" s="1" customFormat="1">
      <c r="H1989" s="185"/>
      <c r="I1989" s="185"/>
      <c r="J1989" s="185"/>
      <c r="K1989"/>
      <c r="L1989"/>
      <c r="M1989"/>
      <c r="N1989"/>
      <c r="O1989"/>
      <c r="P1989"/>
    </row>
    <row r="1990" spans="8:16" s="1" customFormat="1">
      <c r="H1990" s="185"/>
      <c r="I1990" s="185"/>
      <c r="J1990" s="185"/>
      <c r="K1990"/>
      <c r="L1990"/>
      <c r="M1990"/>
      <c r="N1990"/>
      <c r="O1990"/>
      <c r="P1990"/>
    </row>
    <row r="1991" spans="8:16" s="1" customFormat="1">
      <c r="H1991" s="185"/>
      <c r="I1991" s="185"/>
      <c r="J1991" s="185"/>
      <c r="K1991"/>
      <c r="L1991"/>
      <c r="M1991"/>
      <c r="N1991"/>
      <c r="O1991"/>
      <c r="P1991"/>
    </row>
    <row r="1992" spans="8:16" s="1" customFormat="1">
      <c r="H1992" s="185"/>
      <c r="I1992" s="185"/>
      <c r="J1992" s="185"/>
      <c r="K1992"/>
      <c r="L1992"/>
      <c r="M1992"/>
      <c r="N1992"/>
      <c r="O1992"/>
      <c r="P1992"/>
    </row>
    <row r="1993" spans="8:16" s="1" customFormat="1">
      <c r="H1993" s="185"/>
      <c r="I1993" s="185"/>
      <c r="J1993" s="185"/>
      <c r="K1993"/>
      <c r="L1993"/>
      <c r="M1993"/>
      <c r="N1993"/>
      <c r="O1993"/>
      <c r="P1993"/>
    </row>
    <row r="1994" spans="8:16" s="1" customFormat="1">
      <c r="H1994" s="185"/>
      <c r="I1994" s="185"/>
      <c r="J1994" s="185"/>
      <c r="K1994"/>
      <c r="L1994"/>
      <c r="M1994"/>
      <c r="N1994"/>
      <c r="O1994"/>
      <c r="P1994"/>
    </row>
    <row r="1995" spans="8:16" s="1" customFormat="1">
      <c r="H1995" s="185"/>
      <c r="I1995" s="185"/>
      <c r="J1995" s="185"/>
      <c r="K1995"/>
      <c r="L1995"/>
      <c r="M1995"/>
      <c r="N1995"/>
      <c r="O1995"/>
      <c r="P1995"/>
    </row>
    <row r="1996" spans="8:16" s="1" customFormat="1">
      <c r="H1996" s="185"/>
      <c r="I1996" s="185"/>
      <c r="J1996" s="185"/>
      <c r="K1996"/>
      <c r="L1996"/>
      <c r="M1996"/>
      <c r="N1996"/>
      <c r="O1996"/>
      <c r="P1996"/>
    </row>
    <row r="1997" spans="8:16" s="1" customFormat="1">
      <c r="H1997" s="185"/>
      <c r="I1997" s="185"/>
      <c r="J1997" s="185"/>
      <c r="K1997"/>
      <c r="L1997"/>
      <c r="M1997"/>
      <c r="N1997"/>
      <c r="O1997"/>
      <c r="P1997"/>
    </row>
    <row r="1998" spans="8:16" s="1" customFormat="1">
      <c r="H1998" s="185"/>
      <c r="I1998" s="185"/>
      <c r="J1998" s="185"/>
      <c r="K1998"/>
      <c r="L1998"/>
      <c r="M1998"/>
      <c r="N1998"/>
      <c r="O1998"/>
      <c r="P1998"/>
    </row>
    <row r="1999" spans="8:16" s="1" customFormat="1">
      <c r="H1999" s="185"/>
      <c r="I1999" s="185"/>
      <c r="J1999" s="185"/>
      <c r="K1999"/>
      <c r="L1999"/>
      <c r="M1999"/>
      <c r="N1999"/>
      <c r="O1999"/>
      <c r="P1999"/>
    </row>
    <row r="2000" spans="8:16" s="1" customFormat="1">
      <c r="H2000" s="185"/>
      <c r="I2000" s="185"/>
      <c r="J2000" s="185"/>
      <c r="K2000"/>
      <c r="L2000"/>
      <c r="M2000"/>
      <c r="N2000"/>
      <c r="O2000"/>
      <c r="P2000"/>
    </row>
    <row r="2001" spans="8:16" s="1" customFormat="1">
      <c r="H2001" s="185"/>
      <c r="I2001" s="185"/>
      <c r="J2001" s="185"/>
      <c r="K2001"/>
      <c r="L2001"/>
      <c r="M2001"/>
      <c r="N2001"/>
      <c r="O2001"/>
      <c r="P2001"/>
    </row>
    <row r="2002" spans="8:16" s="1" customFormat="1">
      <c r="H2002" s="185"/>
      <c r="I2002" s="185"/>
      <c r="J2002" s="185"/>
      <c r="K2002"/>
      <c r="L2002"/>
      <c r="M2002"/>
      <c r="N2002"/>
      <c r="O2002"/>
      <c r="P2002"/>
    </row>
    <row r="2003" spans="8:16" s="1" customFormat="1">
      <c r="H2003" s="185"/>
      <c r="I2003" s="185"/>
      <c r="J2003" s="185"/>
      <c r="K2003"/>
      <c r="L2003"/>
      <c r="M2003"/>
      <c r="N2003"/>
      <c r="O2003"/>
      <c r="P2003"/>
    </row>
    <row r="2004" spans="8:16" s="1" customFormat="1">
      <c r="H2004" s="185"/>
      <c r="I2004" s="185"/>
      <c r="J2004" s="185"/>
      <c r="K2004"/>
      <c r="L2004"/>
      <c r="M2004"/>
      <c r="N2004"/>
      <c r="O2004"/>
      <c r="P2004"/>
    </row>
    <row r="2005" spans="8:16" s="1" customFormat="1">
      <c r="H2005" s="185"/>
      <c r="I2005" s="185"/>
      <c r="J2005" s="185"/>
      <c r="K2005"/>
      <c r="L2005"/>
      <c r="M2005"/>
      <c r="N2005"/>
      <c r="O2005"/>
      <c r="P2005"/>
    </row>
    <row r="2006" spans="8:16" s="1" customFormat="1">
      <c r="H2006" s="185"/>
      <c r="I2006" s="185"/>
      <c r="J2006" s="185"/>
      <c r="K2006"/>
      <c r="L2006"/>
      <c r="M2006"/>
      <c r="N2006"/>
      <c r="O2006"/>
      <c r="P2006"/>
    </row>
    <row r="2007" spans="8:16" s="1" customFormat="1">
      <c r="H2007" s="185"/>
      <c r="I2007" s="185"/>
      <c r="J2007" s="185"/>
      <c r="K2007"/>
      <c r="L2007"/>
      <c r="M2007"/>
      <c r="N2007"/>
      <c r="O2007"/>
      <c r="P2007"/>
    </row>
    <row r="2008" spans="8:16" s="1" customFormat="1">
      <c r="H2008" s="185"/>
      <c r="I2008" s="185"/>
      <c r="J2008" s="185"/>
      <c r="K2008"/>
      <c r="L2008"/>
      <c r="M2008"/>
      <c r="N2008"/>
      <c r="O2008"/>
      <c r="P2008"/>
    </row>
    <row r="2009" spans="8:16" s="1" customFormat="1">
      <c r="H2009" s="185"/>
      <c r="I2009" s="185"/>
      <c r="J2009" s="185"/>
      <c r="K2009"/>
      <c r="L2009"/>
      <c r="M2009"/>
      <c r="N2009"/>
      <c r="O2009"/>
      <c r="P2009"/>
    </row>
    <row r="2010" spans="8:16" s="1" customFormat="1">
      <c r="H2010" s="185"/>
      <c r="I2010" s="185"/>
      <c r="J2010" s="185"/>
      <c r="K2010"/>
      <c r="L2010"/>
      <c r="M2010"/>
      <c r="N2010"/>
      <c r="O2010"/>
      <c r="P2010"/>
    </row>
    <row r="2011" spans="8:16" s="1" customFormat="1">
      <c r="H2011" s="185"/>
      <c r="I2011" s="185"/>
      <c r="J2011" s="185"/>
      <c r="K2011"/>
      <c r="L2011"/>
      <c r="M2011"/>
      <c r="N2011"/>
      <c r="O2011"/>
      <c r="P2011"/>
    </row>
    <row r="2012" spans="8:16" s="1" customFormat="1">
      <c r="H2012" s="185"/>
      <c r="I2012" s="185"/>
      <c r="J2012" s="185"/>
      <c r="K2012"/>
      <c r="L2012"/>
      <c r="M2012"/>
      <c r="N2012"/>
      <c r="O2012"/>
      <c r="P2012"/>
    </row>
    <row r="2013" spans="8:16" s="1" customFormat="1">
      <c r="H2013" s="185"/>
      <c r="I2013" s="185"/>
      <c r="J2013" s="185"/>
      <c r="K2013"/>
      <c r="L2013"/>
      <c r="M2013"/>
      <c r="N2013"/>
      <c r="O2013"/>
      <c r="P2013"/>
    </row>
    <row r="2014" spans="8:16" s="1" customFormat="1">
      <c r="H2014" s="185"/>
      <c r="I2014" s="185"/>
      <c r="J2014" s="185"/>
      <c r="K2014"/>
      <c r="L2014"/>
      <c r="M2014"/>
      <c r="N2014"/>
      <c r="O2014"/>
      <c r="P2014"/>
    </row>
    <row r="2015" spans="8:16" s="1" customFormat="1">
      <c r="H2015" s="185"/>
      <c r="I2015" s="185"/>
      <c r="J2015" s="185"/>
      <c r="K2015"/>
      <c r="L2015"/>
      <c r="M2015"/>
      <c r="N2015"/>
      <c r="O2015"/>
      <c r="P2015"/>
    </row>
    <row r="2016" spans="8:16" s="1" customFormat="1">
      <c r="H2016" s="185"/>
      <c r="I2016" s="185"/>
      <c r="J2016" s="185"/>
      <c r="K2016"/>
      <c r="L2016"/>
      <c r="M2016"/>
      <c r="N2016"/>
      <c r="O2016"/>
      <c r="P2016"/>
    </row>
    <row r="2017" spans="8:16" s="1" customFormat="1">
      <c r="H2017" s="185"/>
      <c r="I2017" s="185"/>
      <c r="J2017" s="185"/>
      <c r="K2017"/>
      <c r="L2017"/>
      <c r="M2017"/>
      <c r="N2017"/>
      <c r="O2017"/>
      <c r="P2017"/>
    </row>
    <row r="2018" spans="8:16" s="1" customFormat="1">
      <c r="H2018" s="185"/>
      <c r="I2018" s="185"/>
      <c r="J2018" s="185"/>
      <c r="K2018"/>
      <c r="L2018"/>
      <c r="M2018"/>
      <c r="N2018"/>
      <c r="O2018"/>
      <c r="P2018"/>
    </row>
    <row r="2019" spans="8:16" s="1" customFormat="1">
      <c r="H2019" s="185"/>
      <c r="I2019" s="185"/>
      <c r="J2019" s="185"/>
      <c r="K2019"/>
      <c r="L2019"/>
      <c r="M2019"/>
      <c r="N2019"/>
      <c r="O2019"/>
      <c r="P2019"/>
    </row>
    <row r="2020" spans="8:16" s="1" customFormat="1">
      <c r="H2020" s="185"/>
      <c r="I2020" s="185"/>
      <c r="J2020" s="185"/>
      <c r="K2020"/>
      <c r="L2020"/>
      <c r="M2020"/>
      <c r="N2020"/>
      <c r="O2020"/>
      <c r="P2020"/>
    </row>
    <row r="2021" spans="8:16" s="1" customFormat="1">
      <c r="H2021" s="185"/>
      <c r="I2021" s="185"/>
      <c r="J2021" s="185"/>
      <c r="K2021"/>
      <c r="L2021"/>
      <c r="M2021"/>
      <c r="N2021"/>
      <c r="O2021"/>
      <c r="P2021"/>
    </row>
    <row r="2022" spans="8:16" s="1" customFormat="1">
      <c r="H2022" s="185"/>
      <c r="I2022" s="185"/>
      <c r="J2022" s="185"/>
      <c r="K2022"/>
      <c r="L2022"/>
      <c r="M2022"/>
      <c r="N2022"/>
      <c r="O2022"/>
      <c r="P2022"/>
    </row>
    <row r="2023" spans="8:16" s="1" customFormat="1">
      <c r="H2023" s="185"/>
      <c r="I2023" s="185"/>
      <c r="J2023" s="185"/>
      <c r="K2023"/>
      <c r="L2023"/>
      <c r="M2023"/>
      <c r="N2023"/>
      <c r="O2023"/>
      <c r="P2023"/>
    </row>
    <row r="2024" spans="8:16" s="1" customFormat="1">
      <c r="H2024" s="185"/>
      <c r="I2024" s="185"/>
      <c r="J2024" s="185"/>
      <c r="K2024"/>
      <c r="L2024"/>
      <c r="M2024"/>
      <c r="N2024"/>
      <c r="O2024"/>
      <c r="P2024"/>
    </row>
    <row r="2025" spans="8:16" s="1" customFormat="1">
      <c r="H2025" s="185"/>
      <c r="I2025" s="185"/>
      <c r="J2025" s="185"/>
      <c r="K2025"/>
      <c r="L2025"/>
      <c r="M2025"/>
      <c r="N2025"/>
      <c r="O2025"/>
      <c r="P2025"/>
    </row>
    <row r="2026" spans="8:16" s="1" customFormat="1">
      <c r="H2026" s="185"/>
      <c r="I2026" s="185"/>
      <c r="J2026" s="185"/>
      <c r="K2026"/>
      <c r="L2026"/>
      <c r="M2026"/>
      <c r="N2026"/>
      <c r="O2026"/>
      <c r="P2026"/>
    </row>
    <row r="2027" spans="8:16" s="1" customFormat="1">
      <c r="H2027" s="185"/>
      <c r="I2027" s="185"/>
      <c r="J2027" s="185"/>
      <c r="K2027"/>
      <c r="L2027"/>
      <c r="M2027"/>
      <c r="N2027"/>
      <c r="O2027"/>
      <c r="P2027"/>
    </row>
    <row r="2028" spans="8:16" s="1" customFormat="1">
      <c r="H2028" s="185"/>
      <c r="I2028" s="185"/>
      <c r="J2028" s="185"/>
      <c r="K2028"/>
      <c r="L2028"/>
      <c r="M2028"/>
      <c r="N2028"/>
      <c r="O2028"/>
      <c r="P2028"/>
    </row>
    <row r="2029" spans="8:16" s="1" customFormat="1">
      <c r="H2029" s="185"/>
      <c r="I2029" s="185"/>
      <c r="J2029" s="185"/>
      <c r="K2029"/>
      <c r="L2029"/>
      <c r="M2029"/>
      <c r="N2029"/>
      <c r="O2029"/>
      <c r="P2029"/>
    </row>
    <row r="2030" spans="8:16" s="1" customFormat="1">
      <c r="H2030" s="185"/>
      <c r="I2030" s="185"/>
      <c r="J2030" s="185"/>
      <c r="K2030"/>
      <c r="L2030"/>
      <c r="M2030"/>
      <c r="N2030"/>
      <c r="O2030"/>
      <c r="P2030"/>
    </row>
    <row r="2031" spans="8:16" s="1" customFormat="1">
      <c r="H2031" s="185"/>
      <c r="I2031" s="185"/>
      <c r="J2031" s="185"/>
      <c r="K2031"/>
      <c r="L2031"/>
      <c r="M2031"/>
      <c r="N2031"/>
      <c r="O2031"/>
      <c r="P2031"/>
    </row>
    <row r="2032" spans="8:16" s="1" customFormat="1">
      <c r="H2032" s="185"/>
      <c r="I2032" s="185"/>
      <c r="J2032" s="185"/>
      <c r="K2032"/>
      <c r="L2032"/>
      <c r="M2032"/>
      <c r="N2032"/>
      <c r="O2032"/>
      <c r="P2032"/>
    </row>
    <row r="2033" spans="8:16" s="1" customFormat="1">
      <c r="H2033" s="185"/>
      <c r="I2033" s="185"/>
      <c r="J2033" s="185"/>
      <c r="K2033"/>
      <c r="L2033"/>
      <c r="M2033"/>
      <c r="N2033"/>
      <c r="O2033"/>
      <c r="P2033"/>
    </row>
    <row r="2034" spans="8:16" s="1" customFormat="1">
      <c r="H2034" s="185"/>
      <c r="I2034" s="185"/>
      <c r="J2034" s="185"/>
      <c r="K2034"/>
      <c r="L2034"/>
      <c r="M2034"/>
      <c r="N2034"/>
      <c r="O2034"/>
      <c r="P2034"/>
    </row>
    <row r="2035" spans="8:16" s="1" customFormat="1">
      <c r="H2035" s="185"/>
      <c r="I2035" s="185"/>
      <c r="J2035" s="185"/>
      <c r="K2035"/>
      <c r="L2035"/>
      <c r="M2035"/>
      <c r="N2035"/>
      <c r="O2035"/>
      <c r="P2035"/>
    </row>
    <row r="2036" spans="8:16" s="1" customFormat="1">
      <c r="H2036" s="185"/>
      <c r="I2036" s="185"/>
      <c r="J2036" s="185"/>
      <c r="K2036"/>
      <c r="L2036"/>
      <c r="M2036"/>
      <c r="N2036"/>
      <c r="O2036"/>
      <c r="P2036"/>
    </row>
    <row r="2037" spans="8:16" s="1" customFormat="1">
      <c r="H2037" s="185"/>
      <c r="I2037" s="185"/>
      <c r="J2037" s="185"/>
      <c r="K2037"/>
      <c r="L2037"/>
      <c r="M2037"/>
      <c r="N2037"/>
      <c r="O2037"/>
      <c r="P2037"/>
    </row>
    <row r="2038" spans="8:16" s="1" customFormat="1">
      <c r="H2038" s="185"/>
      <c r="I2038" s="185"/>
      <c r="J2038" s="185"/>
      <c r="K2038"/>
      <c r="L2038"/>
      <c r="M2038"/>
      <c r="N2038"/>
      <c r="O2038"/>
      <c r="P2038"/>
    </row>
    <row r="2039" spans="8:16" s="1" customFormat="1">
      <c r="H2039" s="185"/>
      <c r="I2039" s="185"/>
      <c r="J2039" s="185"/>
      <c r="K2039"/>
      <c r="L2039"/>
      <c r="M2039"/>
      <c r="N2039"/>
      <c r="O2039"/>
      <c r="P2039"/>
    </row>
    <row r="2040" spans="8:16" s="1" customFormat="1">
      <c r="H2040" s="185"/>
      <c r="I2040" s="185"/>
      <c r="J2040" s="185"/>
      <c r="K2040"/>
      <c r="L2040"/>
      <c r="M2040"/>
      <c r="N2040"/>
      <c r="O2040"/>
      <c r="P2040"/>
    </row>
    <row r="2041" spans="8:16" s="1" customFormat="1">
      <c r="H2041" s="185"/>
      <c r="I2041" s="185"/>
      <c r="J2041" s="185"/>
      <c r="K2041"/>
      <c r="L2041"/>
      <c r="M2041"/>
      <c r="N2041"/>
      <c r="O2041"/>
      <c r="P2041"/>
    </row>
    <row r="2042" spans="8:16" s="1" customFormat="1">
      <c r="H2042" s="185"/>
      <c r="I2042" s="185"/>
      <c r="J2042" s="185"/>
      <c r="K2042"/>
      <c r="L2042"/>
      <c r="M2042"/>
      <c r="N2042"/>
      <c r="O2042"/>
      <c r="P2042"/>
    </row>
    <row r="2043" spans="8:16" s="1" customFormat="1">
      <c r="H2043" s="185"/>
      <c r="I2043" s="185"/>
      <c r="J2043" s="185"/>
      <c r="K2043"/>
      <c r="L2043"/>
      <c r="M2043"/>
      <c r="N2043"/>
      <c r="O2043"/>
      <c r="P2043"/>
    </row>
    <row r="2044" spans="8:16" s="1" customFormat="1">
      <c r="H2044" s="185"/>
      <c r="I2044" s="185"/>
      <c r="J2044" s="185"/>
      <c r="K2044"/>
      <c r="L2044"/>
      <c r="M2044"/>
      <c r="N2044"/>
      <c r="O2044"/>
      <c r="P2044"/>
    </row>
    <row r="2045" spans="8:16" s="1" customFormat="1">
      <c r="H2045" s="185"/>
      <c r="I2045" s="185"/>
      <c r="J2045" s="185"/>
      <c r="K2045"/>
      <c r="L2045"/>
      <c r="M2045"/>
      <c r="N2045"/>
      <c r="O2045"/>
      <c r="P2045"/>
    </row>
    <row r="2046" spans="8:16" s="1" customFormat="1">
      <c r="H2046" s="185"/>
      <c r="I2046" s="185"/>
      <c r="J2046" s="185"/>
      <c r="K2046"/>
      <c r="L2046"/>
      <c r="M2046"/>
      <c r="N2046"/>
      <c r="O2046"/>
      <c r="P2046"/>
    </row>
    <row r="2047" spans="8:16" s="1" customFormat="1">
      <c r="H2047" s="185"/>
      <c r="I2047" s="185"/>
      <c r="J2047" s="185"/>
      <c r="K2047"/>
      <c r="L2047"/>
      <c r="M2047"/>
      <c r="N2047"/>
      <c r="O2047"/>
      <c r="P2047"/>
    </row>
    <row r="2048" spans="8:16" s="1" customFormat="1">
      <c r="H2048" s="185"/>
      <c r="I2048" s="185"/>
      <c r="J2048" s="185"/>
      <c r="K2048"/>
      <c r="L2048"/>
      <c r="M2048"/>
      <c r="N2048"/>
      <c r="O2048"/>
      <c r="P2048"/>
    </row>
    <row r="2049" spans="8:16" s="1" customFormat="1">
      <c r="H2049" s="185"/>
      <c r="I2049" s="185"/>
      <c r="J2049" s="185"/>
      <c r="K2049"/>
      <c r="L2049"/>
      <c r="M2049"/>
      <c r="N2049"/>
      <c r="O2049"/>
      <c r="P2049"/>
    </row>
    <row r="2050" spans="8:16" s="1" customFormat="1">
      <c r="H2050" s="185"/>
      <c r="I2050" s="185"/>
      <c r="J2050" s="185"/>
      <c r="K2050"/>
      <c r="L2050"/>
      <c r="M2050"/>
      <c r="N2050"/>
      <c r="O2050"/>
      <c r="P2050"/>
    </row>
    <row r="2051" spans="8:16" s="1" customFormat="1">
      <c r="H2051" s="185"/>
      <c r="I2051" s="185"/>
      <c r="J2051" s="185"/>
      <c r="K2051"/>
      <c r="L2051"/>
      <c r="M2051"/>
      <c r="N2051"/>
      <c r="O2051"/>
      <c r="P2051"/>
    </row>
    <row r="2052" spans="8:16" s="1" customFormat="1">
      <c r="H2052" s="185"/>
      <c r="I2052" s="185"/>
      <c r="J2052" s="185"/>
      <c r="K2052"/>
      <c r="L2052"/>
      <c r="M2052"/>
      <c r="N2052"/>
      <c r="O2052"/>
      <c r="P2052"/>
    </row>
    <row r="2053" spans="8:16" s="1" customFormat="1">
      <c r="H2053" s="185"/>
      <c r="I2053" s="185"/>
      <c r="J2053" s="185"/>
      <c r="K2053"/>
      <c r="L2053"/>
      <c r="M2053"/>
      <c r="N2053"/>
      <c r="O2053"/>
      <c r="P2053"/>
    </row>
    <row r="2054" spans="8:16" s="1" customFormat="1">
      <c r="H2054" s="185"/>
      <c r="I2054" s="185"/>
      <c r="J2054" s="185"/>
      <c r="K2054"/>
      <c r="L2054"/>
      <c r="M2054"/>
      <c r="N2054"/>
      <c r="O2054"/>
      <c r="P2054"/>
    </row>
    <row r="2055" spans="8:16" s="1" customFormat="1">
      <c r="H2055" s="185"/>
      <c r="I2055" s="185"/>
      <c r="J2055" s="185"/>
      <c r="K2055"/>
      <c r="L2055"/>
      <c r="M2055"/>
      <c r="N2055"/>
      <c r="O2055"/>
      <c r="P2055"/>
    </row>
    <row r="2056" spans="8:16" s="1" customFormat="1">
      <c r="H2056" s="185"/>
      <c r="I2056" s="185"/>
      <c r="J2056" s="185"/>
      <c r="K2056"/>
      <c r="L2056"/>
      <c r="M2056"/>
      <c r="N2056"/>
      <c r="O2056"/>
      <c r="P2056"/>
    </row>
    <row r="2057" spans="8:16" s="1" customFormat="1">
      <c r="H2057" s="185"/>
      <c r="I2057" s="185"/>
      <c r="J2057" s="185"/>
      <c r="K2057"/>
      <c r="L2057"/>
      <c r="M2057"/>
      <c r="N2057"/>
      <c r="O2057"/>
      <c r="P2057"/>
    </row>
    <row r="2058" spans="8:16" s="1" customFormat="1">
      <c r="H2058" s="185"/>
      <c r="I2058" s="185"/>
      <c r="J2058" s="185"/>
      <c r="K2058"/>
      <c r="L2058"/>
      <c r="M2058"/>
      <c r="N2058"/>
      <c r="O2058"/>
      <c r="P2058"/>
    </row>
    <row r="2059" spans="8:16" s="1" customFormat="1">
      <c r="H2059" s="185"/>
      <c r="I2059" s="185"/>
      <c r="J2059" s="185"/>
      <c r="K2059"/>
      <c r="L2059"/>
      <c r="M2059"/>
      <c r="N2059"/>
      <c r="O2059"/>
      <c r="P2059"/>
    </row>
    <row r="2060" spans="8:16" s="1" customFormat="1">
      <c r="H2060" s="185"/>
      <c r="I2060" s="185"/>
      <c r="J2060" s="185"/>
      <c r="K2060"/>
      <c r="L2060"/>
      <c r="M2060"/>
      <c r="N2060"/>
      <c r="O2060"/>
      <c r="P2060"/>
    </row>
    <row r="2061" spans="8:16" s="1" customFormat="1">
      <c r="H2061" s="185"/>
      <c r="I2061" s="185"/>
      <c r="J2061" s="185"/>
      <c r="K2061"/>
      <c r="L2061"/>
      <c r="M2061"/>
      <c r="N2061"/>
      <c r="O2061"/>
      <c r="P2061"/>
    </row>
    <row r="2062" spans="8:16" s="1" customFormat="1">
      <c r="H2062" s="185"/>
      <c r="I2062" s="185"/>
      <c r="J2062" s="185"/>
      <c r="K2062"/>
      <c r="L2062"/>
      <c r="M2062"/>
      <c r="N2062"/>
      <c r="O2062"/>
      <c r="P2062"/>
    </row>
    <row r="2063" spans="8:16" s="1" customFormat="1">
      <c r="H2063" s="185"/>
      <c r="I2063" s="185"/>
      <c r="J2063" s="185"/>
      <c r="K2063"/>
      <c r="L2063"/>
      <c r="M2063"/>
      <c r="N2063"/>
      <c r="O2063"/>
      <c r="P2063"/>
    </row>
    <row r="2064" spans="8:16" s="1" customFormat="1">
      <c r="H2064" s="185"/>
      <c r="I2064" s="185"/>
      <c r="J2064" s="185"/>
      <c r="K2064"/>
      <c r="L2064"/>
      <c r="M2064"/>
      <c r="N2064"/>
      <c r="O2064"/>
      <c r="P2064"/>
    </row>
    <row r="2065" spans="8:16" s="1" customFormat="1">
      <c r="H2065" s="185"/>
      <c r="I2065" s="185"/>
      <c r="J2065" s="185"/>
      <c r="K2065"/>
      <c r="L2065"/>
      <c r="M2065"/>
      <c r="N2065"/>
      <c r="O2065"/>
      <c r="P2065"/>
    </row>
    <row r="2066" spans="8:16" s="1" customFormat="1">
      <c r="H2066" s="185"/>
      <c r="I2066" s="185"/>
      <c r="J2066" s="185"/>
      <c r="K2066"/>
      <c r="L2066"/>
      <c r="M2066"/>
      <c r="N2066"/>
      <c r="O2066"/>
      <c r="P2066"/>
    </row>
    <row r="2067" spans="8:16" s="1" customFormat="1">
      <c r="H2067" s="185"/>
      <c r="I2067" s="185"/>
      <c r="J2067" s="185"/>
      <c r="K2067"/>
      <c r="L2067"/>
      <c r="M2067"/>
      <c r="N2067"/>
      <c r="O2067"/>
      <c r="P2067"/>
    </row>
    <row r="2068" spans="8:16" s="1" customFormat="1">
      <c r="H2068" s="185"/>
      <c r="I2068" s="185"/>
      <c r="J2068" s="185"/>
      <c r="K2068"/>
      <c r="L2068"/>
      <c r="M2068"/>
      <c r="N2068"/>
      <c r="O2068"/>
      <c r="P2068"/>
    </row>
    <row r="2069" spans="8:16" s="1" customFormat="1">
      <c r="H2069" s="185"/>
      <c r="I2069" s="185"/>
      <c r="J2069" s="185"/>
      <c r="K2069"/>
      <c r="L2069"/>
      <c r="M2069"/>
      <c r="N2069"/>
      <c r="O2069"/>
      <c r="P2069"/>
    </row>
    <row r="2070" spans="8:16" s="1" customFormat="1">
      <c r="H2070" s="185"/>
      <c r="I2070" s="185"/>
      <c r="J2070" s="185"/>
      <c r="K2070"/>
      <c r="L2070"/>
      <c r="M2070"/>
      <c r="N2070"/>
      <c r="O2070"/>
      <c r="P2070"/>
    </row>
    <row r="2071" spans="8:16" s="1" customFormat="1">
      <c r="H2071" s="185"/>
      <c r="I2071" s="185"/>
      <c r="J2071" s="185"/>
      <c r="K2071"/>
      <c r="L2071"/>
      <c r="M2071"/>
      <c r="N2071"/>
      <c r="O2071"/>
      <c r="P2071"/>
    </row>
    <row r="2072" spans="8:16" s="1" customFormat="1">
      <c r="H2072" s="185"/>
      <c r="I2072" s="185"/>
      <c r="J2072" s="185"/>
      <c r="K2072"/>
      <c r="L2072"/>
      <c r="M2072"/>
      <c r="N2072"/>
      <c r="O2072"/>
      <c r="P2072"/>
    </row>
    <row r="2073" spans="8:16" s="1" customFormat="1">
      <c r="H2073" s="185"/>
      <c r="I2073" s="185"/>
      <c r="J2073" s="185"/>
      <c r="K2073"/>
      <c r="L2073"/>
      <c r="M2073"/>
      <c r="N2073"/>
      <c r="O2073"/>
      <c r="P2073"/>
    </row>
    <row r="2074" spans="8:16" s="1" customFormat="1">
      <c r="H2074" s="185"/>
      <c r="I2074" s="185"/>
      <c r="J2074" s="185"/>
      <c r="K2074"/>
      <c r="L2074"/>
      <c r="M2074"/>
      <c r="N2074"/>
      <c r="O2074"/>
      <c r="P2074"/>
    </row>
    <row r="2075" spans="8:16" s="1" customFormat="1">
      <c r="H2075" s="185"/>
      <c r="I2075" s="185"/>
      <c r="J2075" s="185"/>
      <c r="K2075"/>
      <c r="L2075"/>
      <c r="M2075"/>
      <c r="N2075"/>
      <c r="O2075"/>
      <c r="P2075"/>
    </row>
    <row r="2076" spans="8:16" s="1" customFormat="1">
      <c r="H2076" s="185"/>
      <c r="I2076" s="185"/>
      <c r="J2076" s="185"/>
      <c r="K2076"/>
      <c r="L2076"/>
      <c r="M2076"/>
      <c r="N2076"/>
      <c r="O2076"/>
      <c r="P2076"/>
    </row>
    <row r="2077" spans="8:16" s="1" customFormat="1">
      <c r="H2077" s="185"/>
      <c r="I2077" s="185"/>
      <c r="J2077" s="185"/>
      <c r="K2077"/>
      <c r="L2077"/>
      <c r="M2077"/>
      <c r="N2077"/>
      <c r="O2077"/>
      <c r="P2077"/>
    </row>
    <row r="2078" spans="8:16" s="1" customFormat="1">
      <c r="H2078" s="185"/>
      <c r="I2078" s="185"/>
      <c r="J2078" s="185"/>
      <c r="K2078"/>
      <c r="L2078"/>
      <c r="M2078"/>
      <c r="N2078"/>
      <c r="O2078"/>
      <c r="P2078"/>
    </row>
    <row r="2079" spans="8:16" s="1" customFormat="1">
      <c r="H2079" s="185"/>
      <c r="I2079" s="185"/>
      <c r="J2079" s="185"/>
      <c r="K2079"/>
      <c r="L2079"/>
      <c r="M2079"/>
      <c r="N2079"/>
      <c r="O2079"/>
      <c r="P2079"/>
    </row>
    <row r="2080" spans="8:16" s="1" customFormat="1">
      <c r="H2080" s="185"/>
      <c r="I2080" s="185"/>
      <c r="J2080" s="185"/>
      <c r="K2080"/>
      <c r="L2080"/>
      <c r="M2080"/>
      <c r="N2080"/>
      <c r="O2080"/>
      <c r="P2080"/>
    </row>
    <row r="2081" spans="8:16" s="1" customFormat="1">
      <c r="H2081" s="185"/>
      <c r="I2081" s="185"/>
      <c r="J2081" s="185"/>
      <c r="K2081"/>
      <c r="L2081"/>
      <c r="M2081"/>
      <c r="N2081"/>
      <c r="O2081"/>
      <c r="P2081"/>
    </row>
    <row r="2082" spans="8:16" s="1" customFormat="1">
      <c r="H2082" s="185"/>
      <c r="I2082" s="185"/>
      <c r="J2082" s="185"/>
      <c r="K2082"/>
      <c r="L2082"/>
      <c r="M2082"/>
      <c r="N2082"/>
      <c r="O2082"/>
      <c r="P2082"/>
    </row>
    <row r="2083" spans="8:16" s="1" customFormat="1">
      <c r="H2083" s="185"/>
      <c r="I2083" s="185"/>
      <c r="J2083" s="185"/>
      <c r="K2083"/>
      <c r="L2083"/>
      <c r="M2083"/>
      <c r="N2083"/>
      <c r="O2083"/>
      <c r="P2083"/>
    </row>
    <row r="2084" spans="8:16" s="1" customFormat="1">
      <c r="H2084" s="185"/>
      <c r="I2084" s="185"/>
      <c r="J2084" s="185"/>
      <c r="K2084"/>
      <c r="L2084"/>
      <c r="M2084"/>
      <c r="N2084"/>
      <c r="O2084"/>
      <c r="P2084"/>
    </row>
    <row r="2085" spans="8:16" s="1" customFormat="1">
      <c r="H2085" s="185"/>
      <c r="I2085" s="185"/>
      <c r="J2085" s="185"/>
      <c r="K2085"/>
      <c r="L2085"/>
      <c r="M2085"/>
      <c r="N2085"/>
      <c r="O2085"/>
      <c r="P2085"/>
    </row>
    <row r="2086" spans="8:16" s="1" customFormat="1">
      <c r="H2086" s="185"/>
      <c r="I2086" s="185"/>
      <c r="J2086" s="185"/>
      <c r="K2086"/>
      <c r="L2086"/>
      <c r="M2086"/>
      <c r="N2086"/>
      <c r="O2086"/>
      <c r="P2086"/>
    </row>
    <row r="2087" spans="8:16" s="1" customFormat="1">
      <c r="H2087" s="185"/>
      <c r="I2087" s="185"/>
      <c r="J2087" s="185"/>
      <c r="K2087"/>
      <c r="L2087"/>
      <c r="M2087"/>
      <c r="N2087"/>
      <c r="O2087"/>
      <c r="P2087"/>
    </row>
    <row r="2088" spans="8:16" s="1" customFormat="1">
      <c r="H2088" s="185"/>
      <c r="I2088" s="185"/>
      <c r="J2088" s="185"/>
      <c r="K2088"/>
      <c r="L2088"/>
      <c r="M2088"/>
      <c r="N2088"/>
      <c r="O2088"/>
      <c r="P2088"/>
    </row>
    <row r="2089" spans="8:16" s="1" customFormat="1">
      <c r="H2089" s="185"/>
      <c r="I2089" s="185"/>
      <c r="J2089" s="185"/>
      <c r="K2089"/>
      <c r="L2089"/>
      <c r="M2089"/>
      <c r="N2089"/>
      <c r="O2089"/>
      <c r="P2089"/>
    </row>
    <row r="2090" spans="8:16" s="1" customFormat="1">
      <c r="H2090" s="185"/>
      <c r="I2090" s="185"/>
      <c r="J2090" s="185"/>
      <c r="K2090"/>
      <c r="L2090"/>
      <c r="M2090"/>
      <c r="N2090"/>
      <c r="O2090"/>
      <c r="P2090"/>
    </row>
    <row r="2091" spans="8:16" s="1" customFormat="1">
      <c r="H2091" s="185"/>
      <c r="I2091" s="185"/>
      <c r="J2091" s="185"/>
      <c r="K2091"/>
      <c r="L2091"/>
      <c r="M2091"/>
      <c r="N2091"/>
      <c r="O2091"/>
      <c r="P2091"/>
    </row>
    <row r="2092" spans="8:16" s="1" customFormat="1">
      <c r="H2092" s="185"/>
      <c r="I2092" s="185"/>
      <c r="J2092" s="185"/>
      <c r="K2092"/>
      <c r="L2092"/>
      <c r="M2092"/>
      <c r="N2092"/>
      <c r="O2092"/>
      <c r="P2092"/>
    </row>
    <row r="2093" spans="8:16" s="1" customFormat="1">
      <c r="H2093" s="185"/>
      <c r="I2093" s="185"/>
      <c r="J2093" s="185"/>
      <c r="K2093"/>
      <c r="L2093"/>
      <c r="M2093"/>
      <c r="N2093"/>
      <c r="O2093"/>
      <c r="P2093"/>
    </row>
    <row r="2094" spans="8:16" s="1" customFormat="1">
      <c r="H2094" s="185"/>
      <c r="I2094" s="185"/>
      <c r="J2094" s="185"/>
      <c r="K2094"/>
      <c r="L2094"/>
      <c r="M2094"/>
      <c r="N2094"/>
      <c r="O2094"/>
      <c r="P2094"/>
    </row>
    <row r="2095" spans="8:16" s="1" customFormat="1">
      <c r="H2095" s="185"/>
      <c r="I2095" s="185"/>
      <c r="J2095" s="185"/>
      <c r="K2095"/>
      <c r="L2095"/>
      <c r="M2095"/>
      <c r="N2095"/>
      <c r="O2095"/>
      <c r="P2095"/>
    </row>
    <row r="2096" spans="8:16" s="1" customFormat="1">
      <c r="H2096" s="185"/>
      <c r="I2096" s="185"/>
      <c r="J2096" s="185"/>
      <c r="K2096"/>
      <c r="L2096"/>
      <c r="M2096"/>
      <c r="N2096"/>
      <c r="O2096"/>
      <c r="P2096"/>
    </row>
    <row r="2097" spans="8:16" s="1" customFormat="1">
      <c r="H2097" s="185"/>
      <c r="I2097" s="185"/>
      <c r="J2097" s="185"/>
      <c r="K2097"/>
      <c r="L2097"/>
      <c r="M2097"/>
      <c r="N2097"/>
      <c r="O2097"/>
      <c r="P2097"/>
    </row>
    <row r="2098" spans="8:16" s="1" customFormat="1">
      <c r="H2098" s="185"/>
      <c r="I2098" s="185"/>
      <c r="J2098" s="185"/>
      <c r="K2098"/>
      <c r="L2098"/>
      <c r="M2098"/>
      <c r="N2098"/>
      <c r="O2098"/>
      <c r="P2098"/>
    </row>
    <row r="2099" spans="8:16" s="1" customFormat="1">
      <c r="H2099" s="185"/>
      <c r="I2099" s="185"/>
      <c r="J2099" s="185"/>
      <c r="K2099"/>
      <c r="L2099"/>
      <c r="M2099"/>
      <c r="N2099"/>
      <c r="O2099"/>
      <c r="P2099"/>
    </row>
    <row r="2100" spans="8:16" s="1" customFormat="1">
      <c r="H2100" s="185"/>
      <c r="I2100" s="185"/>
      <c r="J2100" s="185"/>
      <c r="K2100"/>
      <c r="L2100"/>
      <c r="M2100"/>
      <c r="N2100"/>
      <c r="O2100"/>
      <c r="P2100"/>
    </row>
    <row r="2101" spans="8:16" s="1" customFormat="1">
      <c r="H2101" s="185"/>
      <c r="I2101" s="185"/>
      <c r="J2101" s="185"/>
      <c r="K2101"/>
      <c r="L2101"/>
      <c r="M2101"/>
      <c r="N2101"/>
      <c r="O2101"/>
      <c r="P2101"/>
    </row>
    <row r="2102" spans="8:16" s="1" customFormat="1">
      <c r="H2102" s="185"/>
      <c r="I2102" s="185"/>
      <c r="J2102" s="185"/>
      <c r="K2102"/>
      <c r="L2102"/>
      <c r="M2102"/>
      <c r="N2102"/>
      <c r="O2102"/>
      <c r="P2102"/>
    </row>
    <row r="2103" spans="8:16" s="1" customFormat="1">
      <c r="H2103" s="185"/>
      <c r="I2103" s="185"/>
      <c r="J2103" s="185"/>
      <c r="K2103"/>
      <c r="L2103"/>
      <c r="M2103"/>
      <c r="N2103"/>
      <c r="O2103"/>
      <c r="P2103"/>
    </row>
    <row r="2104" spans="8:16" s="1" customFormat="1">
      <c r="H2104" s="185"/>
      <c r="I2104" s="185"/>
      <c r="J2104" s="185"/>
      <c r="K2104"/>
      <c r="L2104"/>
      <c r="M2104"/>
      <c r="N2104"/>
      <c r="O2104"/>
      <c r="P2104"/>
    </row>
    <row r="2105" spans="8:16" s="1" customFormat="1">
      <c r="H2105" s="185"/>
      <c r="I2105" s="185"/>
      <c r="J2105" s="185"/>
      <c r="K2105"/>
      <c r="L2105"/>
      <c r="M2105"/>
      <c r="N2105"/>
      <c r="O2105"/>
      <c r="P2105"/>
    </row>
    <row r="2106" spans="8:16" s="1" customFormat="1">
      <c r="H2106" s="185"/>
      <c r="I2106" s="185"/>
      <c r="J2106" s="185"/>
      <c r="K2106"/>
      <c r="L2106"/>
      <c r="M2106"/>
      <c r="N2106"/>
      <c r="O2106"/>
      <c r="P2106"/>
    </row>
    <row r="2107" spans="8:16" s="1" customFormat="1">
      <c r="H2107" s="185"/>
      <c r="I2107" s="185"/>
      <c r="J2107" s="185"/>
      <c r="K2107"/>
      <c r="L2107"/>
      <c r="M2107"/>
      <c r="N2107"/>
      <c r="O2107"/>
      <c r="P2107"/>
    </row>
    <row r="2108" spans="8:16" s="1" customFormat="1">
      <c r="H2108" s="185"/>
      <c r="I2108" s="185"/>
      <c r="J2108" s="185"/>
      <c r="K2108"/>
      <c r="L2108"/>
      <c r="M2108"/>
      <c r="N2108"/>
      <c r="O2108"/>
      <c r="P2108"/>
    </row>
    <row r="2109" spans="8:16" s="1" customFormat="1">
      <c r="H2109" s="185"/>
      <c r="I2109" s="185"/>
      <c r="J2109" s="185"/>
      <c r="K2109"/>
      <c r="L2109"/>
      <c r="M2109"/>
      <c r="N2109"/>
      <c r="O2109"/>
      <c r="P2109"/>
    </row>
    <row r="2110" spans="8:16" s="1" customFormat="1">
      <c r="H2110" s="185"/>
      <c r="I2110" s="185"/>
      <c r="J2110" s="185"/>
      <c r="K2110"/>
      <c r="L2110"/>
      <c r="M2110"/>
      <c r="N2110"/>
      <c r="O2110"/>
      <c r="P2110"/>
    </row>
    <row r="2111" spans="8:16" s="1" customFormat="1">
      <c r="H2111" s="185"/>
      <c r="I2111" s="185"/>
      <c r="J2111" s="185"/>
      <c r="K2111"/>
      <c r="L2111"/>
      <c r="M2111"/>
      <c r="N2111"/>
      <c r="O2111"/>
      <c r="P2111"/>
    </row>
    <row r="2112" spans="8:16" s="1" customFormat="1">
      <c r="H2112" s="185"/>
      <c r="I2112" s="185"/>
      <c r="J2112" s="185"/>
      <c r="K2112"/>
      <c r="L2112"/>
      <c r="M2112"/>
      <c r="N2112"/>
      <c r="O2112"/>
      <c r="P2112"/>
    </row>
    <row r="2113" spans="8:16" s="1" customFormat="1">
      <c r="H2113" s="185"/>
      <c r="I2113" s="185"/>
      <c r="J2113" s="185"/>
      <c r="K2113"/>
      <c r="L2113"/>
      <c r="M2113"/>
      <c r="N2113"/>
      <c r="O2113"/>
      <c r="P2113"/>
    </row>
    <row r="2114" spans="8:16" s="1" customFormat="1">
      <c r="H2114" s="185"/>
      <c r="I2114" s="185"/>
      <c r="J2114" s="185"/>
      <c r="K2114"/>
      <c r="L2114"/>
      <c r="M2114"/>
      <c r="N2114"/>
      <c r="O2114"/>
      <c r="P2114"/>
    </row>
    <row r="2115" spans="8:16" s="1" customFormat="1">
      <c r="H2115" s="185"/>
      <c r="I2115" s="185"/>
      <c r="J2115" s="185"/>
      <c r="K2115"/>
      <c r="L2115"/>
      <c r="M2115"/>
      <c r="N2115"/>
      <c r="O2115"/>
      <c r="P2115"/>
    </row>
    <row r="2116" spans="8:16" s="1" customFormat="1">
      <c r="H2116" s="185"/>
      <c r="I2116" s="185"/>
      <c r="J2116" s="185"/>
      <c r="K2116"/>
      <c r="L2116"/>
      <c r="M2116"/>
      <c r="N2116"/>
      <c r="O2116"/>
      <c r="P2116"/>
    </row>
    <row r="2117" spans="8:16" s="1" customFormat="1">
      <c r="H2117" s="185"/>
      <c r="I2117" s="185"/>
      <c r="J2117" s="185"/>
      <c r="K2117"/>
      <c r="L2117"/>
      <c r="M2117"/>
      <c r="N2117"/>
      <c r="O2117"/>
      <c r="P2117"/>
    </row>
    <row r="2118" spans="8:16" s="1" customFormat="1">
      <c r="H2118" s="185"/>
      <c r="I2118" s="185"/>
      <c r="J2118" s="185"/>
      <c r="K2118"/>
      <c r="L2118"/>
      <c r="M2118"/>
      <c r="N2118"/>
      <c r="O2118"/>
      <c r="P2118"/>
    </row>
    <row r="2119" spans="8:16" s="1" customFormat="1">
      <c r="H2119" s="185"/>
      <c r="I2119" s="185"/>
      <c r="J2119" s="185"/>
      <c r="K2119"/>
      <c r="L2119"/>
      <c r="M2119"/>
      <c r="N2119"/>
      <c r="O2119"/>
      <c r="P2119"/>
    </row>
    <row r="2120" spans="8:16" s="1" customFormat="1">
      <c r="H2120" s="185"/>
      <c r="I2120" s="185"/>
      <c r="J2120" s="185"/>
      <c r="K2120"/>
      <c r="L2120"/>
      <c r="M2120"/>
      <c r="N2120"/>
      <c r="O2120"/>
      <c r="P2120"/>
    </row>
    <row r="2121" spans="8:16" s="1" customFormat="1">
      <c r="H2121" s="185"/>
      <c r="I2121" s="185"/>
      <c r="J2121" s="185"/>
      <c r="K2121"/>
      <c r="L2121"/>
      <c r="M2121"/>
      <c r="N2121"/>
      <c r="O2121"/>
      <c r="P2121"/>
    </row>
    <row r="2122" spans="8:16" s="1" customFormat="1">
      <c r="H2122" s="185"/>
      <c r="I2122" s="185"/>
      <c r="J2122" s="185"/>
      <c r="K2122"/>
      <c r="L2122"/>
      <c r="M2122"/>
      <c r="N2122"/>
      <c r="O2122"/>
      <c r="P2122"/>
    </row>
    <row r="2123" spans="8:16" s="1" customFormat="1">
      <c r="H2123" s="185"/>
      <c r="I2123" s="185"/>
      <c r="J2123" s="185"/>
      <c r="K2123"/>
      <c r="L2123"/>
      <c r="M2123"/>
      <c r="N2123"/>
      <c r="O2123"/>
      <c r="P2123"/>
    </row>
    <row r="2124" spans="8:16" s="1" customFormat="1">
      <c r="H2124" s="185"/>
      <c r="I2124" s="185"/>
      <c r="J2124" s="185"/>
      <c r="K2124"/>
      <c r="L2124"/>
      <c r="M2124"/>
      <c r="N2124"/>
      <c r="O2124"/>
      <c r="P2124"/>
    </row>
    <row r="2125" spans="8:16" s="1" customFormat="1">
      <c r="H2125" s="185"/>
      <c r="I2125" s="185"/>
      <c r="J2125" s="185"/>
      <c r="K2125"/>
      <c r="L2125"/>
      <c r="M2125"/>
      <c r="N2125"/>
      <c r="O2125"/>
      <c r="P2125"/>
    </row>
    <row r="2126" spans="8:16" s="1" customFormat="1">
      <c r="H2126" s="185"/>
      <c r="I2126" s="185"/>
      <c r="J2126" s="185"/>
      <c r="K2126"/>
      <c r="L2126"/>
      <c r="M2126"/>
      <c r="N2126"/>
      <c r="O2126"/>
      <c r="P2126"/>
    </row>
    <row r="2127" spans="8:16" s="1" customFormat="1">
      <c r="H2127" s="185"/>
      <c r="I2127" s="185"/>
      <c r="J2127" s="185"/>
      <c r="K2127"/>
      <c r="L2127"/>
      <c r="M2127"/>
      <c r="N2127"/>
      <c r="O2127"/>
      <c r="P2127"/>
    </row>
    <row r="2128" spans="8:16" s="1" customFormat="1">
      <c r="H2128" s="185"/>
      <c r="I2128" s="185"/>
      <c r="J2128" s="185"/>
      <c r="K2128"/>
      <c r="L2128"/>
      <c r="M2128"/>
      <c r="N2128"/>
      <c r="O2128"/>
      <c r="P2128"/>
    </row>
    <row r="2129" spans="8:16" s="1" customFormat="1">
      <c r="H2129" s="185"/>
      <c r="I2129" s="185"/>
      <c r="J2129" s="185"/>
      <c r="K2129"/>
      <c r="L2129"/>
      <c r="M2129"/>
      <c r="N2129"/>
      <c r="O2129"/>
      <c r="P2129"/>
    </row>
    <row r="2130" spans="8:16" s="1" customFormat="1">
      <c r="H2130" s="185"/>
      <c r="I2130" s="185"/>
      <c r="J2130" s="185"/>
      <c r="K2130"/>
      <c r="L2130"/>
      <c r="M2130"/>
      <c r="N2130"/>
      <c r="O2130"/>
      <c r="P2130"/>
    </row>
    <row r="2131" spans="8:16" s="1" customFormat="1">
      <c r="H2131" s="185"/>
      <c r="I2131" s="185"/>
      <c r="J2131" s="185"/>
      <c r="K2131"/>
      <c r="L2131"/>
      <c r="M2131"/>
      <c r="N2131"/>
      <c r="O2131"/>
      <c r="P2131"/>
    </row>
    <row r="2132" spans="8:16" s="1" customFormat="1">
      <c r="H2132" s="185"/>
      <c r="I2132" s="185"/>
      <c r="J2132" s="185"/>
      <c r="K2132"/>
      <c r="L2132"/>
      <c r="M2132"/>
      <c r="N2132"/>
      <c r="O2132"/>
      <c r="P2132"/>
    </row>
    <row r="2133" spans="8:16" s="1" customFormat="1">
      <c r="H2133" s="185"/>
      <c r="I2133" s="185"/>
      <c r="J2133" s="185"/>
      <c r="K2133"/>
      <c r="L2133"/>
      <c r="M2133"/>
      <c r="N2133"/>
      <c r="O2133"/>
      <c r="P2133"/>
    </row>
    <row r="2134" spans="8:16" s="1" customFormat="1">
      <c r="H2134" s="185"/>
      <c r="I2134" s="185"/>
      <c r="J2134" s="185"/>
      <c r="K2134"/>
      <c r="L2134"/>
      <c r="M2134"/>
      <c r="N2134"/>
      <c r="O2134"/>
      <c r="P2134"/>
    </row>
    <row r="2135" spans="8:16" s="1" customFormat="1">
      <c r="H2135" s="185"/>
      <c r="I2135" s="185"/>
      <c r="J2135" s="185"/>
      <c r="K2135"/>
      <c r="L2135"/>
      <c r="M2135"/>
      <c r="N2135"/>
      <c r="O2135"/>
      <c r="P2135"/>
    </row>
    <row r="2136" spans="8:16" s="1" customFormat="1">
      <c r="H2136" s="185"/>
      <c r="I2136" s="185"/>
      <c r="J2136" s="185"/>
      <c r="K2136"/>
      <c r="L2136"/>
      <c r="M2136"/>
      <c r="N2136"/>
      <c r="O2136"/>
      <c r="P2136"/>
    </row>
    <row r="2137" spans="8:16" s="1" customFormat="1">
      <c r="H2137" s="185"/>
      <c r="I2137" s="185"/>
      <c r="J2137" s="185"/>
      <c r="K2137"/>
      <c r="L2137"/>
      <c r="M2137"/>
      <c r="N2137"/>
      <c r="O2137"/>
      <c r="P2137"/>
    </row>
    <row r="2138" spans="8:16" s="1" customFormat="1">
      <c r="H2138" s="185"/>
      <c r="I2138" s="185"/>
      <c r="J2138" s="185"/>
      <c r="K2138"/>
      <c r="L2138"/>
      <c r="M2138"/>
      <c r="N2138"/>
      <c r="O2138"/>
      <c r="P2138"/>
    </row>
    <row r="2139" spans="8:16" s="1" customFormat="1">
      <c r="H2139" s="185"/>
      <c r="I2139" s="185"/>
      <c r="J2139" s="185"/>
      <c r="K2139"/>
      <c r="L2139"/>
      <c r="M2139"/>
      <c r="N2139"/>
      <c r="O2139"/>
      <c r="P2139"/>
    </row>
    <row r="2140" spans="8:16" s="1" customFormat="1">
      <c r="H2140" s="185"/>
      <c r="I2140" s="185"/>
      <c r="J2140" s="185"/>
      <c r="K2140"/>
      <c r="L2140"/>
      <c r="M2140"/>
      <c r="N2140"/>
      <c r="O2140"/>
      <c r="P2140"/>
    </row>
    <row r="2141" spans="8:16" s="1" customFormat="1">
      <c r="H2141" s="185"/>
      <c r="I2141" s="185"/>
      <c r="J2141" s="185"/>
      <c r="K2141"/>
      <c r="L2141"/>
      <c r="M2141"/>
      <c r="N2141"/>
      <c r="O2141"/>
      <c r="P2141"/>
    </row>
    <row r="2142" spans="8:16" s="1" customFormat="1">
      <c r="H2142" s="185"/>
      <c r="I2142" s="185"/>
      <c r="J2142" s="185"/>
      <c r="K2142"/>
      <c r="L2142"/>
      <c r="M2142"/>
      <c r="N2142"/>
      <c r="O2142"/>
      <c r="P2142"/>
    </row>
    <row r="2143" spans="8:16" s="1" customFormat="1">
      <c r="H2143" s="185"/>
      <c r="I2143" s="185"/>
      <c r="J2143" s="185"/>
      <c r="K2143"/>
      <c r="L2143"/>
      <c r="M2143"/>
      <c r="N2143"/>
      <c r="O2143"/>
      <c r="P2143"/>
    </row>
    <row r="2144" spans="8:16" s="1" customFormat="1">
      <c r="H2144" s="185"/>
      <c r="I2144" s="185"/>
      <c r="J2144" s="185"/>
      <c r="K2144"/>
      <c r="L2144"/>
      <c r="M2144"/>
      <c r="N2144"/>
      <c r="O2144"/>
      <c r="P2144"/>
    </row>
    <row r="2145" spans="8:16" s="1" customFormat="1">
      <c r="H2145" s="185"/>
      <c r="I2145" s="185"/>
      <c r="J2145" s="185"/>
      <c r="K2145"/>
      <c r="L2145"/>
      <c r="M2145"/>
      <c r="N2145"/>
      <c r="O2145"/>
      <c r="P2145"/>
    </row>
    <row r="2146" spans="8:16" s="1" customFormat="1">
      <c r="H2146" s="185"/>
      <c r="I2146" s="185"/>
      <c r="J2146" s="185"/>
      <c r="K2146"/>
      <c r="L2146"/>
      <c r="M2146"/>
      <c r="N2146"/>
      <c r="O2146"/>
      <c r="P2146"/>
    </row>
    <row r="2147" spans="8:16" s="1" customFormat="1">
      <c r="H2147" s="185"/>
      <c r="I2147" s="185"/>
      <c r="J2147" s="185"/>
      <c r="K2147"/>
      <c r="L2147"/>
      <c r="M2147"/>
      <c r="N2147"/>
      <c r="O2147"/>
      <c r="P2147"/>
    </row>
    <row r="2148" spans="8:16" s="1" customFormat="1">
      <c r="H2148" s="185"/>
      <c r="I2148" s="185"/>
      <c r="J2148" s="185"/>
      <c r="K2148"/>
      <c r="L2148"/>
      <c r="M2148"/>
      <c r="N2148"/>
      <c r="O2148"/>
      <c r="P2148"/>
    </row>
    <row r="2149" spans="8:16" s="1" customFormat="1">
      <c r="H2149" s="185"/>
      <c r="I2149" s="185"/>
      <c r="J2149" s="185"/>
      <c r="K2149"/>
      <c r="L2149"/>
      <c r="M2149"/>
      <c r="N2149"/>
      <c r="O2149"/>
      <c r="P2149"/>
    </row>
    <row r="2150" spans="8:16" s="1" customFormat="1">
      <c r="H2150" s="185"/>
      <c r="I2150" s="185"/>
      <c r="J2150" s="185"/>
      <c r="K2150"/>
      <c r="L2150"/>
      <c r="M2150"/>
      <c r="N2150"/>
      <c r="O2150"/>
      <c r="P2150"/>
    </row>
    <row r="2151" spans="8:16" s="1" customFormat="1">
      <c r="H2151" s="185"/>
      <c r="I2151" s="185"/>
      <c r="J2151" s="185"/>
      <c r="K2151"/>
      <c r="L2151"/>
      <c r="M2151"/>
      <c r="N2151"/>
      <c r="O2151"/>
      <c r="P2151"/>
    </row>
    <row r="2152" spans="8:16" s="1" customFormat="1">
      <c r="H2152" s="185"/>
      <c r="I2152" s="185"/>
      <c r="J2152" s="185"/>
      <c r="K2152"/>
      <c r="L2152"/>
      <c r="M2152"/>
      <c r="N2152"/>
      <c r="O2152"/>
      <c r="P2152"/>
    </row>
    <row r="2153" spans="8:16" s="1" customFormat="1">
      <c r="H2153" s="185"/>
      <c r="I2153" s="185"/>
      <c r="J2153" s="185"/>
      <c r="K2153"/>
      <c r="L2153"/>
      <c r="M2153"/>
      <c r="N2153"/>
      <c r="O2153"/>
      <c r="P2153"/>
    </row>
    <row r="2154" spans="8:16" s="1" customFormat="1">
      <c r="H2154" s="185"/>
      <c r="I2154" s="185"/>
      <c r="J2154" s="185"/>
      <c r="K2154"/>
      <c r="L2154"/>
      <c r="M2154"/>
      <c r="N2154"/>
      <c r="O2154"/>
      <c r="P2154"/>
    </row>
    <row r="2155" spans="8:16" s="1" customFormat="1">
      <c r="H2155" s="185"/>
      <c r="I2155" s="185"/>
      <c r="J2155" s="185"/>
      <c r="K2155"/>
      <c r="L2155"/>
      <c r="M2155"/>
      <c r="N2155"/>
      <c r="O2155"/>
      <c r="P2155"/>
    </row>
    <row r="2156" spans="8:16" s="1" customFormat="1">
      <c r="H2156" s="185"/>
      <c r="I2156" s="185"/>
      <c r="J2156" s="185"/>
      <c r="K2156"/>
      <c r="L2156"/>
      <c r="M2156"/>
      <c r="N2156"/>
      <c r="O2156"/>
      <c r="P2156"/>
    </row>
    <row r="2157" spans="8:16" s="1" customFormat="1">
      <c r="H2157" s="185"/>
      <c r="I2157" s="185"/>
      <c r="J2157" s="185"/>
      <c r="K2157"/>
      <c r="L2157"/>
      <c r="M2157"/>
      <c r="N2157"/>
      <c r="O2157"/>
      <c r="P2157"/>
    </row>
    <row r="2158" spans="8:16" s="1" customFormat="1">
      <c r="H2158" s="185"/>
      <c r="I2158" s="185"/>
      <c r="J2158" s="185"/>
      <c r="K2158"/>
      <c r="L2158"/>
      <c r="M2158"/>
      <c r="N2158"/>
      <c r="O2158"/>
      <c r="P2158"/>
    </row>
    <row r="2159" spans="8:16" s="1" customFormat="1">
      <c r="H2159" s="185"/>
      <c r="I2159" s="185"/>
      <c r="J2159" s="185"/>
      <c r="K2159"/>
      <c r="L2159"/>
      <c r="M2159"/>
      <c r="N2159"/>
      <c r="O2159"/>
      <c r="P2159"/>
    </row>
    <row r="2160" spans="8:16" s="1" customFormat="1">
      <c r="H2160" s="185"/>
      <c r="I2160" s="185"/>
      <c r="J2160" s="185"/>
      <c r="K2160"/>
      <c r="L2160"/>
      <c r="M2160"/>
      <c r="N2160"/>
      <c r="O2160"/>
      <c r="P2160"/>
    </row>
    <row r="2161" spans="8:16" s="1" customFormat="1">
      <c r="H2161" s="185"/>
      <c r="I2161" s="185"/>
      <c r="J2161" s="185"/>
      <c r="K2161"/>
      <c r="L2161"/>
      <c r="M2161"/>
      <c r="N2161"/>
      <c r="O2161"/>
      <c r="P2161"/>
    </row>
    <row r="2162" spans="8:16" s="1" customFormat="1">
      <c r="H2162" s="185"/>
      <c r="I2162" s="185"/>
      <c r="J2162" s="185"/>
      <c r="K2162"/>
      <c r="L2162"/>
      <c r="M2162"/>
      <c r="N2162"/>
      <c r="O2162"/>
      <c r="P2162"/>
    </row>
    <row r="2163" spans="8:16" s="1" customFormat="1">
      <c r="H2163" s="185"/>
      <c r="I2163" s="185"/>
      <c r="J2163" s="185"/>
      <c r="K2163"/>
      <c r="L2163"/>
      <c r="M2163"/>
      <c r="N2163"/>
      <c r="O2163"/>
      <c r="P2163"/>
    </row>
    <row r="2164" spans="8:16" s="1" customFormat="1">
      <c r="H2164" s="185"/>
      <c r="I2164" s="185"/>
      <c r="J2164" s="185"/>
      <c r="K2164"/>
      <c r="L2164"/>
      <c r="M2164"/>
      <c r="N2164"/>
      <c r="O2164"/>
      <c r="P2164"/>
    </row>
    <row r="2165" spans="8:16" s="1" customFormat="1">
      <c r="H2165" s="185"/>
      <c r="I2165" s="185"/>
      <c r="J2165" s="185"/>
      <c r="K2165"/>
      <c r="L2165"/>
      <c r="M2165"/>
      <c r="N2165"/>
      <c r="O2165"/>
      <c r="P2165"/>
    </row>
    <row r="2166" spans="8:16" s="1" customFormat="1">
      <c r="H2166" s="185"/>
      <c r="I2166" s="185"/>
      <c r="J2166" s="185"/>
      <c r="K2166"/>
      <c r="L2166"/>
      <c r="M2166"/>
      <c r="N2166"/>
      <c r="O2166"/>
      <c r="P2166"/>
    </row>
    <row r="2167" spans="8:16" s="1" customFormat="1">
      <c r="H2167" s="185"/>
      <c r="I2167" s="185"/>
      <c r="J2167" s="185"/>
      <c r="K2167"/>
      <c r="L2167"/>
      <c r="M2167"/>
      <c r="N2167"/>
      <c r="O2167"/>
      <c r="P2167"/>
    </row>
    <row r="2168" spans="8:16" s="1" customFormat="1">
      <c r="H2168" s="185"/>
      <c r="I2168" s="185"/>
      <c r="J2168" s="185"/>
      <c r="K2168"/>
      <c r="L2168"/>
      <c r="M2168"/>
      <c r="N2168"/>
      <c r="O2168"/>
      <c r="P2168"/>
    </row>
    <row r="2169" spans="8:16" s="1" customFormat="1">
      <c r="H2169" s="185"/>
      <c r="I2169" s="185"/>
      <c r="J2169" s="185"/>
      <c r="K2169"/>
      <c r="L2169"/>
      <c r="M2169"/>
      <c r="N2169"/>
      <c r="O2169"/>
      <c r="P2169"/>
    </row>
    <row r="2170" spans="8:16" s="1" customFormat="1">
      <c r="H2170" s="185"/>
      <c r="I2170" s="185"/>
      <c r="J2170" s="185"/>
      <c r="K2170"/>
      <c r="L2170"/>
      <c r="M2170"/>
      <c r="N2170"/>
      <c r="O2170"/>
      <c r="P2170"/>
    </row>
    <row r="2171" spans="8:16" s="1" customFormat="1">
      <c r="H2171" s="185"/>
      <c r="I2171" s="185"/>
      <c r="J2171" s="185"/>
      <c r="K2171"/>
      <c r="L2171"/>
      <c r="M2171"/>
      <c r="N2171"/>
      <c r="O2171"/>
      <c r="P2171"/>
    </row>
    <row r="2172" spans="8:16" s="1" customFormat="1">
      <c r="H2172" s="185"/>
      <c r="I2172" s="185"/>
      <c r="J2172" s="185"/>
      <c r="K2172"/>
      <c r="L2172"/>
      <c r="M2172"/>
      <c r="N2172"/>
      <c r="O2172"/>
      <c r="P2172"/>
    </row>
    <row r="2173" spans="8:16" s="1" customFormat="1">
      <c r="H2173" s="185"/>
      <c r="I2173" s="185"/>
      <c r="J2173" s="185"/>
      <c r="K2173"/>
      <c r="L2173"/>
      <c r="M2173"/>
      <c r="N2173"/>
      <c r="O2173"/>
      <c r="P2173"/>
    </row>
    <row r="2174" spans="8:16" s="1" customFormat="1">
      <c r="H2174" s="185"/>
      <c r="I2174" s="185"/>
      <c r="J2174" s="185"/>
      <c r="K2174"/>
      <c r="L2174"/>
      <c r="M2174"/>
      <c r="N2174"/>
      <c r="O2174"/>
      <c r="P2174"/>
    </row>
    <row r="2175" spans="8:16" s="1" customFormat="1">
      <c r="H2175" s="185"/>
      <c r="I2175" s="185"/>
      <c r="J2175" s="185"/>
      <c r="K2175"/>
      <c r="L2175"/>
      <c r="M2175"/>
      <c r="N2175"/>
      <c r="O2175"/>
      <c r="P2175"/>
    </row>
    <row r="2176" spans="8:16" s="1" customFormat="1">
      <c r="H2176" s="185"/>
      <c r="I2176" s="185"/>
      <c r="J2176" s="185"/>
      <c r="K2176"/>
      <c r="L2176"/>
      <c r="M2176"/>
      <c r="N2176"/>
      <c r="O2176"/>
      <c r="P2176"/>
    </row>
    <row r="2177" spans="8:16" s="1" customFormat="1">
      <c r="H2177" s="185"/>
      <c r="I2177" s="185"/>
      <c r="J2177" s="185"/>
      <c r="K2177"/>
      <c r="L2177"/>
      <c r="M2177"/>
      <c r="N2177"/>
      <c r="O2177"/>
      <c r="P2177"/>
    </row>
    <row r="2178" spans="8:16" s="1" customFormat="1">
      <c r="H2178" s="185"/>
      <c r="I2178" s="185"/>
      <c r="J2178" s="185"/>
      <c r="K2178"/>
      <c r="L2178"/>
      <c r="M2178"/>
      <c r="N2178"/>
      <c r="O2178"/>
      <c r="P2178"/>
    </row>
    <row r="2179" spans="8:16" s="1" customFormat="1">
      <c r="H2179" s="185"/>
      <c r="I2179" s="185"/>
      <c r="J2179" s="185"/>
      <c r="K2179"/>
      <c r="L2179"/>
      <c r="M2179"/>
      <c r="N2179"/>
      <c r="O2179"/>
      <c r="P2179"/>
    </row>
    <row r="2180" spans="8:16" s="1" customFormat="1">
      <c r="H2180" s="185"/>
      <c r="I2180" s="185"/>
      <c r="J2180" s="185"/>
      <c r="K2180"/>
      <c r="L2180"/>
      <c r="M2180"/>
      <c r="N2180"/>
      <c r="O2180"/>
      <c r="P2180"/>
    </row>
    <row r="2181" spans="8:16" s="1" customFormat="1">
      <c r="H2181" s="185"/>
      <c r="I2181" s="185"/>
      <c r="J2181" s="185"/>
      <c r="K2181"/>
      <c r="L2181"/>
      <c r="M2181"/>
      <c r="N2181"/>
      <c r="O2181"/>
      <c r="P2181"/>
    </row>
    <row r="2182" spans="8:16" s="1" customFormat="1">
      <c r="H2182" s="185"/>
      <c r="I2182" s="185"/>
      <c r="J2182" s="185"/>
      <c r="K2182"/>
      <c r="L2182"/>
      <c r="M2182"/>
      <c r="N2182"/>
      <c r="O2182"/>
      <c r="P2182"/>
    </row>
    <row r="2183" spans="8:16" s="1" customFormat="1">
      <c r="H2183" s="185"/>
      <c r="I2183" s="185"/>
      <c r="J2183" s="185"/>
      <c r="K2183"/>
      <c r="L2183"/>
      <c r="M2183"/>
      <c r="N2183"/>
      <c r="O2183"/>
      <c r="P2183"/>
    </row>
    <row r="2184" spans="8:16" s="1" customFormat="1">
      <c r="H2184" s="185"/>
      <c r="I2184" s="185"/>
      <c r="J2184" s="185"/>
      <c r="K2184"/>
      <c r="L2184"/>
      <c r="M2184"/>
      <c r="N2184"/>
      <c r="O2184"/>
      <c r="P2184"/>
    </row>
    <row r="2185" spans="8:16" s="1" customFormat="1">
      <c r="H2185" s="185"/>
      <c r="I2185" s="185"/>
      <c r="J2185" s="185"/>
      <c r="K2185"/>
      <c r="L2185"/>
      <c r="M2185"/>
      <c r="N2185"/>
      <c r="O2185"/>
      <c r="P2185"/>
    </row>
    <row r="2186" spans="8:16" s="1" customFormat="1">
      <c r="H2186" s="185"/>
      <c r="I2186" s="185"/>
      <c r="J2186" s="185"/>
      <c r="K2186"/>
      <c r="L2186"/>
      <c r="M2186"/>
      <c r="N2186"/>
      <c r="O2186"/>
      <c r="P2186"/>
    </row>
    <row r="2187" spans="8:16" s="1" customFormat="1">
      <c r="H2187" s="185"/>
      <c r="I2187" s="185"/>
      <c r="J2187" s="185"/>
      <c r="K2187"/>
      <c r="L2187"/>
      <c r="M2187"/>
      <c r="N2187"/>
      <c r="O2187"/>
      <c r="P2187"/>
    </row>
    <row r="2188" spans="8:16" s="1" customFormat="1">
      <c r="H2188" s="185"/>
      <c r="I2188" s="185"/>
      <c r="J2188" s="185"/>
      <c r="K2188"/>
      <c r="L2188"/>
      <c r="M2188"/>
      <c r="N2188"/>
      <c r="O2188"/>
      <c r="P2188"/>
    </row>
    <row r="2189" spans="8:16" s="1" customFormat="1">
      <c r="H2189" s="185"/>
      <c r="I2189" s="185"/>
      <c r="J2189" s="185"/>
      <c r="K2189"/>
      <c r="L2189"/>
      <c r="M2189"/>
      <c r="N2189"/>
      <c r="O2189"/>
      <c r="P2189"/>
    </row>
    <row r="2190" spans="8:16" s="1" customFormat="1">
      <c r="H2190" s="185"/>
      <c r="I2190" s="185"/>
      <c r="J2190" s="185"/>
      <c r="K2190"/>
      <c r="L2190"/>
      <c r="M2190"/>
      <c r="N2190"/>
      <c r="O2190"/>
      <c r="P2190"/>
    </row>
    <row r="2191" spans="8:16" s="1" customFormat="1">
      <c r="H2191" s="185"/>
      <c r="I2191" s="185"/>
      <c r="J2191" s="185"/>
      <c r="K2191"/>
      <c r="L2191"/>
      <c r="M2191"/>
      <c r="N2191"/>
      <c r="O2191"/>
      <c r="P2191"/>
    </row>
    <row r="2192" spans="8:16" s="1" customFormat="1">
      <c r="H2192" s="185"/>
      <c r="I2192" s="185"/>
      <c r="J2192" s="185"/>
      <c r="K2192"/>
      <c r="L2192"/>
      <c r="M2192"/>
      <c r="N2192"/>
      <c r="O2192"/>
      <c r="P2192"/>
    </row>
    <row r="2193" spans="8:16" s="1" customFormat="1">
      <c r="H2193" s="185"/>
      <c r="I2193" s="185"/>
      <c r="J2193" s="185"/>
      <c r="K2193"/>
      <c r="L2193"/>
      <c r="M2193"/>
      <c r="N2193"/>
      <c r="O2193"/>
      <c r="P2193"/>
    </row>
    <row r="2194" spans="8:16" s="1" customFormat="1">
      <c r="H2194" s="185"/>
      <c r="I2194" s="185"/>
      <c r="J2194" s="185"/>
      <c r="K2194"/>
      <c r="L2194"/>
      <c r="M2194"/>
      <c r="N2194"/>
      <c r="O2194"/>
      <c r="P2194"/>
    </row>
    <row r="2195" spans="8:16" s="1" customFormat="1">
      <c r="H2195" s="185"/>
      <c r="I2195" s="185"/>
      <c r="J2195" s="185"/>
      <c r="K2195"/>
      <c r="L2195"/>
      <c r="M2195"/>
      <c r="N2195"/>
      <c r="O2195"/>
      <c r="P2195"/>
    </row>
    <row r="2196" spans="8:16" s="1" customFormat="1">
      <c r="H2196" s="185"/>
      <c r="I2196" s="185"/>
      <c r="J2196" s="185"/>
      <c r="K2196"/>
      <c r="L2196"/>
      <c r="M2196"/>
      <c r="N2196"/>
      <c r="O2196"/>
      <c r="P2196"/>
    </row>
    <row r="2197" spans="8:16" s="1" customFormat="1">
      <c r="H2197" s="185"/>
      <c r="I2197" s="185"/>
      <c r="J2197" s="185"/>
      <c r="K2197"/>
      <c r="L2197"/>
      <c r="M2197"/>
      <c r="N2197"/>
      <c r="O2197"/>
      <c r="P2197"/>
    </row>
    <row r="2198" spans="8:16" s="1" customFormat="1">
      <c r="H2198" s="185"/>
      <c r="I2198" s="185"/>
      <c r="J2198" s="185"/>
      <c r="K2198"/>
      <c r="L2198"/>
      <c r="M2198"/>
      <c r="N2198"/>
      <c r="O2198"/>
      <c r="P2198"/>
    </row>
    <row r="2199" spans="8:16" s="1" customFormat="1">
      <c r="H2199" s="185"/>
      <c r="I2199" s="185"/>
      <c r="J2199" s="185"/>
      <c r="K2199"/>
      <c r="L2199"/>
      <c r="M2199"/>
      <c r="N2199"/>
      <c r="O2199"/>
      <c r="P2199"/>
    </row>
    <row r="2200" spans="8:16" s="1" customFormat="1">
      <c r="H2200" s="185"/>
      <c r="I2200" s="185"/>
      <c r="J2200" s="185"/>
      <c r="K2200"/>
      <c r="L2200"/>
      <c r="M2200"/>
      <c r="N2200"/>
      <c r="O2200"/>
      <c r="P2200"/>
    </row>
    <row r="2201" spans="8:16" s="1" customFormat="1">
      <c r="H2201" s="185"/>
      <c r="I2201" s="185"/>
      <c r="J2201" s="185"/>
      <c r="K2201"/>
      <c r="L2201"/>
      <c r="M2201"/>
      <c r="N2201"/>
      <c r="O2201"/>
      <c r="P2201"/>
    </row>
    <row r="2202" spans="8:16" s="1" customFormat="1">
      <c r="H2202" s="185"/>
      <c r="I2202" s="185"/>
      <c r="J2202" s="185"/>
      <c r="K2202"/>
      <c r="L2202"/>
      <c r="M2202"/>
      <c r="N2202"/>
      <c r="O2202"/>
      <c r="P2202"/>
    </row>
    <row r="2203" spans="8:16" s="1" customFormat="1">
      <c r="H2203" s="185"/>
      <c r="I2203" s="185"/>
      <c r="J2203" s="185"/>
      <c r="K2203"/>
      <c r="L2203"/>
      <c r="M2203"/>
      <c r="N2203"/>
      <c r="O2203"/>
      <c r="P2203"/>
    </row>
    <row r="2204" spans="8:16" s="1" customFormat="1">
      <c r="H2204" s="185"/>
      <c r="I2204" s="185"/>
      <c r="J2204" s="185"/>
      <c r="K2204"/>
      <c r="L2204"/>
      <c r="M2204"/>
      <c r="N2204"/>
      <c r="O2204"/>
      <c r="P2204"/>
    </row>
    <row r="2205" spans="8:16" s="1" customFormat="1">
      <c r="H2205" s="185"/>
      <c r="I2205" s="185"/>
      <c r="J2205" s="185"/>
      <c r="K2205"/>
      <c r="L2205"/>
      <c r="M2205"/>
      <c r="N2205"/>
      <c r="O2205"/>
      <c r="P2205"/>
    </row>
    <row r="2206" spans="8:16" s="1" customFormat="1">
      <c r="H2206" s="185"/>
      <c r="I2206" s="185"/>
      <c r="J2206" s="185"/>
      <c r="K2206"/>
      <c r="L2206"/>
      <c r="M2206"/>
      <c r="N2206"/>
      <c r="O2206"/>
      <c r="P2206"/>
    </row>
    <row r="2207" spans="8:16" s="1" customFormat="1">
      <c r="H2207" s="185"/>
      <c r="I2207" s="185"/>
      <c r="J2207" s="185"/>
      <c r="K2207"/>
      <c r="L2207"/>
      <c r="M2207"/>
      <c r="N2207"/>
      <c r="O2207"/>
      <c r="P2207"/>
    </row>
    <row r="2208" spans="8:16" s="1" customFormat="1">
      <c r="H2208" s="185"/>
      <c r="I2208" s="185"/>
      <c r="J2208" s="185"/>
      <c r="K2208"/>
      <c r="L2208"/>
      <c r="M2208"/>
      <c r="N2208"/>
      <c r="O2208"/>
      <c r="P2208"/>
    </row>
    <row r="2209" spans="8:16" s="1" customFormat="1">
      <c r="H2209" s="185"/>
      <c r="I2209" s="185"/>
      <c r="J2209" s="185"/>
      <c r="K2209"/>
      <c r="L2209"/>
      <c r="M2209"/>
      <c r="N2209"/>
      <c r="O2209"/>
      <c r="P2209"/>
    </row>
    <row r="2210" spans="8:16" s="1" customFormat="1">
      <c r="H2210" s="185"/>
      <c r="I2210" s="185"/>
      <c r="J2210" s="185"/>
      <c r="K2210"/>
      <c r="L2210"/>
      <c r="M2210"/>
      <c r="N2210"/>
      <c r="O2210"/>
      <c r="P2210"/>
    </row>
    <row r="2211" spans="8:16" s="1" customFormat="1">
      <c r="H2211" s="185"/>
      <c r="I2211" s="185"/>
      <c r="J2211" s="185"/>
      <c r="K2211"/>
      <c r="L2211"/>
      <c r="M2211"/>
      <c r="N2211"/>
      <c r="O2211"/>
      <c r="P2211"/>
    </row>
    <row r="2212" spans="8:16" s="1" customFormat="1">
      <c r="H2212" s="185"/>
      <c r="I2212" s="185"/>
      <c r="J2212" s="185"/>
      <c r="K2212"/>
      <c r="L2212"/>
      <c r="M2212"/>
      <c r="N2212"/>
      <c r="O2212"/>
      <c r="P2212"/>
    </row>
    <row r="2213" spans="8:16" s="1" customFormat="1">
      <c r="H2213" s="185"/>
      <c r="I2213" s="185"/>
      <c r="J2213" s="185"/>
      <c r="K2213"/>
      <c r="L2213"/>
      <c r="M2213"/>
      <c r="N2213"/>
      <c r="O2213"/>
      <c r="P2213"/>
    </row>
    <row r="2214" spans="8:16" s="1" customFormat="1">
      <c r="H2214" s="185"/>
      <c r="I2214" s="185"/>
      <c r="J2214" s="185"/>
      <c r="K2214"/>
      <c r="L2214"/>
      <c r="M2214"/>
      <c r="N2214"/>
      <c r="O2214"/>
      <c r="P2214"/>
    </row>
    <row r="2215" spans="8:16" s="1" customFormat="1">
      <c r="H2215" s="185"/>
      <c r="I2215" s="185"/>
      <c r="J2215" s="185"/>
      <c r="K2215"/>
      <c r="L2215"/>
      <c r="M2215"/>
      <c r="N2215"/>
      <c r="O2215"/>
      <c r="P2215"/>
    </row>
    <row r="2216" spans="8:16" s="1" customFormat="1">
      <c r="H2216" s="185"/>
      <c r="I2216" s="185"/>
      <c r="J2216" s="185"/>
      <c r="K2216"/>
      <c r="L2216"/>
      <c r="M2216"/>
      <c r="N2216"/>
      <c r="O2216"/>
      <c r="P2216"/>
    </row>
    <row r="2217" spans="8:16" s="1" customFormat="1">
      <c r="H2217" s="185"/>
      <c r="I2217" s="185"/>
      <c r="J2217" s="185"/>
      <c r="K2217"/>
      <c r="L2217"/>
      <c r="M2217"/>
      <c r="N2217"/>
      <c r="O2217"/>
      <c r="P2217"/>
    </row>
    <row r="2218" spans="8:16" s="1" customFormat="1">
      <c r="H2218" s="185"/>
      <c r="I2218" s="185"/>
      <c r="J2218" s="185"/>
      <c r="K2218"/>
      <c r="L2218"/>
      <c r="M2218"/>
      <c r="N2218"/>
      <c r="O2218"/>
      <c r="P2218"/>
    </row>
    <row r="2219" spans="8:16" s="1" customFormat="1">
      <c r="H2219" s="185"/>
      <c r="I2219" s="185"/>
      <c r="J2219" s="185"/>
      <c r="K2219"/>
      <c r="L2219"/>
      <c r="M2219"/>
      <c r="N2219"/>
      <c r="O2219"/>
      <c r="P2219"/>
    </row>
    <row r="2220" spans="8:16" s="1" customFormat="1">
      <c r="H2220" s="185"/>
      <c r="I2220" s="185"/>
      <c r="J2220" s="185"/>
      <c r="K2220"/>
      <c r="L2220"/>
      <c r="M2220"/>
      <c r="N2220"/>
      <c r="O2220"/>
      <c r="P2220"/>
    </row>
    <row r="2221" spans="8:16" s="1" customFormat="1">
      <c r="H2221" s="185"/>
      <c r="I2221" s="185"/>
      <c r="J2221" s="185"/>
      <c r="K2221"/>
      <c r="L2221"/>
      <c r="M2221"/>
      <c r="N2221"/>
      <c r="O2221"/>
      <c r="P2221"/>
    </row>
    <row r="2222" spans="8:16" s="1" customFormat="1">
      <c r="H2222" s="185"/>
      <c r="I2222" s="185"/>
      <c r="J2222" s="185"/>
      <c r="K2222"/>
      <c r="L2222"/>
      <c r="M2222"/>
      <c r="N2222"/>
      <c r="O2222"/>
      <c r="P2222"/>
    </row>
    <row r="2223" spans="8:16" s="1" customFormat="1">
      <c r="H2223" s="185"/>
      <c r="I2223" s="185"/>
      <c r="J2223" s="185"/>
      <c r="K2223"/>
      <c r="L2223"/>
      <c r="M2223"/>
      <c r="N2223"/>
      <c r="O2223"/>
      <c r="P2223"/>
    </row>
    <row r="2224" spans="8:16" s="1" customFormat="1">
      <c r="H2224" s="185"/>
      <c r="I2224" s="185"/>
      <c r="J2224" s="185"/>
      <c r="K2224"/>
      <c r="L2224"/>
      <c r="M2224"/>
      <c r="N2224"/>
      <c r="O2224"/>
      <c r="P2224"/>
    </row>
    <row r="2225" spans="8:16" s="1" customFormat="1">
      <c r="H2225" s="185"/>
      <c r="I2225" s="185"/>
      <c r="J2225" s="185"/>
      <c r="K2225"/>
      <c r="L2225"/>
      <c r="M2225"/>
      <c r="N2225"/>
      <c r="O2225"/>
      <c r="P2225"/>
    </row>
    <row r="2226" spans="8:16" s="1" customFormat="1">
      <c r="H2226" s="185"/>
      <c r="I2226" s="185"/>
      <c r="J2226" s="185"/>
      <c r="K2226"/>
      <c r="L2226"/>
      <c r="M2226"/>
      <c r="N2226"/>
      <c r="O2226"/>
      <c r="P2226"/>
    </row>
    <row r="2227" spans="8:16" s="1" customFormat="1">
      <c r="H2227" s="185"/>
      <c r="I2227" s="185"/>
      <c r="J2227" s="185"/>
      <c r="K2227"/>
      <c r="L2227"/>
      <c r="M2227"/>
      <c r="N2227"/>
      <c r="O2227"/>
      <c r="P2227"/>
    </row>
    <row r="2228" spans="8:16" s="1" customFormat="1">
      <c r="H2228" s="185"/>
      <c r="I2228" s="185"/>
      <c r="J2228" s="185"/>
      <c r="K2228"/>
      <c r="L2228"/>
      <c r="M2228"/>
      <c r="N2228"/>
      <c r="O2228"/>
      <c r="P2228"/>
    </row>
    <row r="2229" spans="8:16" s="1" customFormat="1">
      <c r="H2229" s="185"/>
      <c r="I2229" s="185"/>
      <c r="J2229" s="185"/>
      <c r="K2229"/>
      <c r="L2229"/>
      <c r="M2229"/>
      <c r="N2229"/>
      <c r="O2229"/>
      <c r="P2229"/>
    </row>
    <row r="2230" spans="8:16" s="1" customFormat="1">
      <c r="H2230" s="185"/>
      <c r="I2230" s="185"/>
      <c r="J2230" s="185"/>
      <c r="K2230"/>
      <c r="L2230"/>
      <c r="M2230"/>
      <c r="N2230"/>
      <c r="O2230"/>
      <c r="P2230"/>
    </row>
    <row r="2231" spans="8:16" s="1" customFormat="1">
      <c r="H2231" s="185"/>
      <c r="I2231" s="185"/>
      <c r="J2231" s="185"/>
      <c r="K2231"/>
      <c r="L2231"/>
      <c r="M2231"/>
      <c r="N2231"/>
      <c r="O2231"/>
      <c r="P2231"/>
    </row>
    <row r="2232" spans="8:16" s="1" customFormat="1">
      <c r="H2232" s="185"/>
      <c r="I2232" s="185"/>
      <c r="J2232" s="185"/>
      <c r="K2232"/>
      <c r="L2232"/>
      <c r="M2232"/>
      <c r="N2232"/>
      <c r="O2232"/>
      <c r="P2232"/>
    </row>
    <row r="2233" spans="8:16" s="1" customFormat="1">
      <c r="H2233" s="185"/>
      <c r="I2233" s="185"/>
      <c r="J2233" s="185"/>
      <c r="K2233"/>
      <c r="L2233"/>
      <c r="M2233"/>
      <c r="N2233"/>
      <c r="O2233"/>
      <c r="P2233"/>
    </row>
    <row r="2234" spans="8:16" s="1" customFormat="1">
      <c r="H2234" s="185"/>
      <c r="I2234" s="185"/>
      <c r="J2234" s="185"/>
      <c r="K2234"/>
      <c r="L2234"/>
      <c r="M2234"/>
      <c r="N2234"/>
      <c r="O2234"/>
      <c r="P2234"/>
    </row>
    <row r="2235" spans="8:16" s="1" customFormat="1">
      <c r="H2235" s="185"/>
      <c r="I2235" s="185"/>
      <c r="J2235" s="185"/>
      <c r="K2235"/>
      <c r="L2235"/>
      <c r="M2235"/>
      <c r="N2235"/>
      <c r="O2235"/>
      <c r="P2235"/>
    </row>
    <row r="2236" spans="8:16" s="1" customFormat="1">
      <c r="H2236" s="185"/>
      <c r="I2236" s="185"/>
      <c r="J2236" s="185"/>
      <c r="K2236"/>
      <c r="L2236"/>
      <c r="M2236"/>
      <c r="N2236"/>
      <c r="O2236"/>
      <c r="P2236"/>
    </row>
    <row r="2237" spans="8:16" s="1" customFormat="1">
      <c r="H2237" s="185"/>
      <c r="I2237" s="185"/>
      <c r="J2237" s="185"/>
      <c r="K2237"/>
      <c r="L2237"/>
      <c r="M2237"/>
      <c r="N2237"/>
      <c r="O2237"/>
      <c r="P2237"/>
    </row>
    <row r="2238" spans="8:16" s="1" customFormat="1">
      <c r="H2238" s="185"/>
      <c r="I2238" s="185"/>
      <c r="J2238" s="185"/>
      <c r="K2238"/>
      <c r="L2238"/>
      <c r="M2238"/>
      <c r="N2238"/>
      <c r="O2238"/>
      <c r="P2238"/>
    </row>
    <row r="2239" spans="8:16" s="1" customFormat="1">
      <c r="H2239" s="185"/>
      <c r="I2239" s="185"/>
      <c r="J2239" s="185"/>
      <c r="K2239"/>
      <c r="L2239"/>
      <c r="M2239"/>
      <c r="N2239"/>
      <c r="O2239"/>
      <c r="P2239"/>
    </row>
    <row r="2240" spans="8:16" s="1" customFormat="1">
      <c r="H2240" s="185"/>
      <c r="I2240" s="185"/>
      <c r="J2240" s="185"/>
      <c r="K2240"/>
      <c r="L2240"/>
      <c r="M2240"/>
      <c r="N2240"/>
      <c r="O2240"/>
      <c r="P2240"/>
    </row>
    <row r="2241" spans="8:16" s="1" customFormat="1">
      <c r="H2241" s="185"/>
      <c r="I2241" s="185"/>
      <c r="J2241" s="185"/>
      <c r="K2241"/>
      <c r="L2241"/>
      <c r="M2241"/>
      <c r="N2241"/>
      <c r="O2241"/>
      <c r="P2241"/>
    </row>
    <row r="2242" spans="8:16" s="1" customFormat="1">
      <c r="H2242" s="185"/>
      <c r="I2242" s="185"/>
      <c r="J2242" s="185"/>
      <c r="K2242"/>
      <c r="L2242"/>
      <c r="M2242"/>
      <c r="N2242"/>
      <c r="O2242"/>
      <c r="P2242"/>
    </row>
    <row r="2243" spans="8:16" s="1" customFormat="1">
      <c r="H2243" s="185"/>
      <c r="I2243" s="185"/>
      <c r="J2243" s="185"/>
      <c r="K2243"/>
      <c r="L2243"/>
      <c r="M2243"/>
      <c r="N2243"/>
      <c r="O2243"/>
      <c r="P2243"/>
    </row>
    <row r="2244" spans="8:16" s="1" customFormat="1">
      <c r="H2244" s="185"/>
      <c r="I2244" s="185"/>
      <c r="J2244" s="185"/>
      <c r="K2244"/>
      <c r="L2244"/>
      <c r="M2244"/>
      <c r="N2244"/>
      <c r="O2244"/>
      <c r="P2244"/>
    </row>
    <row r="2245" spans="8:16" s="1" customFormat="1">
      <c r="H2245" s="185"/>
      <c r="I2245" s="185"/>
      <c r="J2245" s="185"/>
      <c r="K2245"/>
      <c r="L2245"/>
      <c r="M2245"/>
      <c r="N2245"/>
      <c r="O2245"/>
      <c r="P2245"/>
    </row>
    <row r="2246" spans="8:16" s="1" customFormat="1">
      <c r="H2246" s="185"/>
      <c r="I2246" s="185"/>
      <c r="J2246" s="185"/>
      <c r="K2246"/>
      <c r="L2246"/>
      <c r="M2246"/>
      <c r="N2246"/>
      <c r="O2246"/>
      <c r="P2246"/>
    </row>
    <row r="2247" spans="8:16" s="1" customFormat="1">
      <c r="H2247" s="185"/>
      <c r="I2247" s="185"/>
      <c r="J2247" s="185"/>
      <c r="K2247"/>
      <c r="L2247"/>
      <c r="M2247"/>
      <c r="N2247"/>
      <c r="O2247"/>
      <c r="P2247"/>
    </row>
    <row r="2248" spans="8:16" s="1" customFormat="1">
      <c r="H2248" s="185"/>
      <c r="I2248" s="185"/>
      <c r="J2248" s="185"/>
      <c r="K2248"/>
      <c r="L2248"/>
      <c r="M2248"/>
      <c r="N2248"/>
      <c r="O2248"/>
      <c r="P2248"/>
    </row>
    <row r="2249" spans="8:16" s="1" customFormat="1">
      <c r="H2249" s="185"/>
      <c r="I2249" s="185"/>
      <c r="J2249" s="185"/>
      <c r="K2249"/>
      <c r="L2249"/>
      <c r="M2249"/>
      <c r="N2249"/>
      <c r="O2249"/>
      <c r="P2249"/>
    </row>
    <row r="2250" spans="8:16" s="1" customFormat="1">
      <c r="H2250" s="185"/>
      <c r="I2250" s="185"/>
      <c r="J2250" s="185"/>
      <c r="K2250"/>
      <c r="L2250"/>
      <c r="M2250"/>
      <c r="N2250"/>
      <c r="O2250"/>
      <c r="P2250"/>
    </row>
    <row r="2251" spans="8:16" s="1" customFormat="1">
      <c r="H2251" s="185"/>
      <c r="I2251" s="185"/>
      <c r="J2251" s="185"/>
      <c r="K2251"/>
      <c r="L2251"/>
      <c r="M2251"/>
      <c r="N2251"/>
      <c r="O2251"/>
      <c r="P2251"/>
    </row>
    <row r="2252" spans="8:16" s="1" customFormat="1">
      <c r="H2252" s="185"/>
      <c r="I2252" s="185"/>
      <c r="J2252" s="185"/>
      <c r="K2252"/>
      <c r="L2252"/>
      <c r="M2252"/>
      <c r="N2252"/>
      <c r="O2252"/>
      <c r="P2252"/>
    </row>
    <row r="2253" spans="8:16" s="1" customFormat="1">
      <c r="H2253" s="185"/>
      <c r="I2253" s="185"/>
      <c r="J2253" s="185"/>
      <c r="K2253"/>
      <c r="L2253"/>
      <c r="M2253"/>
      <c r="N2253"/>
      <c r="O2253"/>
      <c r="P2253"/>
    </row>
    <row r="2254" spans="8:16" s="1" customFormat="1">
      <c r="H2254" s="185"/>
      <c r="I2254" s="185"/>
      <c r="J2254" s="185"/>
      <c r="K2254"/>
      <c r="L2254"/>
      <c r="M2254"/>
      <c r="N2254"/>
      <c r="O2254"/>
      <c r="P2254"/>
    </row>
    <row r="2255" spans="8:16" s="1" customFormat="1">
      <c r="H2255" s="185"/>
      <c r="I2255" s="185"/>
      <c r="J2255" s="185"/>
      <c r="K2255"/>
      <c r="L2255"/>
      <c r="M2255"/>
      <c r="N2255"/>
      <c r="O2255"/>
      <c r="P2255"/>
    </row>
    <row r="2256" spans="8:16" s="1" customFormat="1">
      <c r="H2256" s="185"/>
      <c r="I2256" s="185"/>
      <c r="J2256" s="185"/>
      <c r="K2256"/>
      <c r="L2256"/>
      <c r="M2256"/>
      <c r="N2256"/>
      <c r="O2256"/>
      <c r="P2256"/>
    </row>
    <row r="2257" spans="8:16" s="1" customFormat="1">
      <c r="H2257" s="185"/>
      <c r="I2257" s="185"/>
      <c r="J2257" s="185"/>
      <c r="K2257"/>
      <c r="L2257"/>
      <c r="M2257"/>
      <c r="N2257"/>
      <c r="O2257"/>
      <c r="P2257"/>
    </row>
    <row r="2258" spans="8:16" s="1" customFormat="1">
      <c r="H2258" s="185"/>
      <c r="I2258" s="185"/>
      <c r="J2258" s="185"/>
      <c r="K2258"/>
      <c r="L2258"/>
      <c r="M2258"/>
      <c r="N2258"/>
      <c r="O2258"/>
      <c r="P2258"/>
    </row>
    <row r="2259" spans="8:16" s="1" customFormat="1">
      <c r="H2259" s="185"/>
      <c r="I2259" s="185"/>
      <c r="J2259" s="185"/>
      <c r="K2259"/>
      <c r="L2259"/>
      <c r="M2259"/>
      <c r="N2259"/>
      <c r="O2259"/>
      <c r="P2259"/>
    </row>
    <row r="2260" spans="8:16" s="1" customFormat="1">
      <c r="H2260" s="185"/>
      <c r="I2260" s="185"/>
      <c r="J2260" s="185"/>
      <c r="K2260"/>
      <c r="L2260"/>
      <c r="M2260"/>
      <c r="N2260"/>
      <c r="O2260"/>
      <c r="P2260"/>
    </row>
    <row r="2261" spans="8:16" s="1" customFormat="1">
      <c r="H2261" s="185"/>
      <c r="I2261" s="185"/>
      <c r="J2261" s="185"/>
      <c r="K2261"/>
      <c r="L2261"/>
      <c r="M2261"/>
      <c r="N2261"/>
      <c r="O2261"/>
      <c r="P2261"/>
    </row>
    <row r="2262" spans="8:16" s="1" customFormat="1">
      <c r="H2262" s="185"/>
      <c r="I2262" s="185"/>
      <c r="J2262" s="185"/>
      <c r="K2262"/>
      <c r="L2262"/>
      <c r="M2262"/>
      <c r="N2262"/>
      <c r="O2262"/>
      <c r="P2262"/>
    </row>
    <row r="2263" spans="8:16" s="1" customFormat="1">
      <c r="H2263" s="185"/>
      <c r="I2263" s="185"/>
      <c r="J2263" s="185"/>
      <c r="K2263"/>
      <c r="L2263"/>
      <c r="M2263"/>
      <c r="N2263"/>
      <c r="O2263"/>
      <c r="P2263"/>
    </row>
    <row r="2264" spans="8:16" s="1" customFormat="1">
      <c r="H2264" s="185"/>
      <c r="I2264" s="185"/>
      <c r="J2264" s="185"/>
      <c r="K2264"/>
      <c r="L2264"/>
      <c r="M2264"/>
      <c r="N2264"/>
      <c r="O2264"/>
      <c r="P2264"/>
    </row>
    <row r="2265" spans="8:16" s="1" customFormat="1">
      <c r="H2265" s="185"/>
      <c r="I2265" s="185"/>
      <c r="J2265" s="185"/>
      <c r="K2265"/>
      <c r="L2265"/>
      <c r="M2265"/>
      <c r="N2265"/>
      <c r="O2265"/>
      <c r="P2265"/>
    </row>
    <row r="2266" spans="8:16" s="1" customFormat="1">
      <c r="H2266" s="185"/>
      <c r="I2266" s="185"/>
      <c r="J2266" s="185"/>
      <c r="K2266"/>
      <c r="L2266"/>
      <c r="M2266"/>
      <c r="N2266"/>
      <c r="O2266"/>
      <c r="P2266"/>
    </row>
    <row r="2267" spans="8:16" s="1" customFormat="1">
      <c r="H2267" s="185"/>
      <c r="I2267" s="185"/>
      <c r="J2267" s="185"/>
      <c r="K2267"/>
      <c r="L2267"/>
      <c r="M2267"/>
      <c r="N2267"/>
      <c r="O2267"/>
      <c r="P2267"/>
    </row>
    <row r="2268" spans="8:16" s="1" customFormat="1">
      <c r="H2268" s="185"/>
      <c r="I2268" s="185"/>
      <c r="J2268" s="185"/>
      <c r="K2268"/>
      <c r="L2268"/>
      <c r="M2268"/>
      <c r="N2268"/>
      <c r="O2268"/>
      <c r="P2268"/>
    </row>
    <row r="2269" spans="8:16" s="1" customFormat="1">
      <c r="H2269" s="185"/>
      <c r="I2269" s="185"/>
      <c r="J2269" s="185"/>
      <c r="K2269"/>
      <c r="L2269"/>
      <c r="M2269"/>
      <c r="N2269"/>
      <c r="O2269"/>
      <c r="P2269"/>
    </row>
    <row r="2270" spans="8:16" s="1" customFormat="1">
      <c r="H2270" s="185"/>
      <c r="I2270" s="185"/>
      <c r="J2270" s="185"/>
      <c r="K2270"/>
      <c r="L2270"/>
      <c r="M2270"/>
      <c r="N2270"/>
      <c r="O2270"/>
      <c r="P2270"/>
    </row>
    <row r="2271" spans="8:16" s="1" customFormat="1">
      <c r="H2271" s="185"/>
      <c r="I2271" s="185"/>
      <c r="J2271" s="185"/>
      <c r="K2271"/>
      <c r="L2271"/>
      <c r="M2271"/>
      <c r="N2271"/>
      <c r="O2271"/>
      <c r="P2271"/>
    </row>
    <row r="2272" spans="8:16" s="1" customFormat="1">
      <c r="H2272" s="185"/>
      <c r="I2272" s="185"/>
      <c r="J2272" s="185"/>
      <c r="K2272"/>
      <c r="L2272"/>
      <c r="M2272"/>
      <c r="N2272"/>
      <c r="O2272"/>
      <c r="P2272"/>
    </row>
    <row r="2273" spans="8:16" s="1" customFormat="1">
      <c r="H2273" s="185"/>
      <c r="I2273" s="185"/>
      <c r="J2273" s="185"/>
      <c r="K2273"/>
      <c r="L2273"/>
      <c r="M2273"/>
      <c r="N2273"/>
      <c r="O2273"/>
      <c r="P2273"/>
    </row>
    <row r="2274" spans="8:16" s="1" customFormat="1">
      <c r="H2274" s="185"/>
      <c r="I2274" s="185"/>
      <c r="J2274" s="185"/>
      <c r="K2274"/>
      <c r="L2274"/>
      <c r="M2274"/>
      <c r="N2274"/>
      <c r="O2274"/>
      <c r="P2274"/>
    </row>
    <row r="2275" spans="8:16" s="1" customFormat="1">
      <c r="H2275" s="185"/>
      <c r="I2275" s="185"/>
      <c r="J2275" s="185"/>
      <c r="K2275"/>
      <c r="L2275"/>
      <c r="M2275"/>
      <c r="N2275"/>
      <c r="O2275"/>
      <c r="P2275"/>
    </row>
    <row r="2276" spans="8:16" s="1" customFormat="1">
      <c r="H2276" s="185"/>
      <c r="I2276" s="185"/>
      <c r="J2276" s="185"/>
      <c r="K2276"/>
      <c r="L2276"/>
      <c r="M2276"/>
      <c r="N2276"/>
      <c r="O2276"/>
      <c r="P2276"/>
    </row>
    <row r="2277" spans="8:16" s="1" customFormat="1">
      <c r="H2277" s="185"/>
      <c r="I2277" s="185"/>
      <c r="J2277" s="185"/>
      <c r="K2277"/>
      <c r="L2277"/>
      <c r="M2277"/>
      <c r="N2277"/>
      <c r="O2277"/>
      <c r="P2277"/>
    </row>
    <row r="2278" spans="8:16" s="1" customFormat="1">
      <c r="H2278" s="185"/>
      <c r="I2278" s="185"/>
      <c r="J2278" s="185"/>
      <c r="K2278"/>
      <c r="L2278"/>
      <c r="M2278"/>
      <c r="N2278"/>
      <c r="O2278"/>
      <c r="P2278"/>
    </row>
    <row r="2279" spans="8:16" s="1" customFormat="1">
      <c r="H2279" s="185"/>
      <c r="I2279" s="185"/>
      <c r="J2279" s="185"/>
      <c r="K2279"/>
      <c r="L2279"/>
      <c r="M2279"/>
      <c r="N2279"/>
      <c r="O2279"/>
      <c r="P2279"/>
    </row>
    <row r="2280" spans="8:16" s="1" customFormat="1">
      <c r="H2280" s="185"/>
      <c r="I2280" s="185"/>
      <c r="J2280" s="185"/>
      <c r="K2280"/>
      <c r="L2280"/>
      <c r="M2280"/>
      <c r="N2280"/>
      <c r="O2280"/>
      <c r="P2280"/>
    </row>
    <row r="2281" spans="8:16" s="1" customFormat="1">
      <c r="H2281" s="185"/>
      <c r="I2281" s="185"/>
      <c r="J2281" s="185"/>
      <c r="K2281"/>
      <c r="L2281"/>
      <c r="M2281"/>
      <c r="N2281"/>
      <c r="O2281"/>
      <c r="P2281"/>
    </row>
    <row r="2282" spans="8:16" s="1" customFormat="1">
      <c r="H2282" s="185"/>
      <c r="I2282" s="185"/>
      <c r="J2282" s="185"/>
      <c r="K2282"/>
      <c r="L2282"/>
      <c r="M2282"/>
      <c r="N2282"/>
      <c r="O2282"/>
      <c r="P2282"/>
    </row>
    <row r="2283" spans="8:16" s="1" customFormat="1">
      <c r="H2283" s="185"/>
      <c r="I2283" s="185"/>
      <c r="J2283" s="185"/>
      <c r="K2283"/>
      <c r="L2283"/>
      <c r="M2283"/>
      <c r="N2283"/>
      <c r="O2283"/>
      <c r="P2283"/>
    </row>
    <row r="2284" spans="8:16" s="1" customFormat="1">
      <c r="H2284" s="185"/>
      <c r="I2284" s="185"/>
      <c r="J2284" s="185"/>
      <c r="K2284"/>
      <c r="L2284"/>
      <c r="M2284"/>
      <c r="N2284"/>
      <c r="O2284"/>
      <c r="P2284"/>
    </row>
    <row r="2285" spans="8:16" s="1" customFormat="1">
      <c r="H2285" s="185"/>
      <c r="I2285" s="185"/>
      <c r="J2285" s="185"/>
      <c r="K2285"/>
      <c r="L2285"/>
      <c r="M2285"/>
      <c r="N2285"/>
      <c r="O2285"/>
      <c r="P2285"/>
    </row>
    <row r="2286" spans="8:16" s="1" customFormat="1">
      <c r="H2286" s="185"/>
      <c r="I2286" s="185"/>
      <c r="J2286" s="185"/>
      <c r="K2286"/>
      <c r="L2286"/>
      <c r="M2286"/>
      <c r="N2286"/>
      <c r="O2286"/>
      <c r="P2286"/>
    </row>
    <row r="2287" spans="8:16" s="1" customFormat="1">
      <c r="H2287" s="185"/>
      <c r="I2287" s="185"/>
      <c r="J2287" s="185"/>
      <c r="K2287"/>
      <c r="L2287"/>
      <c r="M2287"/>
      <c r="N2287"/>
      <c r="O2287"/>
      <c r="P2287"/>
    </row>
    <row r="2288" spans="8:16" s="1" customFormat="1">
      <c r="H2288" s="185"/>
      <c r="I2288" s="185"/>
      <c r="J2288" s="185"/>
      <c r="K2288"/>
      <c r="L2288"/>
      <c r="M2288"/>
      <c r="N2288"/>
      <c r="O2288"/>
      <c r="P2288"/>
    </row>
    <row r="2289" spans="8:16" s="1" customFormat="1">
      <c r="H2289" s="185"/>
      <c r="I2289" s="185"/>
      <c r="J2289" s="185"/>
      <c r="K2289"/>
      <c r="L2289"/>
      <c r="M2289"/>
      <c r="N2289"/>
      <c r="O2289"/>
      <c r="P2289"/>
    </row>
    <row r="2290" spans="8:16" s="1" customFormat="1">
      <c r="H2290" s="185"/>
      <c r="I2290" s="185"/>
      <c r="J2290" s="185"/>
      <c r="K2290"/>
      <c r="L2290"/>
      <c r="M2290"/>
      <c r="N2290"/>
      <c r="O2290"/>
      <c r="P2290"/>
    </row>
    <row r="2291" spans="8:16" s="1" customFormat="1">
      <c r="H2291" s="185"/>
      <c r="I2291" s="185"/>
      <c r="J2291" s="185"/>
      <c r="K2291"/>
      <c r="L2291"/>
      <c r="M2291"/>
      <c r="N2291"/>
      <c r="O2291"/>
      <c r="P2291"/>
    </row>
    <row r="2292" spans="8:16" s="1" customFormat="1">
      <c r="H2292" s="185"/>
      <c r="I2292" s="185"/>
      <c r="J2292" s="185"/>
      <c r="K2292"/>
      <c r="L2292"/>
      <c r="M2292"/>
      <c r="N2292"/>
      <c r="O2292"/>
      <c r="P2292"/>
    </row>
    <row r="2293" spans="8:16" s="1" customFormat="1">
      <c r="H2293" s="185"/>
      <c r="I2293" s="185"/>
      <c r="J2293" s="185"/>
      <c r="K2293"/>
      <c r="L2293"/>
      <c r="M2293"/>
      <c r="N2293"/>
      <c r="O2293"/>
      <c r="P2293"/>
    </row>
    <row r="2294" spans="8:16" s="1" customFormat="1">
      <c r="H2294" s="185"/>
      <c r="I2294" s="185"/>
      <c r="J2294" s="185"/>
      <c r="K2294"/>
      <c r="L2294"/>
      <c r="M2294"/>
      <c r="N2294"/>
      <c r="O2294"/>
      <c r="P2294"/>
    </row>
    <row r="2295" spans="8:16" s="1" customFormat="1">
      <c r="H2295" s="185"/>
      <c r="I2295" s="185"/>
      <c r="J2295" s="185"/>
      <c r="K2295"/>
      <c r="L2295"/>
      <c r="M2295"/>
      <c r="N2295"/>
      <c r="O2295"/>
      <c r="P2295"/>
    </row>
    <row r="2296" spans="8:16" s="1" customFormat="1">
      <c r="H2296" s="185"/>
      <c r="I2296" s="185"/>
      <c r="J2296" s="185"/>
      <c r="K2296"/>
      <c r="L2296"/>
      <c r="M2296"/>
      <c r="N2296"/>
      <c r="O2296"/>
      <c r="P2296"/>
    </row>
    <row r="2297" spans="8:16" s="1" customFormat="1">
      <c r="H2297" s="185"/>
      <c r="I2297" s="185"/>
      <c r="J2297" s="185"/>
      <c r="K2297"/>
      <c r="L2297"/>
      <c r="M2297"/>
      <c r="N2297"/>
      <c r="O2297"/>
      <c r="P2297"/>
    </row>
    <row r="2298" spans="8:16" s="1" customFormat="1">
      <c r="H2298" s="185"/>
      <c r="I2298" s="185"/>
      <c r="J2298" s="185"/>
      <c r="K2298"/>
      <c r="L2298"/>
      <c r="M2298"/>
      <c r="N2298"/>
      <c r="O2298"/>
      <c r="P2298"/>
    </row>
    <row r="2299" spans="8:16" s="1" customFormat="1">
      <c r="H2299" s="185"/>
      <c r="I2299" s="185"/>
      <c r="J2299" s="185"/>
      <c r="K2299"/>
      <c r="L2299"/>
      <c r="M2299"/>
      <c r="N2299"/>
      <c r="O2299"/>
      <c r="P2299"/>
    </row>
    <row r="2300" spans="8:16" s="1" customFormat="1">
      <c r="H2300" s="185"/>
      <c r="I2300" s="185"/>
      <c r="J2300" s="185"/>
      <c r="K2300"/>
      <c r="L2300"/>
      <c r="M2300"/>
      <c r="N2300"/>
      <c r="O2300"/>
      <c r="P2300"/>
    </row>
    <row r="2301" spans="8:16" s="1" customFormat="1">
      <c r="H2301" s="185"/>
      <c r="I2301" s="185"/>
      <c r="J2301" s="185"/>
      <c r="K2301"/>
      <c r="L2301"/>
      <c r="M2301"/>
      <c r="N2301"/>
      <c r="O2301"/>
      <c r="P2301"/>
    </row>
    <row r="2302" spans="8:16" s="1" customFormat="1">
      <c r="H2302" s="185"/>
      <c r="I2302" s="185"/>
      <c r="J2302" s="185"/>
      <c r="K2302"/>
      <c r="L2302"/>
      <c r="M2302"/>
      <c r="N2302"/>
      <c r="O2302"/>
      <c r="P2302"/>
    </row>
    <row r="2303" spans="8:16" s="1" customFormat="1">
      <c r="H2303" s="185"/>
      <c r="I2303" s="185"/>
      <c r="J2303" s="185"/>
      <c r="K2303"/>
      <c r="L2303"/>
      <c r="M2303"/>
      <c r="N2303"/>
      <c r="O2303"/>
      <c r="P2303"/>
    </row>
    <row r="2304" spans="8:16" s="1" customFormat="1">
      <c r="H2304" s="185"/>
      <c r="I2304" s="185"/>
      <c r="J2304" s="185"/>
      <c r="K2304"/>
      <c r="L2304"/>
      <c r="M2304"/>
      <c r="N2304"/>
      <c r="O2304"/>
      <c r="P2304"/>
    </row>
    <row r="2305" spans="8:16" s="1" customFormat="1">
      <c r="H2305" s="185"/>
      <c r="I2305" s="185"/>
      <c r="J2305" s="185"/>
      <c r="K2305"/>
      <c r="L2305"/>
      <c r="M2305"/>
      <c r="N2305"/>
      <c r="O2305"/>
      <c r="P2305"/>
    </row>
    <row r="2306" spans="8:16" s="1" customFormat="1">
      <c r="H2306" s="185"/>
      <c r="I2306" s="185"/>
      <c r="J2306" s="185"/>
      <c r="K2306"/>
      <c r="L2306"/>
      <c r="M2306"/>
      <c r="N2306"/>
      <c r="O2306"/>
      <c r="P2306"/>
    </row>
    <row r="2307" spans="8:16" s="1" customFormat="1">
      <c r="H2307" s="185"/>
      <c r="I2307" s="185"/>
      <c r="J2307" s="185"/>
      <c r="K2307"/>
      <c r="L2307"/>
      <c r="M2307"/>
      <c r="N2307"/>
      <c r="O2307"/>
      <c r="P2307"/>
    </row>
    <row r="2308" spans="8:16" s="1" customFormat="1">
      <c r="H2308" s="185"/>
      <c r="I2308" s="185"/>
      <c r="J2308" s="185"/>
      <c r="K2308"/>
      <c r="L2308"/>
      <c r="M2308"/>
      <c r="N2308"/>
      <c r="O2308"/>
      <c r="P2308"/>
    </row>
    <row r="2309" spans="8:16" s="1" customFormat="1">
      <c r="H2309" s="185"/>
      <c r="I2309" s="185"/>
      <c r="J2309" s="185"/>
      <c r="K2309"/>
      <c r="L2309"/>
      <c r="M2309"/>
      <c r="N2309"/>
      <c r="O2309"/>
      <c r="P2309"/>
    </row>
    <row r="2310" spans="8:16" s="1" customFormat="1">
      <c r="H2310" s="185"/>
      <c r="I2310" s="185"/>
      <c r="J2310" s="185"/>
      <c r="K2310"/>
      <c r="L2310"/>
      <c r="M2310"/>
      <c r="N2310"/>
      <c r="O2310"/>
      <c r="P2310"/>
    </row>
    <row r="2311" spans="8:16" s="1" customFormat="1">
      <c r="H2311" s="185"/>
      <c r="I2311" s="185"/>
      <c r="J2311" s="185"/>
      <c r="K2311"/>
      <c r="L2311"/>
      <c r="M2311"/>
      <c r="N2311"/>
      <c r="O2311"/>
      <c r="P2311"/>
    </row>
    <row r="2312" spans="8:16" s="1" customFormat="1">
      <c r="H2312" s="185"/>
      <c r="I2312" s="185"/>
      <c r="J2312" s="185"/>
      <c r="K2312"/>
      <c r="L2312"/>
      <c r="M2312"/>
      <c r="N2312"/>
      <c r="O2312"/>
      <c r="P2312"/>
    </row>
    <row r="2313" spans="8:16" s="1" customFormat="1">
      <c r="H2313" s="185"/>
      <c r="I2313" s="185"/>
      <c r="J2313" s="185"/>
      <c r="K2313"/>
      <c r="L2313"/>
      <c r="M2313"/>
      <c r="N2313"/>
      <c r="O2313"/>
      <c r="P2313"/>
    </row>
    <row r="2314" spans="8:16" s="1" customFormat="1">
      <c r="H2314" s="185"/>
      <c r="I2314" s="185"/>
      <c r="J2314" s="185"/>
      <c r="K2314"/>
      <c r="L2314"/>
      <c r="M2314"/>
      <c r="N2314"/>
      <c r="O2314"/>
      <c r="P2314"/>
    </row>
    <row r="2315" spans="8:16" s="1" customFormat="1">
      <c r="H2315" s="185"/>
      <c r="I2315" s="185"/>
      <c r="J2315" s="185"/>
      <c r="K2315"/>
      <c r="L2315"/>
      <c r="M2315"/>
      <c r="N2315"/>
      <c r="O2315"/>
      <c r="P2315"/>
    </row>
    <row r="2316" spans="8:16" s="1" customFormat="1">
      <c r="H2316" s="185"/>
      <c r="I2316" s="185"/>
      <c r="J2316" s="185"/>
      <c r="K2316"/>
      <c r="L2316"/>
      <c r="M2316"/>
      <c r="N2316"/>
      <c r="O2316"/>
      <c r="P2316"/>
    </row>
    <row r="2317" spans="8:16" s="1" customFormat="1">
      <c r="H2317" s="185"/>
      <c r="I2317" s="185"/>
      <c r="J2317" s="185"/>
      <c r="K2317"/>
      <c r="L2317"/>
      <c r="M2317"/>
      <c r="N2317"/>
      <c r="O2317"/>
      <c r="P2317"/>
    </row>
    <row r="2318" spans="8:16" s="1" customFormat="1">
      <c r="H2318" s="185"/>
      <c r="I2318" s="185"/>
      <c r="J2318" s="185"/>
      <c r="K2318"/>
      <c r="L2318"/>
      <c r="M2318"/>
      <c r="N2318"/>
      <c r="O2318"/>
      <c r="P2318"/>
    </row>
    <row r="2319" spans="8:16" s="1" customFormat="1">
      <c r="H2319" s="185"/>
      <c r="I2319" s="185"/>
      <c r="J2319" s="185"/>
      <c r="K2319"/>
      <c r="L2319"/>
      <c r="M2319"/>
      <c r="N2319"/>
      <c r="O2319"/>
      <c r="P2319"/>
    </row>
    <row r="2320" spans="8:16" s="1" customFormat="1">
      <c r="H2320" s="185"/>
      <c r="I2320" s="185"/>
      <c r="J2320" s="185"/>
      <c r="K2320"/>
      <c r="L2320"/>
      <c r="M2320"/>
      <c r="N2320"/>
      <c r="O2320"/>
      <c r="P2320"/>
    </row>
    <row r="2321" spans="8:16" s="1" customFormat="1">
      <c r="H2321" s="185"/>
      <c r="I2321" s="185"/>
      <c r="J2321" s="185"/>
      <c r="K2321"/>
      <c r="L2321"/>
      <c r="M2321"/>
      <c r="N2321"/>
      <c r="O2321"/>
      <c r="P2321"/>
    </row>
    <row r="2322" spans="8:16" s="1" customFormat="1">
      <c r="H2322" s="185"/>
      <c r="I2322" s="185"/>
      <c r="J2322" s="185"/>
      <c r="K2322"/>
      <c r="L2322"/>
      <c r="M2322"/>
      <c r="N2322"/>
      <c r="O2322"/>
      <c r="P2322"/>
    </row>
    <row r="2323" spans="8:16" s="1" customFormat="1">
      <c r="H2323" s="185"/>
      <c r="I2323" s="185"/>
      <c r="J2323" s="185"/>
      <c r="K2323"/>
      <c r="L2323"/>
      <c r="M2323"/>
      <c r="N2323"/>
      <c r="O2323"/>
      <c r="P2323"/>
    </row>
    <row r="2324" spans="8:16" s="1" customFormat="1">
      <c r="H2324" s="185"/>
      <c r="I2324" s="185"/>
      <c r="J2324" s="185"/>
      <c r="K2324"/>
      <c r="L2324"/>
      <c r="M2324"/>
      <c r="N2324"/>
      <c r="O2324"/>
      <c r="P2324"/>
    </row>
    <row r="2325" spans="8:16" s="1" customFormat="1">
      <c r="H2325" s="185"/>
      <c r="I2325" s="185"/>
      <c r="J2325" s="185"/>
      <c r="K2325"/>
      <c r="L2325"/>
      <c r="M2325"/>
      <c r="N2325"/>
      <c r="O2325"/>
      <c r="P2325"/>
    </row>
    <row r="2326" spans="8:16" s="1" customFormat="1">
      <c r="H2326" s="185"/>
      <c r="I2326" s="185"/>
      <c r="J2326" s="185"/>
      <c r="K2326"/>
      <c r="L2326"/>
      <c r="M2326"/>
      <c r="N2326"/>
      <c r="O2326"/>
      <c r="P2326"/>
    </row>
    <row r="2327" spans="8:16" s="1" customFormat="1">
      <c r="H2327" s="185"/>
      <c r="I2327" s="185"/>
      <c r="J2327" s="185"/>
      <c r="K2327"/>
      <c r="L2327"/>
      <c r="M2327"/>
      <c r="N2327"/>
      <c r="O2327"/>
      <c r="P2327"/>
    </row>
    <row r="2328" spans="8:16" s="1" customFormat="1">
      <c r="H2328" s="185"/>
      <c r="I2328" s="185"/>
      <c r="J2328" s="185"/>
      <c r="K2328"/>
      <c r="L2328"/>
      <c r="M2328"/>
      <c r="N2328"/>
      <c r="O2328"/>
      <c r="P2328"/>
    </row>
    <row r="2329" spans="8:16" s="1" customFormat="1">
      <c r="H2329" s="185"/>
      <c r="I2329" s="185"/>
      <c r="J2329" s="185"/>
      <c r="K2329"/>
      <c r="L2329"/>
      <c r="M2329"/>
      <c r="N2329"/>
      <c r="O2329"/>
      <c r="P2329"/>
    </row>
    <row r="2330" spans="8:16" s="1" customFormat="1">
      <c r="H2330" s="185"/>
      <c r="I2330" s="185"/>
      <c r="J2330" s="185"/>
      <c r="K2330"/>
      <c r="L2330"/>
      <c r="M2330"/>
      <c r="N2330"/>
      <c r="O2330"/>
      <c r="P2330"/>
    </row>
    <row r="2331" spans="8:16" s="1" customFormat="1">
      <c r="H2331" s="185"/>
      <c r="I2331" s="185"/>
      <c r="J2331" s="185"/>
      <c r="K2331"/>
      <c r="L2331"/>
      <c r="M2331"/>
      <c r="N2331"/>
      <c r="O2331"/>
      <c r="P2331"/>
    </row>
    <row r="2332" spans="8:16" s="1" customFormat="1">
      <c r="H2332" s="185"/>
      <c r="I2332" s="185"/>
      <c r="J2332" s="185"/>
      <c r="K2332"/>
      <c r="L2332"/>
      <c r="M2332"/>
      <c r="N2332"/>
      <c r="O2332"/>
      <c r="P2332"/>
    </row>
    <row r="2333" spans="8:16" s="1" customFormat="1">
      <c r="H2333" s="185"/>
      <c r="I2333" s="185"/>
      <c r="J2333" s="185"/>
      <c r="K2333"/>
      <c r="L2333"/>
      <c r="M2333"/>
      <c r="N2333"/>
      <c r="O2333"/>
      <c r="P2333"/>
    </row>
    <row r="2334" spans="8:16" s="1" customFormat="1">
      <c r="H2334" s="185"/>
      <c r="I2334" s="185"/>
      <c r="J2334" s="185"/>
      <c r="K2334"/>
      <c r="L2334"/>
      <c r="M2334"/>
      <c r="N2334"/>
      <c r="O2334"/>
      <c r="P2334"/>
    </row>
    <row r="2335" spans="8:16" s="1" customFormat="1">
      <c r="H2335" s="185"/>
      <c r="I2335" s="185"/>
      <c r="J2335" s="185"/>
      <c r="K2335"/>
      <c r="L2335"/>
      <c r="M2335"/>
      <c r="N2335"/>
      <c r="O2335"/>
      <c r="P2335"/>
    </row>
    <row r="2336" spans="8:16" s="1" customFormat="1">
      <c r="H2336" s="185"/>
      <c r="I2336" s="185"/>
      <c r="J2336" s="185"/>
      <c r="K2336"/>
      <c r="L2336"/>
      <c r="M2336"/>
      <c r="N2336"/>
      <c r="O2336"/>
      <c r="P2336"/>
    </row>
    <row r="2337" spans="8:16" s="1" customFormat="1">
      <c r="H2337" s="185"/>
      <c r="I2337" s="185"/>
      <c r="J2337" s="185"/>
      <c r="K2337"/>
      <c r="L2337"/>
      <c r="M2337"/>
      <c r="N2337"/>
      <c r="O2337"/>
      <c r="P2337"/>
    </row>
    <row r="2338" spans="8:16" s="1" customFormat="1">
      <c r="H2338" s="185"/>
      <c r="I2338" s="185"/>
      <c r="J2338" s="185"/>
      <c r="K2338"/>
      <c r="L2338"/>
      <c r="M2338"/>
      <c r="N2338"/>
      <c r="O2338"/>
      <c r="P2338"/>
    </row>
    <row r="2339" spans="8:16" s="1" customFormat="1">
      <c r="H2339" s="185"/>
      <c r="I2339" s="185"/>
      <c r="J2339" s="185"/>
      <c r="K2339"/>
      <c r="L2339"/>
      <c r="M2339"/>
      <c r="N2339"/>
      <c r="O2339"/>
      <c r="P2339"/>
    </row>
    <row r="2340" spans="8:16" s="1" customFormat="1">
      <c r="H2340" s="185"/>
      <c r="I2340" s="185"/>
      <c r="J2340" s="185"/>
      <c r="K2340"/>
      <c r="L2340"/>
      <c r="M2340"/>
      <c r="N2340"/>
      <c r="O2340"/>
      <c r="P2340"/>
    </row>
    <row r="2341" spans="8:16" s="1" customFormat="1">
      <c r="H2341" s="185"/>
      <c r="I2341" s="185"/>
      <c r="J2341" s="185"/>
      <c r="K2341"/>
      <c r="L2341"/>
      <c r="M2341"/>
      <c r="N2341"/>
      <c r="O2341"/>
      <c r="P2341"/>
    </row>
    <row r="2342" spans="8:16" s="1" customFormat="1">
      <c r="H2342" s="185"/>
      <c r="I2342" s="185"/>
      <c r="J2342" s="185"/>
      <c r="K2342"/>
      <c r="L2342"/>
      <c r="M2342"/>
      <c r="N2342"/>
      <c r="O2342"/>
      <c r="P2342"/>
    </row>
    <row r="2343" spans="8:16" s="1" customFormat="1">
      <c r="H2343" s="185"/>
      <c r="I2343" s="185"/>
      <c r="J2343" s="185"/>
      <c r="K2343"/>
      <c r="L2343"/>
      <c r="M2343"/>
      <c r="N2343"/>
      <c r="O2343"/>
      <c r="P2343"/>
    </row>
    <row r="2344" spans="8:16" s="1" customFormat="1">
      <c r="H2344" s="185"/>
      <c r="I2344" s="185"/>
      <c r="J2344" s="185"/>
      <c r="K2344"/>
      <c r="L2344"/>
      <c r="M2344"/>
      <c r="N2344"/>
      <c r="O2344"/>
      <c r="P2344"/>
    </row>
    <row r="2345" spans="8:16" s="1" customFormat="1">
      <c r="H2345" s="185"/>
      <c r="I2345" s="185"/>
      <c r="J2345" s="185"/>
      <c r="K2345"/>
      <c r="L2345"/>
      <c r="M2345"/>
      <c r="N2345"/>
      <c r="O2345"/>
      <c r="P2345"/>
    </row>
    <row r="2346" spans="8:16" s="1" customFormat="1">
      <c r="H2346" s="185"/>
      <c r="I2346" s="185"/>
      <c r="J2346" s="185"/>
      <c r="K2346"/>
      <c r="L2346"/>
      <c r="M2346"/>
      <c r="N2346"/>
      <c r="O2346"/>
      <c r="P2346"/>
    </row>
    <row r="2347" spans="8:16" s="1" customFormat="1">
      <c r="H2347" s="185"/>
      <c r="I2347" s="185"/>
      <c r="J2347" s="185"/>
      <c r="K2347"/>
      <c r="L2347"/>
      <c r="M2347"/>
      <c r="N2347"/>
      <c r="O2347"/>
      <c r="P2347"/>
    </row>
    <row r="2348" spans="8:16" s="1" customFormat="1">
      <c r="H2348" s="185"/>
      <c r="I2348" s="185"/>
      <c r="J2348" s="185"/>
      <c r="K2348"/>
      <c r="L2348"/>
      <c r="M2348"/>
      <c r="N2348"/>
      <c r="O2348"/>
      <c r="P2348"/>
    </row>
    <row r="2349" spans="8:16" s="1" customFormat="1">
      <c r="H2349" s="185"/>
      <c r="I2349" s="185"/>
      <c r="J2349" s="185"/>
      <c r="K2349"/>
      <c r="L2349"/>
      <c r="M2349"/>
      <c r="N2349"/>
      <c r="O2349"/>
      <c r="P2349"/>
    </row>
    <row r="2350" spans="8:16" s="1" customFormat="1">
      <c r="H2350" s="185"/>
      <c r="I2350" s="185"/>
      <c r="J2350" s="185"/>
      <c r="K2350"/>
      <c r="L2350"/>
      <c r="M2350"/>
      <c r="N2350"/>
      <c r="O2350"/>
      <c r="P2350"/>
    </row>
    <row r="2351" spans="8:16" s="1" customFormat="1">
      <c r="H2351" s="185"/>
      <c r="I2351" s="185"/>
      <c r="J2351" s="185"/>
      <c r="K2351"/>
      <c r="L2351"/>
      <c r="M2351"/>
      <c r="N2351"/>
      <c r="O2351"/>
      <c r="P2351"/>
    </row>
    <row r="2352" spans="8:16" s="1" customFormat="1">
      <c r="H2352" s="185"/>
      <c r="I2352" s="185"/>
      <c r="J2352" s="185"/>
      <c r="K2352"/>
      <c r="L2352"/>
      <c r="M2352"/>
      <c r="N2352"/>
      <c r="O2352"/>
      <c r="P2352"/>
    </row>
    <row r="2353" spans="8:16" s="1" customFormat="1">
      <c r="H2353" s="185"/>
      <c r="I2353" s="185"/>
      <c r="J2353" s="185"/>
      <c r="K2353"/>
      <c r="L2353"/>
      <c r="M2353"/>
      <c r="N2353"/>
      <c r="O2353"/>
      <c r="P2353"/>
    </row>
    <row r="2354" spans="8:16" s="1" customFormat="1">
      <c r="H2354" s="185"/>
      <c r="I2354" s="185"/>
      <c r="J2354" s="185"/>
      <c r="K2354"/>
      <c r="L2354"/>
      <c r="M2354"/>
      <c r="N2354"/>
      <c r="O2354"/>
      <c r="P2354"/>
    </row>
    <row r="2355" spans="8:16" s="1" customFormat="1">
      <c r="H2355" s="185"/>
      <c r="I2355" s="185"/>
      <c r="J2355" s="185"/>
      <c r="K2355"/>
      <c r="L2355"/>
      <c r="M2355"/>
      <c r="N2355"/>
      <c r="O2355"/>
      <c r="P2355"/>
    </row>
    <row r="2356" spans="8:16" s="1" customFormat="1">
      <c r="H2356" s="185"/>
      <c r="I2356" s="185"/>
      <c r="J2356" s="185"/>
      <c r="K2356"/>
      <c r="L2356"/>
      <c r="M2356"/>
      <c r="N2356"/>
      <c r="O2356"/>
      <c r="P2356"/>
    </row>
    <row r="2357" spans="8:16" s="1" customFormat="1">
      <c r="H2357" s="185"/>
      <c r="I2357" s="185"/>
      <c r="J2357" s="185"/>
      <c r="K2357"/>
      <c r="L2357"/>
      <c r="M2357"/>
      <c r="N2357"/>
      <c r="O2357"/>
      <c r="P2357"/>
    </row>
    <row r="2358" spans="8:16" s="1" customFormat="1">
      <c r="H2358" s="185"/>
      <c r="I2358" s="185"/>
      <c r="J2358" s="185"/>
      <c r="K2358"/>
      <c r="L2358"/>
      <c r="M2358"/>
      <c r="N2358"/>
      <c r="O2358"/>
      <c r="P2358"/>
    </row>
    <row r="2359" spans="8:16" s="1" customFormat="1">
      <c r="H2359" s="185"/>
      <c r="I2359" s="185"/>
      <c r="J2359" s="185"/>
      <c r="K2359"/>
      <c r="L2359"/>
      <c r="M2359"/>
      <c r="N2359"/>
      <c r="O2359"/>
      <c r="P2359"/>
    </row>
    <row r="2360" spans="8:16" s="1" customFormat="1">
      <c r="H2360" s="185"/>
      <c r="I2360" s="185"/>
      <c r="J2360" s="185"/>
      <c r="K2360"/>
      <c r="L2360"/>
      <c r="M2360"/>
      <c r="N2360"/>
      <c r="O2360"/>
      <c r="P2360"/>
    </row>
    <row r="2361" spans="8:16" s="1" customFormat="1">
      <c r="H2361" s="185"/>
      <c r="I2361" s="185"/>
      <c r="J2361" s="185"/>
      <c r="K2361"/>
      <c r="L2361"/>
      <c r="M2361"/>
      <c r="N2361"/>
      <c r="O2361"/>
      <c r="P2361"/>
    </row>
    <row r="2362" spans="8:16" s="1" customFormat="1">
      <c r="H2362" s="185"/>
      <c r="I2362" s="185"/>
      <c r="J2362" s="185"/>
      <c r="K2362"/>
      <c r="L2362"/>
      <c r="M2362"/>
      <c r="N2362"/>
      <c r="O2362"/>
      <c r="P2362"/>
    </row>
    <row r="2363" spans="8:16" s="1" customFormat="1">
      <c r="H2363" s="185"/>
      <c r="I2363" s="185"/>
      <c r="J2363" s="185"/>
      <c r="K2363"/>
      <c r="L2363"/>
      <c r="M2363"/>
      <c r="N2363"/>
      <c r="O2363"/>
      <c r="P2363"/>
    </row>
    <row r="2364" spans="8:16" s="1" customFormat="1">
      <c r="H2364" s="185"/>
      <c r="I2364" s="185"/>
      <c r="J2364" s="185"/>
      <c r="K2364"/>
      <c r="L2364"/>
      <c r="M2364"/>
      <c r="N2364"/>
      <c r="O2364"/>
      <c r="P2364"/>
    </row>
    <row r="2365" spans="8:16" s="1" customFormat="1">
      <c r="H2365" s="185"/>
      <c r="I2365" s="185"/>
      <c r="J2365" s="185"/>
      <c r="K2365"/>
      <c r="L2365"/>
      <c r="M2365"/>
      <c r="N2365"/>
      <c r="O2365"/>
      <c r="P2365"/>
    </row>
    <row r="2366" spans="8:16" s="1" customFormat="1">
      <c r="H2366" s="185"/>
      <c r="I2366" s="185"/>
      <c r="J2366" s="185"/>
      <c r="K2366"/>
      <c r="L2366"/>
      <c r="M2366"/>
      <c r="N2366"/>
      <c r="O2366"/>
      <c r="P2366"/>
    </row>
    <row r="2367" spans="8:16" s="1" customFormat="1">
      <c r="H2367" s="185"/>
      <c r="I2367" s="185"/>
      <c r="J2367" s="185"/>
      <c r="K2367"/>
      <c r="L2367"/>
      <c r="M2367"/>
      <c r="N2367"/>
      <c r="O2367"/>
      <c r="P2367"/>
    </row>
    <row r="2368" spans="8:16" s="1" customFormat="1">
      <c r="H2368" s="185"/>
      <c r="I2368" s="185"/>
      <c r="J2368" s="185"/>
      <c r="K2368"/>
      <c r="L2368"/>
      <c r="M2368"/>
      <c r="N2368"/>
      <c r="O2368"/>
      <c r="P2368"/>
    </row>
    <row r="2369" spans="8:16" s="1" customFormat="1">
      <c r="H2369" s="185"/>
      <c r="I2369" s="185"/>
      <c r="J2369" s="185"/>
      <c r="K2369"/>
      <c r="L2369"/>
      <c r="M2369"/>
      <c r="N2369"/>
      <c r="O2369"/>
      <c r="P2369"/>
    </row>
    <row r="2370" spans="8:16" s="1" customFormat="1">
      <c r="H2370" s="185"/>
      <c r="I2370" s="185"/>
      <c r="J2370" s="185"/>
      <c r="K2370"/>
      <c r="L2370"/>
      <c r="M2370"/>
      <c r="N2370"/>
      <c r="O2370"/>
      <c r="P2370"/>
    </row>
    <row r="2371" spans="8:16" s="1" customFormat="1">
      <c r="H2371" s="185"/>
      <c r="I2371" s="185"/>
      <c r="J2371" s="185"/>
      <c r="K2371"/>
      <c r="L2371"/>
      <c r="M2371"/>
      <c r="N2371"/>
      <c r="O2371"/>
      <c r="P2371"/>
    </row>
    <row r="2372" spans="8:16" s="1" customFormat="1">
      <c r="H2372" s="185"/>
      <c r="I2372" s="185"/>
      <c r="J2372" s="185"/>
      <c r="K2372"/>
      <c r="L2372"/>
      <c r="M2372"/>
      <c r="N2372"/>
      <c r="O2372"/>
      <c r="P2372"/>
    </row>
    <row r="2373" spans="8:16" s="1" customFormat="1">
      <c r="H2373" s="185"/>
      <c r="I2373" s="185"/>
      <c r="J2373" s="185"/>
      <c r="K2373"/>
      <c r="L2373"/>
      <c r="M2373"/>
      <c r="N2373"/>
      <c r="O2373"/>
      <c r="P2373"/>
    </row>
    <row r="2374" spans="8:16" s="1" customFormat="1">
      <c r="H2374" s="185"/>
      <c r="I2374" s="185"/>
      <c r="J2374" s="185"/>
      <c r="K2374"/>
      <c r="L2374"/>
      <c r="M2374"/>
      <c r="N2374"/>
      <c r="O2374"/>
      <c r="P2374"/>
    </row>
    <row r="2375" spans="8:16" s="1" customFormat="1">
      <c r="H2375" s="185"/>
      <c r="I2375" s="185"/>
      <c r="J2375" s="185"/>
      <c r="K2375"/>
      <c r="L2375"/>
      <c r="M2375"/>
      <c r="N2375"/>
      <c r="O2375"/>
      <c r="P2375"/>
    </row>
    <row r="2376" spans="8:16" s="1" customFormat="1">
      <c r="H2376" s="185"/>
      <c r="I2376" s="185"/>
      <c r="J2376" s="185"/>
      <c r="K2376"/>
      <c r="L2376"/>
      <c r="M2376"/>
      <c r="N2376"/>
      <c r="O2376"/>
      <c r="P2376"/>
    </row>
    <row r="2377" spans="8:16" s="1" customFormat="1">
      <c r="H2377" s="185"/>
      <c r="I2377" s="185"/>
      <c r="J2377" s="185"/>
      <c r="K2377"/>
      <c r="L2377"/>
      <c r="M2377"/>
      <c r="N2377"/>
      <c r="O2377"/>
      <c r="P2377"/>
    </row>
    <row r="2378" spans="8:16" s="1" customFormat="1">
      <c r="H2378" s="185"/>
      <c r="I2378" s="185"/>
      <c r="J2378" s="185"/>
      <c r="K2378"/>
      <c r="L2378"/>
      <c r="M2378"/>
      <c r="N2378"/>
      <c r="O2378"/>
      <c r="P2378"/>
    </row>
    <row r="2379" spans="8:16" s="1" customFormat="1">
      <c r="H2379" s="185"/>
      <c r="I2379" s="185"/>
      <c r="J2379" s="185"/>
      <c r="K2379"/>
      <c r="L2379"/>
      <c r="M2379"/>
      <c r="N2379"/>
      <c r="O2379"/>
      <c r="P2379"/>
    </row>
    <row r="2380" spans="8:16" s="1" customFormat="1">
      <c r="H2380" s="185"/>
      <c r="I2380" s="185"/>
      <c r="J2380" s="185"/>
      <c r="K2380"/>
      <c r="L2380"/>
      <c r="M2380"/>
      <c r="N2380"/>
      <c r="O2380"/>
      <c r="P2380"/>
    </row>
    <row r="2381" spans="8:16" s="1" customFormat="1">
      <c r="H2381" s="185"/>
      <c r="I2381" s="185"/>
      <c r="J2381" s="185"/>
      <c r="K2381"/>
      <c r="L2381"/>
      <c r="M2381"/>
      <c r="N2381"/>
      <c r="O2381"/>
      <c r="P2381"/>
    </row>
    <row r="2382" spans="8:16" s="1" customFormat="1">
      <c r="H2382" s="185"/>
      <c r="I2382" s="185"/>
      <c r="J2382" s="185"/>
      <c r="K2382"/>
      <c r="L2382"/>
      <c r="M2382"/>
      <c r="N2382"/>
      <c r="O2382"/>
      <c r="P2382"/>
    </row>
    <row r="2383" spans="8:16" s="1" customFormat="1">
      <c r="H2383" s="185"/>
      <c r="I2383" s="185"/>
      <c r="J2383" s="185"/>
      <c r="K2383"/>
      <c r="L2383"/>
      <c r="M2383"/>
      <c r="N2383"/>
      <c r="O2383"/>
      <c r="P2383"/>
    </row>
    <row r="2384" spans="8:16" s="1" customFormat="1">
      <c r="H2384" s="185"/>
      <c r="I2384" s="185"/>
      <c r="J2384" s="185"/>
      <c r="K2384"/>
      <c r="L2384"/>
      <c r="M2384"/>
      <c r="N2384"/>
      <c r="O2384"/>
      <c r="P2384"/>
    </row>
    <row r="2385" spans="8:16" s="1" customFormat="1">
      <c r="H2385" s="185"/>
      <c r="I2385" s="185"/>
      <c r="J2385" s="185"/>
      <c r="K2385"/>
      <c r="L2385"/>
      <c r="M2385"/>
      <c r="N2385"/>
      <c r="O2385"/>
      <c r="P2385"/>
    </row>
    <row r="2386" spans="8:16" s="1" customFormat="1">
      <c r="H2386" s="185"/>
      <c r="I2386" s="185"/>
      <c r="J2386" s="185"/>
      <c r="K2386"/>
      <c r="L2386"/>
      <c r="M2386"/>
      <c r="N2386"/>
      <c r="O2386"/>
      <c r="P2386"/>
    </row>
    <row r="2387" spans="8:16" s="1" customFormat="1">
      <c r="H2387" s="185"/>
      <c r="I2387" s="185"/>
      <c r="J2387" s="185"/>
      <c r="K2387"/>
      <c r="L2387"/>
      <c r="M2387"/>
      <c r="N2387"/>
      <c r="O2387"/>
      <c r="P2387"/>
    </row>
    <row r="2388" spans="8:16" s="1" customFormat="1">
      <c r="H2388" s="185"/>
      <c r="I2388" s="185"/>
      <c r="J2388" s="185"/>
      <c r="K2388"/>
      <c r="L2388"/>
      <c r="M2388"/>
      <c r="N2388"/>
      <c r="O2388"/>
      <c r="P2388"/>
    </row>
    <row r="2389" spans="8:16" s="1" customFormat="1">
      <c r="H2389" s="185"/>
      <c r="I2389" s="185"/>
      <c r="J2389" s="185"/>
      <c r="K2389"/>
      <c r="L2389"/>
      <c r="M2389"/>
      <c r="N2389"/>
      <c r="O2389"/>
      <c r="P2389"/>
    </row>
    <row r="2390" spans="8:16" s="1" customFormat="1">
      <c r="H2390" s="185"/>
      <c r="I2390" s="185"/>
      <c r="J2390" s="185"/>
      <c r="K2390"/>
      <c r="L2390"/>
      <c r="M2390"/>
      <c r="N2390"/>
      <c r="O2390"/>
      <c r="P2390"/>
    </row>
    <row r="2391" spans="8:16" s="1" customFormat="1">
      <c r="H2391" s="185"/>
      <c r="I2391" s="185"/>
      <c r="J2391" s="185"/>
      <c r="K2391"/>
      <c r="L2391"/>
      <c r="M2391"/>
      <c r="N2391"/>
      <c r="O2391"/>
      <c r="P2391"/>
    </row>
    <row r="2392" spans="8:16" s="1" customFormat="1">
      <c r="H2392" s="185"/>
      <c r="I2392" s="185"/>
      <c r="J2392" s="185"/>
      <c r="K2392"/>
      <c r="L2392"/>
      <c r="M2392"/>
      <c r="N2392"/>
      <c r="O2392"/>
      <c r="P2392"/>
    </row>
    <row r="2393" spans="8:16" s="1" customFormat="1">
      <c r="H2393" s="185"/>
      <c r="I2393" s="185"/>
      <c r="J2393" s="185"/>
      <c r="K2393"/>
      <c r="L2393"/>
      <c r="M2393"/>
      <c r="N2393"/>
      <c r="O2393"/>
      <c r="P2393"/>
    </row>
    <row r="2394" spans="8:16" s="1" customFormat="1">
      <c r="H2394" s="185"/>
      <c r="I2394" s="185"/>
      <c r="J2394" s="185"/>
      <c r="K2394"/>
      <c r="L2394"/>
      <c r="M2394"/>
      <c r="N2394"/>
      <c r="O2394"/>
      <c r="P2394"/>
    </row>
    <row r="2395" spans="8:16" s="1" customFormat="1">
      <c r="H2395" s="185"/>
      <c r="I2395" s="185"/>
      <c r="J2395" s="185"/>
      <c r="K2395"/>
      <c r="L2395"/>
      <c r="M2395"/>
      <c r="N2395"/>
      <c r="O2395"/>
      <c r="P2395"/>
    </row>
    <row r="2396" spans="8:16" s="1" customFormat="1">
      <c r="H2396" s="185"/>
      <c r="I2396" s="185"/>
      <c r="J2396" s="185"/>
      <c r="K2396"/>
      <c r="L2396"/>
      <c r="M2396"/>
      <c r="N2396"/>
      <c r="O2396"/>
      <c r="P2396"/>
    </row>
    <row r="2397" spans="8:16" s="1" customFormat="1">
      <c r="H2397" s="185"/>
      <c r="I2397" s="185"/>
      <c r="J2397" s="185"/>
      <c r="K2397"/>
      <c r="L2397"/>
      <c r="M2397"/>
      <c r="N2397"/>
      <c r="O2397"/>
      <c r="P2397"/>
    </row>
    <row r="2398" spans="8:16" s="1" customFormat="1">
      <c r="H2398" s="185"/>
      <c r="I2398" s="185"/>
      <c r="J2398" s="185"/>
      <c r="K2398"/>
      <c r="L2398"/>
      <c r="M2398"/>
      <c r="N2398"/>
      <c r="O2398"/>
      <c r="P2398"/>
    </row>
    <row r="2399" spans="8:16" s="1" customFormat="1">
      <c r="H2399" s="185"/>
      <c r="I2399" s="185"/>
      <c r="J2399" s="185"/>
      <c r="K2399"/>
      <c r="L2399"/>
      <c r="M2399"/>
      <c r="N2399"/>
      <c r="O2399"/>
      <c r="P2399"/>
    </row>
    <row r="2400" spans="8:16" s="1" customFormat="1">
      <c r="H2400" s="185"/>
      <c r="I2400" s="185"/>
      <c r="J2400" s="185"/>
      <c r="K2400"/>
      <c r="L2400"/>
      <c r="M2400"/>
      <c r="N2400"/>
      <c r="O2400"/>
      <c r="P2400"/>
    </row>
    <row r="2401" spans="8:16" s="1" customFormat="1">
      <c r="H2401" s="185"/>
      <c r="I2401" s="185"/>
      <c r="J2401" s="185"/>
      <c r="K2401"/>
      <c r="L2401"/>
      <c r="M2401"/>
      <c r="N2401"/>
      <c r="O2401"/>
      <c r="P2401"/>
    </row>
    <row r="2402" spans="8:16" s="1" customFormat="1">
      <c r="H2402" s="185"/>
      <c r="I2402" s="185"/>
      <c r="J2402" s="185"/>
      <c r="K2402"/>
      <c r="L2402"/>
      <c r="M2402"/>
      <c r="N2402"/>
      <c r="O2402"/>
      <c r="P2402"/>
    </row>
    <row r="2403" spans="8:16" s="1" customFormat="1">
      <c r="H2403" s="185"/>
      <c r="I2403" s="185"/>
      <c r="J2403" s="185"/>
      <c r="K2403"/>
      <c r="L2403"/>
      <c r="M2403"/>
      <c r="N2403"/>
      <c r="O2403"/>
      <c r="P2403"/>
    </row>
    <row r="2404" spans="8:16" s="1" customFormat="1">
      <c r="H2404" s="185"/>
      <c r="I2404" s="185"/>
      <c r="J2404" s="185"/>
      <c r="K2404"/>
      <c r="L2404"/>
      <c r="M2404"/>
      <c r="N2404"/>
      <c r="O2404"/>
      <c r="P2404"/>
    </row>
    <row r="2405" spans="8:16" s="1" customFormat="1">
      <c r="H2405" s="185"/>
      <c r="I2405" s="185"/>
      <c r="J2405" s="185"/>
      <c r="K2405"/>
      <c r="L2405"/>
      <c r="M2405"/>
      <c r="N2405"/>
      <c r="O2405"/>
      <c r="P2405"/>
    </row>
    <row r="2406" spans="8:16" s="1" customFormat="1">
      <c r="H2406" s="185"/>
      <c r="I2406" s="185"/>
      <c r="J2406" s="185"/>
      <c r="K2406"/>
      <c r="L2406"/>
      <c r="M2406"/>
      <c r="N2406"/>
      <c r="O2406"/>
      <c r="P2406"/>
    </row>
    <row r="2407" spans="8:16" s="1" customFormat="1">
      <c r="H2407" s="185"/>
      <c r="I2407" s="185"/>
      <c r="J2407" s="185"/>
      <c r="K2407"/>
      <c r="L2407"/>
      <c r="M2407"/>
      <c r="N2407"/>
      <c r="O2407"/>
      <c r="P2407"/>
    </row>
    <row r="2408" spans="8:16" s="1" customFormat="1">
      <c r="H2408" s="185"/>
      <c r="I2408" s="185"/>
      <c r="J2408" s="185"/>
      <c r="K2408"/>
      <c r="L2408"/>
      <c r="M2408"/>
      <c r="N2408"/>
      <c r="O2408"/>
      <c r="P2408"/>
    </row>
    <row r="2409" spans="8:16" s="1" customFormat="1">
      <c r="H2409" s="185"/>
      <c r="I2409" s="185"/>
      <c r="J2409" s="185"/>
      <c r="K2409"/>
      <c r="L2409"/>
      <c r="M2409"/>
      <c r="N2409"/>
      <c r="O2409"/>
      <c r="P2409"/>
    </row>
    <row r="2410" spans="8:16" s="1" customFormat="1">
      <c r="H2410" s="185"/>
      <c r="I2410" s="185"/>
      <c r="J2410" s="185"/>
      <c r="K2410"/>
      <c r="L2410"/>
      <c r="M2410"/>
      <c r="N2410"/>
      <c r="O2410"/>
      <c r="P2410"/>
    </row>
    <row r="2411" spans="8:16" s="1" customFormat="1">
      <c r="H2411" s="185"/>
      <c r="I2411" s="185"/>
      <c r="J2411" s="185"/>
      <c r="K2411"/>
      <c r="L2411"/>
      <c r="M2411"/>
      <c r="N2411"/>
      <c r="O2411"/>
      <c r="P2411"/>
    </row>
    <row r="2412" spans="8:16" s="1" customFormat="1">
      <c r="H2412" s="185"/>
      <c r="I2412" s="185"/>
      <c r="J2412" s="185"/>
      <c r="K2412"/>
      <c r="L2412"/>
      <c r="M2412"/>
      <c r="N2412"/>
      <c r="O2412"/>
      <c r="P2412"/>
    </row>
    <row r="2413" spans="8:16" s="1" customFormat="1">
      <c r="H2413" s="185"/>
      <c r="I2413" s="185"/>
      <c r="J2413" s="185"/>
      <c r="K2413"/>
      <c r="L2413"/>
      <c r="M2413"/>
      <c r="N2413"/>
      <c r="O2413"/>
      <c r="P2413"/>
    </row>
    <row r="2414" spans="8:16" s="1" customFormat="1">
      <c r="H2414" s="185"/>
      <c r="I2414" s="185"/>
      <c r="J2414" s="185"/>
      <c r="K2414"/>
      <c r="L2414"/>
      <c r="M2414"/>
      <c r="N2414"/>
      <c r="O2414"/>
      <c r="P2414"/>
    </row>
    <row r="2415" spans="8:16" s="1" customFormat="1">
      <c r="H2415" s="185"/>
      <c r="I2415" s="185"/>
      <c r="J2415" s="185"/>
      <c r="K2415"/>
      <c r="L2415"/>
      <c r="M2415"/>
      <c r="N2415"/>
      <c r="O2415"/>
      <c r="P2415"/>
    </row>
    <row r="2416" spans="8:16" s="1" customFormat="1">
      <c r="H2416" s="185"/>
      <c r="I2416" s="185"/>
      <c r="J2416" s="185"/>
      <c r="K2416"/>
      <c r="L2416"/>
      <c r="M2416"/>
      <c r="N2416"/>
      <c r="O2416"/>
      <c r="P2416"/>
    </row>
    <row r="2417" spans="8:16" s="1" customFormat="1">
      <c r="H2417" s="185"/>
      <c r="I2417" s="185"/>
      <c r="J2417" s="185"/>
      <c r="K2417"/>
      <c r="L2417"/>
      <c r="M2417"/>
      <c r="N2417"/>
      <c r="O2417"/>
      <c r="P2417"/>
    </row>
    <row r="2418" spans="8:16" s="1" customFormat="1">
      <c r="H2418" s="185"/>
      <c r="I2418" s="185"/>
      <c r="J2418" s="185"/>
      <c r="K2418"/>
      <c r="L2418"/>
      <c r="M2418"/>
      <c r="N2418"/>
      <c r="O2418"/>
      <c r="P2418"/>
    </row>
    <row r="2419" spans="8:16" s="1" customFormat="1">
      <c r="H2419" s="185"/>
      <c r="I2419" s="185"/>
      <c r="J2419" s="185"/>
      <c r="K2419"/>
      <c r="L2419"/>
      <c r="M2419"/>
      <c r="N2419"/>
      <c r="O2419"/>
      <c r="P2419"/>
    </row>
    <row r="2420" spans="8:16" s="1" customFormat="1">
      <c r="H2420" s="185"/>
      <c r="I2420" s="185"/>
      <c r="J2420" s="185"/>
      <c r="K2420"/>
      <c r="L2420"/>
      <c r="M2420"/>
      <c r="N2420"/>
      <c r="O2420"/>
      <c r="P2420"/>
    </row>
    <row r="2421" spans="8:16" s="1" customFormat="1">
      <c r="H2421" s="185"/>
      <c r="I2421" s="185"/>
      <c r="J2421" s="185"/>
      <c r="K2421"/>
      <c r="L2421"/>
      <c r="M2421"/>
      <c r="N2421"/>
      <c r="O2421"/>
      <c r="P2421"/>
    </row>
    <row r="2422" spans="8:16" s="1" customFormat="1">
      <c r="H2422" s="185"/>
      <c r="I2422" s="185"/>
      <c r="J2422" s="185"/>
      <c r="K2422"/>
      <c r="L2422"/>
      <c r="M2422"/>
      <c r="N2422"/>
      <c r="O2422"/>
      <c r="P2422"/>
    </row>
    <row r="2423" spans="8:16" s="1" customFormat="1">
      <c r="H2423" s="185"/>
      <c r="I2423" s="185"/>
      <c r="J2423" s="185"/>
      <c r="K2423"/>
      <c r="L2423"/>
      <c r="M2423"/>
      <c r="N2423"/>
      <c r="O2423"/>
      <c r="P2423"/>
    </row>
    <row r="2424" spans="8:16" s="1" customFormat="1">
      <c r="H2424" s="185"/>
      <c r="I2424" s="185"/>
      <c r="J2424" s="185"/>
      <c r="K2424"/>
      <c r="L2424"/>
      <c r="M2424"/>
      <c r="N2424"/>
      <c r="O2424"/>
      <c r="P2424"/>
    </row>
    <row r="2425" spans="8:16" s="1" customFormat="1">
      <c r="H2425" s="185"/>
      <c r="I2425" s="185"/>
      <c r="J2425" s="185"/>
      <c r="K2425"/>
      <c r="L2425"/>
      <c r="M2425"/>
      <c r="N2425"/>
      <c r="O2425"/>
      <c r="P2425"/>
    </row>
    <row r="2426" spans="8:16" s="1" customFormat="1">
      <c r="H2426" s="185"/>
      <c r="I2426" s="185"/>
      <c r="J2426" s="185"/>
      <c r="K2426"/>
      <c r="L2426"/>
      <c r="M2426"/>
      <c r="N2426"/>
      <c r="O2426"/>
      <c r="P2426"/>
    </row>
    <row r="2427" spans="8:16" s="1" customFormat="1">
      <c r="H2427" s="185"/>
      <c r="I2427" s="185"/>
      <c r="J2427" s="185"/>
      <c r="K2427"/>
      <c r="L2427"/>
      <c r="M2427"/>
      <c r="N2427"/>
      <c r="O2427"/>
      <c r="P2427"/>
    </row>
    <row r="2428" spans="8:16" s="1" customFormat="1">
      <c r="H2428" s="185"/>
      <c r="I2428" s="185"/>
      <c r="J2428" s="185"/>
      <c r="K2428"/>
      <c r="L2428"/>
      <c r="M2428"/>
      <c r="N2428"/>
      <c r="O2428"/>
      <c r="P2428"/>
    </row>
    <row r="2429" spans="8:16" s="1" customFormat="1">
      <c r="H2429" s="185"/>
      <c r="I2429" s="185"/>
      <c r="J2429" s="185"/>
      <c r="K2429"/>
      <c r="L2429"/>
      <c r="M2429"/>
      <c r="N2429"/>
      <c r="O2429"/>
      <c r="P2429"/>
    </row>
    <row r="2430" spans="8:16" s="1" customFormat="1">
      <c r="H2430" s="185"/>
      <c r="I2430" s="185"/>
      <c r="J2430" s="185"/>
      <c r="K2430"/>
      <c r="L2430"/>
      <c r="M2430"/>
      <c r="N2430"/>
      <c r="O2430"/>
      <c r="P2430"/>
    </row>
    <row r="2431" spans="8:16" s="1" customFormat="1">
      <c r="H2431" s="185"/>
      <c r="I2431" s="185"/>
      <c r="J2431" s="185"/>
      <c r="K2431"/>
      <c r="L2431"/>
      <c r="M2431"/>
      <c r="N2431"/>
      <c r="O2431"/>
      <c r="P2431"/>
    </row>
    <row r="2432" spans="8:16" s="1" customFormat="1">
      <c r="H2432" s="185"/>
      <c r="I2432" s="185"/>
      <c r="J2432" s="185"/>
      <c r="K2432"/>
      <c r="L2432"/>
      <c r="M2432"/>
      <c r="N2432"/>
      <c r="O2432"/>
      <c r="P2432"/>
    </row>
    <row r="2433" spans="8:16" s="1" customFormat="1">
      <c r="H2433" s="185"/>
      <c r="I2433" s="185"/>
      <c r="J2433" s="185"/>
      <c r="K2433"/>
      <c r="L2433"/>
      <c r="M2433"/>
      <c r="N2433"/>
      <c r="O2433"/>
      <c r="P2433"/>
    </row>
    <row r="2434" spans="8:16" s="1" customFormat="1">
      <c r="H2434" s="185"/>
      <c r="I2434" s="185"/>
      <c r="J2434" s="185"/>
      <c r="K2434"/>
      <c r="L2434"/>
      <c r="M2434"/>
      <c r="N2434"/>
      <c r="O2434"/>
      <c r="P2434"/>
    </row>
    <row r="2435" spans="8:16" s="1" customFormat="1">
      <c r="H2435" s="185"/>
      <c r="I2435" s="185"/>
      <c r="J2435" s="185"/>
      <c r="K2435"/>
      <c r="L2435"/>
      <c r="M2435"/>
      <c r="N2435"/>
      <c r="O2435"/>
      <c r="P2435"/>
    </row>
    <row r="2436" spans="8:16" s="1" customFormat="1">
      <c r="H2436" s="185"/>
      <c r="I2436" s="185"/>
      <c r="J2436" s="185"/>
      <c r="K2436"/>
      <c r="L2436"/>
      <c r="M2436"/>
      <c r="N2436"/>
      <c r="O2436"/>
      <c r="P2436"/>
    </row>
    <row r="2437" spans="8:16" s="1" customFormat="1">
      <c r="H2437" s="185"/>
      <c r="I2437" s="185"/>
      <c r="J2437" s="185"/>
      <c r="K2437"/>
      <c r="L2437"/>
      <c r="M2437"/>
      <c r="N2437"/>
      <c r="O2437"/>
      <c r="P2437"/>
    </row>
    <row r="2438" spans="8:16" s="1" customFormat="1">
      <c r="H2438" s="185"/>
      <c r="I2438" s="185"/>
      <c r="J2438" s="185"/>
      <c r="K2438"/>
      <c r="L2438"/>
      <c r="M2438"/>
      <c r="N2438"/>
      <c r="O2438"/>
      <c r="P2438"/>
    </row>
    <row r="2439" spans="8:16" s="1" customFormat="1">
      <c r="H2439" s="185"/>
      <c r="I2439" s="185"/>
      <c r="J2439" s="185"/>
      <c r="K2439"/>
      <c r="L2439"/>
      <c r="M2439"/>
      <c r="N2439"/>
      <c r="O2439"/>
      <c r="P2439"/>
    </row>
    <row r="2440" spans="8:16" s="1" customFormat="1">
      <c r="H2440" s="185"/>
      <c r="I2440" s="185"/>
      <c r="J2440" s="185"/>
      <c r="K2440"/>
      <c r="L2440"/>
      <c r="M2440"/>
      <c r="N2440"/>
      <c r="O2440"/>
      <c r="P2440"/>
    </row>
    <row r="2441" spans="8:16" s="1" customFormat="1">
      <c r="H2441" s="185"/>
      <c r="I2441" s="185"/>
      <c r="J2441" s="185"/>
      <c r="K2441"/>
      <c r="L2441"/>
      <c r="M2441"/>
      <c r="N2441"/>
      <c r="O2441"/>
      <c r="P2441"/>
    </row>
    <row r="2442" spans="8:16" s="1" customFormat="1">
      <c r="H2442" s="185"/>
      <c r="I2442" s="185"/>
      <c r="J2442" s="185"/>
      <c r="K2442"/>
      <c r="L2442"/>
      <c r="M2442"/>
      <c r="N2442"/>
      <c r="O2442"/>
      <c r="P2442"/>
    </row>
    <row r="2443" spans="8:16" s="1" customFormat="1">
      <c r="H2443" s="185"/>
      <c r="I2443" s="185"/>
      <c r="J2443" s="185"/>
      <c r="K2443"/>
      <c r="L2443"/>
      <c r="M2443"/>
      <c r="N2443"/>
      <c r="O2443"/>
      <c r="P2443"/>
    </row>
    <row r="2444" spans="8:16" s="1" customFormat="1">
      <c r="H2444" s="185"/>
      <c r="I2444" s="185"/>
      <c r="J2444" s="185"/>
      <c r="K2444"/>
      <c r="L2444"/>
      <c r="M2444"/>
      <c r="N2444"/>
      <c r="O2444"/>
      <c r="P2444"/>
    </row>
    <row r="2445" spans="8:16" s="1" customFormat="1">
      <c r="H2445" s="185"/>
      <c r="I2445" s="185"/>
      <c r="J2445" s="185"/>
      <c r="K2445"/>
      <c r="L2445"/>
      <c r="M2445"/>
      <c r="N2445"/>
      <c r="O2445"/>
      <c r="P2445"/>
    </row>
    <row r="2446" spans="8:16" s="1" customFormat="1">
      <c r="H2446" s="185"/>
      <c r="I2446" s="185"/>
      <c r="J2446" s="185"/>
      <c r="K2446"/>
      <c r="L2446"/>
      <c r="M2446"/>
      <c r="N2446"/>
      <c r="O2446"/>
      <c r="P2446"/>
    </row>
    <row r="2447" spans="8:16" s="1" customFormat="1">
      <c r="H2447" s="185"/>
      <c r="I2447" s="185"/>
      <c r="J2447" s="185"/>
      <c r="K2447"/>
      <c r="L2447"/>
      <c r="M2447"/>
      <c r="N2447"/>
      <c r="O2447"/>
      <c r="P2447"/>
    </row>
    <row r="2448" spans="8:16" s="1" customFormat="1">
      <c r="H2448" s="185"/>
      <c r="I2448" s="185"/>
      <c r="J2448" s="185"/>
      <c r="K2448"/>
      <c r="L2448"/>
      <c r="M2448"/>
      <c r="N2448"/>
      <c r="O2448"/>
      <c r="P2448"/>
    </row>
    <row r="2449" spans="8:16" s="1" customFormat="1">
      <c r="H2449" s="185"/>
      <c r="I2449" s="185"/>
      <c r="J2449" s="185"/>
      <c r="K2449"/>
      <c r="L2449"/>
      <c r="M2449"/>
      <c r="N2449"/>
      <c r="O2449"/>
      <c r="P2449"/>
    </row>
    <row r="2450" spans="8:16" s="1" customFormat="1">
      <c r="H2450" s="185"/>
      <c r="I2450" s="185"/>
      <c r="J2450" s="185"/>
      <c r="K2450"/>
      <c r="L2450"/>
      <c r="M2450"/>
      <c r="N2450"/>
      <c r="O2450"/>
      <c r="P2450"/>
    </row>
    <row r="2451" spans="8:16" s="1" customFormat="1">
      <c r="H2451" s="185"/>
      <c r="I2451" s="185"/>
      <c r="J2451" s="185"/>
      <c r="K2451"/>
      <c r="L2451"/>
      <c r="M2451"/>
      <c r="N2451"/>
      <c r="O2451"/>
      <c r="P2451"/>
    </row>
    <row r="2452" spans="8:16" s="1" customFormat="1">
      <c r="H2452" s="185"/>
      <c r="I2452" s="185"/>
      <c r="J2452" s="185"/>
      <c r="K2452"/>
      <c r="L2452"/>
      <c r="M2452"/>
      <c r="N2452"/>
      <c r="O2452"/>
      <c r="P2452"/>
    </row>
    <row r="2453" spans="8:16" s="1" customFormat="1">
      <c r="H2453" s="185"/>
      <c r="I2453" s="185"/>
      <c r="J2453" s="185"/>
      <c r="K2453"/>
      <c r="L2453"/>
      <c r="M2453"/>
      <c r="N2453"/>
      <c r="O2453"/>
      <c r="P2453"/>
    </row>
    <row r="2454" spans="8:16" s="1" customFormat="1">
      <c r="H2454" s="185"/>
      <c r="I2454" s="185"/>
      <c r="J2454" s="185"/>
      <c r="K2454"/>
      <c r="L2454"/>
      <c r="M2454"/>
      <c r="N2454"/>
      <c r="O2454"/>
      <c r="P2454"/>
    </row>
    <row r="2455" spans="8:16" s="1" customFormat="1">
      <c r="H2455" s="185"/>
      <c r="I2455" s="185"/>
      <c r="J2455" s="185"/>
      <c r="K2455"/>
      <c r="L2455"/>
      <c r="M2455"/>
      <c r="N2455"/>
      <c r="O2455"/>
      <c r="P2455"/>
    </row>
    <row r="2456" spans="8:16" s="1" customFormat="1">
      <c r="H2456" s="185"/>
      <c r="I2456" s="185"/>
      <c r="J2456" s="185"/>
      <c r="K2456"/>
      <c r="L2456"/>
      <c r="M2456"/>
      <c r="N2456"/>
      <c r="O2456"/>
      <c r="P2456"/>
    </row>
    <row r="2457" spans="8:16" s="1" customFormat="1">
      <c r="H2457" s="185"/>
      <c r="I2457" s="185"/>
      <c r="J2457" s="185"/>
      <c r="K2457"/>
      <c r="L2457"/>
      <c r="M2457"/>
      <c r="N2457"/>
      <c r="O2457"/>
      <c r="P2457"/>
    </row>
    <row r="2458" spans="8:16" s="1" customFormat="1">
      <c r="H2458" s="185"/>
      <c r="I2458" s="185"/>
      <c r="J2458" s="185"/>
      <c r="K2458"/>
      <c r="L2458"/>
      <c r="M2458"/>
      <c r="N2458"/>
      <c r="O2458"/>
      <c r="P2458"/>
    </row>
    <row r="2459" spans="8:16" s="1" customFormat="1">
      <c r="H2459" s="185"/>
      <c r="I2459" s="185"/>
      <c r="J2459" s="185"/>
      <c r="K2459"/>
      <c r="L2459"/>
      <c r="M2459"/>
      <c r="N2459"/>
      <c r="O2459"/>
      <c r="P2459"/>
    </row>
    <row r="2460" spans="8:16" s="1" customFormat="1">
      <c r="H2460" s="185"/>
      <c r="I2460" s="185"/>
      <c r="J2460" s="185"/>
      <c r="K2460"/>
      <c r="L2460"/>
      <c r="M2460"/>
      <c r="N2460"/>
      <c r="O2460"/>
      <c r="P2460"/>
    </row>
    <row r="2461" spans="8:16" s="1" customFormat="1">
      <c r="H2461" s="185"/>
      <c r="I2461" s="185"/>
      <c r="J2461" s="185"/>
      <c r="K2461"/>
      <c r="L2461"/>
      <c r="M2461"/>
      <c r="N2461"/>
      <c r="O2461"/>
      <c r="P2461"/>
    </row>
    <row r="2462" spans="8:16" s="1" customFormat="1">
      <c r="H2462" s="185"/>
      <c r="I2462" s="185"/>
      <c r="J2462" s="185"/>
      <c r="K2462"/>
      <c r="L2462"/>
      <c r="M2462"/>
      <c r="N2462"/>
      <c r="O2462"/>
      <c r="P2462"/>
    </row>
    <row r="2463" spans="8:16" s="1" customFormat="1">
      <c r="H2463" s="185"/>
      <c r="I2463" s="185"/>
      <c r="J2463" s="185"/>
      <c r="K2463"/>
      <c r="L2463"/>
      <c r="M2463"/>
      <c r="N2463"/>
      <c r="O2463"/>
      <c r="P2463"/>
    </row>
    <row r="2464" spans="8:16" s="1" customFormat="1">
      <c r="H2464" s="185"/>
      <c r="I2464" s="185"/>
      <c r="J2464" s="185"/>
      <c r="K2464"/>
      <c r="L2464"/>
      <c r="M2464"/>
      <c r="N2464"/>
      <c r="O2464"/>
      <c r="P2464"/>
    </row>
    <row r="2465" spans="8:16" s="1" customFormat="1">
      <c r="H2465" s="185"/>
      <c r="I2465" s="185"/>
      <c r="J2465" s="185"/>
      <c r="K2465"/>
      <c r="L2465"/>
      <c r="M2465"/>
      <c r="N2465"/>
      <c r="O2465"/>
      <c r="P2465"/>
    </row>
    <row r="2466" spans="8:16" s="1" customFormat="1">
      <c r="H2466" s="185"/>
      <c r="I2466" s="185"/>
      <c r="J2466" s="185"/>
      <c r="K2466"/>
      <c r="L2466"/>
      <c r="M2466"/>
      <c r="N2466"/>
      <c r="O2466"/>
      <c r="P2466"/>
    </row>
    <row r="2467" spans="8:16" s="1" customFormat="1">
      <c r="H2467" s="185"/>
      <c r="I2467" s="185"/>
      <c r="J2467" s="185"/>
      <c r="K2467"/>
      <c r="L2467"/>
      <c r="M2467"/>
      <c r="N2467"/>
      <c r="O2467"/>
      <c r="P2467"/>
    </row>
    <row r="2468" spans="8:16" s="1" customFormat="1">
      <c r="H2468" s="185"/>
      <c r="I2468" s="185"/>
      <c r="J2468" s="185"/>
      <c r="K2468"/>
      <c r="L2468"/>
      <c r="M2468"/>
      <c r="N2468"/>
      <c r="O2468"/>
      <c r="P2468"/>
    </row>
    <row r="2469" spans="8:16" s="1" customFormat="1">
      <c r="H2469" s="185"/>
      <c r="I2469" s="185"/>
      <c r="J2469" s="185"/>
      <c r="K2469"/>
      <c r="L2469"/>
      <c r="M2469"/>
      <c r="N2469"/>
      <c r="O2469"/>
      <c r="P2469"/>
    </row>
    <row r="2470" spans="8:16" s="1" customFormat="1">
      <c r="H2470" s="185"/>
      <c r="I2470" s="185"/>
      <c r="J2470" s="185"/>
      <c r="K2470"/>
      <c r="L2470"/>
      <c r="M2470"/>
      <c r="N2470"/>
      <c r="O2470"/>
      <c r="P2470"/>
    </row>
    <row r="2471" spans="8:16" s="1" customFormat="1">
      <c r="H2471" s="185"/>
      <c r="I2471" s="185"/>
      <c r="J2471" s="185"/>
      <c r="K2471"/>
      <c r="L2471"/>
      <c r="M2471"/>
      <c r="N2471"/>
      <c r="O2471"/>
      <c r="P2471"/>
    </row>
    <row r="2472" spans="8:16" s="1" customFormat="1">
      <c r="H2472" s="185"/>
      <c r="I2472" s="185"/>
      <c r="J2472" s="185"/>
      <c r="K2472"/>
      <c r="L2472"/>
      <c r="M2472"/>
      <c r="N2472"/>
      <c r="O2472"/>
      <c r="P2472"/>
    </row>
    <row r="2473" spans="8:16" s="1" customFormat="1">
      <c r="H2473" s="185"/>
      <c r="I2473" s="185"/>
      <c r="J2473" s="185"/>
      <c r="K2473"/>
      <c r="L2473"/>
      <c r="M2473"/>
      <c r="N2473"/>
      <c r="O2473"/>
      <c r="P2473"/>
    </row>
    <row r="2474" spans="8:16" s="1" customFormat="1">
      <c r="H2474" s="185"/>
      <c r="I2474" s="185"/>
      <c r="J2474" s="185"/>
      <c r="K2474"/>
      <c r="L2474"/>
      <c r="M2474"/>
      <c r="N2474"/>
      <c r="O2474"/>
      <c r="P2474"/>
    </row>
    <row r="2475" spans="8:16" s="1" customFormat="1">
      <c r="H2475" s="185"/>
      <c r="I2475" s="185"/>
      <c r="J2475" s="185"/>
      <c r="K2475"/>
      <c r="L2475"/>
      <c r="M2475"/>
      <c r="N2475"/>
      <c r="O2475"/>
      <c r="P2475"/>
    </row>
    <row r="2476" spans="8:16" s="1" customFormat="1">
      <c r="H2476" s="185"/>
      <c r="I2476" s="185"/>
      <c r="J2476" s="185"/>
      <c r="K2476"/>
      <c r="L2476"/>
      <c r="M2476"/>
      <c r="N2476"/>
      <c r="O2476"/>
      <c r="P2476"/>
    </row>
    <row r="2477" spans="8:16" s="1" customFormat="1">
      <c r="H2477" s="185"/>
      <c r="I2477" s="185"/>
      <c r="J2477" s="185"/>
      <c r="K2477"/>
      <c r="L2477"/>
      <c r="M2477"/>
      <c r="N2477"/>
      <c r="O2477"/>
      <c r="P2477"/>
    </row>
    <row r="2478" spans="8:16" s="1" customFormat="1">
      <c r="H2478" s="185"/>
      <c r="I2478" s="185"/>
      <c r="J2478" s="185"/>
      <c r="K2478"/>
      <c r="L2478"/>
      <c r="M2478"/>
      <c r="N2478"/>
      <c r="O2478"/>
      <c r="P2478"/>
    </row>
    <row r="2479" spans="8:16" s="1" customFormat="1">
      <c r="H2479" s="185"/>
      <c r="I2479" s="185"/>
      <c r="J2479" s="185"/>
      <c r="K2479"/>
      <c r="L2479"/>
      <c r="M2479"/>
      <c r="N2479"/>
      <c r="O2479"/>
      <c r="P2479"/>
    </row>
    <row r="2480" spans="8:16" s="1" customFormat="1">
      <c r="H2480" s="185"/>
      <c r="I2480" s="185"/>
      <c r="J2480" s="185"/>
      <c r="K2480"/>
      <c r="L2480"/>
      <c r="M2480"/>
      <c r="N2480"/>
      <c r="O2480"/>
      <c r="P2480"/>
    </row>
    <row r="2481" spans="8:16" s="1" customFormat="1">
      <c r="H2481" s="185"/>
      <c r="I2481" s="185"/>
      <c r="J2481" s="185"/>
      <c r="K2481"/>
      <c r="L2481"/>
      <c r="M2481"/>
      <c r="N2481"/>
      <c r="O2481"/>
      <c r="P2481"/>
    </row>
    <row r="2482" spans="8:16" s="1" customFormat="1">
      <c r="H2482" s="185"/>
      <c r="I2482" s="185"/>
      <c r="J2482" s="185"/>
      <c r="K2482"/>
      <c r="L2482"/>
      <c r="M2482"/>
      <c r="N2482"/>
      <c r="O2482"/>
      <c r="P2482"/>
    </row>
    <row r="2483" spans="8:16" s="1" customFormat="1">
      <c r="H2483" s="185"/>
      <c r="I2483" s="185"/>
      <c r="J2483" s="185"/>
      <c r="K2483"/>
      <c r="L2483"/>
      <c r="M2483"/>
      <c r="N2483"/>
      <c r="O2483"/>
      <c r="P2483"/>
    </row>
    <row r="2484" spans="8:16" s="1" customFormat="1">
      <c r="H2484" s="185"/>
      <c r="I2484" s="185"/>
      <c r="J2484" s="185"/>
      <c r="K2484"/>
      <c r="L2484"/>
      <c r="M2484"/>
      <c r="N2484"/>
      <c r="O2484"/>
      <c r="P2484"/>
    </row>
    <row r="2485" spans="8:16" s="1" customFormat="1">
      <c r="H2485" s="185"/>
      <c r="I2485" s="185"/>
      <c r="J2485" s="185"/>
      <c r="K2485"/>
      <c r="L2485"/>
      <c r="M2485"/>
      <c r="N2485"/>
      <c r="O2485"/>
      <c r="P2485"/>
    </row>
    <row r="2486" spans="8:16" s="1" customFormat="1">
      <c r="H2486" s="185"/>
      <c r="I2486" s="185"/>
      <c r="J2486" s="185"/>
      <c r="K2486"/>
      <c r="L2486"/>
      <c r="M2486"/>
      <c r="N2486"/>
      <c r="O2486"/>
      <c r="P2486"/>
    </row>
    <row r="2487" spans="8:16" s="1" customFormat="1">
      <c r="H2487" s="185"/>
      <c r="I2487" s="185"/>
      <c r="J2487" s="185"/>
      <c r="K2487"/>
      <c r="L2487"/>
      <c r="M2487"/>
      <c r="N2487"/>
      <c r="O2487"/>
      <c r="P2487"/>
    </row>
    <row r="2488" spans="8:16" s="1" customFormat="1">
      <c r="H2488" s="185"/>
      <c r="I2488" s="185"/>
      <c r="J2488" s="185"/>
      <c r="K2488"/>
      <c r="L2488"/>
      <c r="M2488"/>
      <c r="N2488"/>
      <c r="O2488"/>
      <c r="P2488"/>
    </row>
    <row r="2489" spans="8:16" s="1" customFormat="1">
      <c r="H2489" s="185"/>
      <c r="I2489" s="185"/>
      <c r="J2489" s="185"/>
      <c r="K2489"/>
      <c r="L2489"/>
      <c r="M2489"/>
      <c r="N2489"/>
      <c r="O2489"/>
      <c r="P2489"/>
    </row>
    <row r="2490" spans="8:16" s="1" customFormat="1">
      <c r="H2490" s="185"/>
      <c r="I2490" s="185"/>
      <c r="J2490" s="185"/>
      <c r="K2490"/>
      <c r="L2490"/>
      <c r="M2490"/>
      <c r="N2490"/>
      <c r="O2490"/>
      <c r="P2490"/>
    </row>
    <row r="2491" spans="8:16" s="1" customFormat="1">
      <c r="H2491" s="185"/>
      <c r="I2491" s="185"/>
      <c r="J2491" s="185"/>
      <c r="K2491"/>
      <c r="L2491"/>
      <c r="M2491"/>
      <c r="N2491"/>
      <c r="O2491"/>
      <c r="P2491"/>
    </row>
    <row r="2492" spans="8:16" s="1" customFormat="1">
      <c r="H2492" s="185"/>
      <c r="I2492" s="185"/>
      <c r="J2492" s="185"/>
      <c r="K2492"/>
      <c r="L2492"/>
      <c r="M2492"/>
      <c r="N2492"/>
      <c r="O2492"/>
      <c r="P2492"/>
    </row>
    <row r="2493" spans="8:16" s="1" customFormat="1">
      <c r="H2493" s="185"/>
      <c r="I2493" s="185"/>
      <c r="J2493" s="185"/>
      <c r="K2493"/>
      <c r="L2493"/>
      <c r="M2493"/>
      <c r="N2493"/>
      <c r="O2493"/>
      <c r="P2493"/>
    </row>
    <row r="2494" spans="8:16" s="1" customFormat="1">
      <c r="H2494" s="185"/>
      <c r="I2494" s="185"/>
      <c r="J2494" s="185"/>
      <c r="K2494"/>
      <c r="L2494"/>
      <c r="M2494"/>
      <c r="N2494"/>
      <c r="O2494"/>
      <c r="P2494"/>
    </row>
    <row r="2495" spans="8:16" s="1" customFormat="1">
      <c r="H2495" s="185"/>
      <c r="I2495" s="185"/>
      <c r="J2495" s="185"/>
      <c r="K2495"/>
      <c r="L2495"/>
      <c r="M2495"/>
      <c r="N2495"/>
      <c r="O2495"/>
      <c r="P2495"/>
    </row>
    <row r="2496" spans="8:16" s="1" customFormat="1">
      <c r="H2496" s="185"/>
      <c r="I2496" s="185"/>
      <c r="J2496" s="185"/>
      <c r="K2496"/>
      <c r="L2496"/>
      <c r="M2496"/>
      <c r="N2496"/>
      <c r="O2496"/>
      <c r="P2496"/>
    </row>
    <row r="2497" spans="8:16" s="1" customFormat="1">
      <c r="H2497" s="185"/>
      <c r="I2497" s="185"/>
      <c r="J2497" s="185"/>
      <c r="K2497"/>
      <c r="L2497"/>
      <c r="M2497"/>
      <c r="N2497"/>
      <c r="O2497"/>
      <c r="P2497"/>
    </row>
    <row r="2498" spans="8:16" s="1" customFormat="1">
      <c r="H2498" s="185"/>
      <c r="I2498" s="185"/>
      <c r="J2498" s="185"/>
      <c r="K2498"/>
      <c r="L2498"/>
      <c r="M2498"/>
      <c r="N2498"/>
      <c r="O2498"/>
      <c r="P2498"/>
    </row>
    <row r="2499" spans="8:16" s="1" customFormat="1">
      <c r="H2499" s="185"/>
      <c r="I2499" s="185"/>
      <c r="J2499" s="185"/>
      <c r="K2499"/>
      <c r="L2499"/>
      <c r="M2499"/>
      <c r="N2499"/>
      <c r="O2499"/>
      <c r="P2499"/>
    </row>
    <row r="2500" spans="8:16" s="1" customFormat="1">
      <c r="H2500" s="185"/>
      <c r="I2500" s="185"/>
      <c r="J2500" s="185"/>
      <c r="K2500"/>
      <c r="L2500"/>
      <c r="M2500"/>
      <c r="N2500"/>
      <c r="O2500"/>
      <c r="P2500"/>
    </row>
    <row r="2501" spans="8:16" s="1" customFormat="1">
      <c r="H2501" s="185"/>
      <c r="I2501" s="185"/>
      <c r="J2501" s="185"/>
      <c r="K2501"/>
      <c r="L2501"/>
      <c r="M2501"/>
      <c r="N2501"/>
      <c r="O2501"/>
      <c r="P2501"/>
    </row>
    <row r="2502" spans="8:16" s="1" customFormat="1">
      <c r="H2502" s="185"/>
      <c r="I2502" s="185"/>
      <c r="J2502" s="185"/>
      <c r="K2502"/>
      <c r="L2502"/>
      <c r="M2502"/>
      <c r="N2502"/>
      <c r="O2502"/>
      <c r="P2502"/>
    </row>
    <row r="2503" spans="8:16" s="1" customFormat="1">
      <c r="H2503" s="185"/>
      <c r="I2503" s="185"/>
      <c r="J2503" s="185"/>
      <c r="K2503"/>
      <c r="L2503"/>
      <c r="M2503"/>
      <c r="N2503"/>
      <c r="O2503"/>
      <c r="P2503"/>
    </row>
    <row r="2504" spans="8:16" s="1" customFormat="1">
      <c r="H2504" s="185"/>
      <c r="I2504" s="185"/>
      <c r="J2504" s="185"/>
      <c r="K2504"/>
      <c r="L2504"/>
      <c r="M2504"/>
      <c r="N2504"/>
      <c r="O2504"/>
      <c r="P2504"/>
    </row>
    <row r="2505" spans="8:16" s="1" customFormat="1">
      <c r="H2505" s="185"/>
      <c r="I2505" s="185"/>
      <c r="J2505" s="185"/>
      <c r="K2505"/>
      <c r="L2505"/>
      <c r="M2505"/>
      <c r="N2505"/>
      <c r="O2505"/>
      <c r="P2505"/>
    </row>
    <row r="2506" spans="8:16" s="1" customFormat="1">
      <c r="H2506" s="185"/>
      <c r="I2506" s="185"/>
      <c r="J2506" s="185"/>
      <c r="K2506"/>
      <c r="L2506"/>
      <c r="M2506"/>
      <c r="N2506"/>
      <c r="O2506"/>
      <c r="P2506"/>
    </row>
    <row r="2507" spans="8:16" s="1" customFormat="1">
      <c r="H2507" s="185"/>
      <c r="I2507" s="185"/>
      <c r="J2507" s="185"/>
      <c r="K2507"/>
      <c r="L2507"/>
      <c r="M2507"/>
      <c r="N2507"/>
      <c r="O2507"/>
      <c r="P2507"/>
    </row>
    <row r="2508" spans="8:16" s="1" customFormat="1">
      <c r="H2508" s="185"/>
      <c r="I2508" s="185"/>
      <c r="J2508" s="185"/>
      <c r="K2508"/>
      <c r="L2508"/>
      <c r="M2508"/>
      <c r="N2508"/>
      <c r="O2508"/>
      <c r="P2508"/>
    </row>
    <row r="2509" spans="8:16" s="1" customFormat="1">
      <c r="H2509" s="185"/>
      <c r="I2509" s="185"/>
      <c r="J2509" s="185"/>
      <c r="K2509"/>
      <c r="L2509"/>
      <c r="M2509"/>
      <c r="N2509"/>
      <c r="O2509"/>
      <c r="P2509"/>
    </row>
    <row r="2510" spans="8:16" s="1" customFormat="1">
      <c r="H2510" s="185"/>
      <c r="I2510" s="185"/>
      <c r="J2510" s="185"/>
      <c r="K2510"/>
      <c r="L2510"/>
      <c r="M2510"/>
      <c r="N2510"/>
      <c r="O2510"/>
      <c r="P2510"/>
    </row>
    <row r="2511" spans="8:16" s="1" customFormat="1">
      <c r="H2511" s="185"/>
      <c r="I2511" s="185"/>
      <c r="J2511" s="185"/>
      <c r="K2511"/>
      <c r="L2511"/>
      <c r="M2511"/>
      <c r="N2511"/>
      <c r="O2511"/>
      <c r="P2511"/>
    </row>
    <row r="2512" spans="8:16" s="1" customFormat="1">
      <c r="H2512" s="185"/>
      <c r="I2512" s="185"/>
      <c r="J2512" s="185"/>
      <c r="K2512"/>
      <c r="L2512"/>
      <c r="M2512"/>
      <c r="N2512"/>
      <c r="O2512"/>
      <c r="P2512"/>
    </row>
    <row r="2513" spans="8:16" s="1" customFormat="1">
      <c r="H2513" s="185"/>
      <c r="I2513" s="185"/>
      <c r="J2513" s="185"/>
      <c r="K2513"/>
      <c r="L2513"/>
      <c r="M2513"/>
      <c r="N2513"/>
      <c r="O2513"/>
      <c r="P2513"/>
    </row>
    <row r="2514" spans="8:16" s="1" customFormat="1">
      <c r="H2514" s="185"/>
      <c r="I2514" s="185"/>
      <c r="J2514" s="185"/>
      <c r="K2514"/>
      <c r="L2514"/>
      <c r="M2514"/>
      <c r="N2514"/>
      <c r="O2514"/>
      <c r="P2514"/>
    </row>
    <row r="2515" spans="8:16" s="1" customFormat="1">
      <c r="H2515" s="185"/>
      <c r="I2515" s="185"/>
      <c r="J2515" s="185"/>
      <c r="K2515"/>
      <c r="L2515"/>
      <c r="M2515"/>
      <c r="N2515"/>
      <c r="O2515"/>
      <c r="P2515"/>
    </row>
    <row r="2516" spans="8:16" s="1" customFormat="1">
      <c r="H2516" s="185"/>
      <c r="I2516" s="185"/>
      <c r="J2516" s="185"/>
      <c r="K2516"/>
      <c r="L2516"/>
      <c r="M2516"/>
      <c r="N2516"/>
      <c r="O2516"/>
      <c r="P2516"/>
    </row>
    <row r="2517" spans="8:16" s="1" customFormat="1">
      <c r="H2517" s="185"/>
      <c r="I2517" s="185"/>
      <c r="J2517" s="185"/>
      <c r="K2517"/>
      <c r="L2517"/>
      <c r="M2517"/>
      <c r="N2517"/>
      <c r="O2517"/>
      <c r="P2517"/>
    </row>
    <row r="2518" spans="8:16" s="1" customFormat="1">
      <c r="H2518" s="185"/>
      <c r="I2518" s="185"/>
      <c r="J2518" s="185"/>
      <c r="K2518"/>
      <c r="L2518"/>
      <c r="M2518"/>
      <c r="N2518"/>
      <c r="O2518"/>
      <c r="P2518"/>
    </row>
    <row r="2519" spans="8:16" s="1" customFormat="1">
      <c r="H2519" s="185"/>
      <c r="I2519" s="185"/>
      <c r="J2519" s="185"/>
      <c r="K2519"/>
      <c r="L2519"/>
      <c r="M2519"/>
      <c r="N2519"/>
      <c r="O2519"/>
      <c r="P2519"/>
    </row>
    <row r="2520" spans="8:16" s="1" customFormat="1">
      <c r="H2520" s="185"/>
      <c r="I2520" s="185"/>
      <c r="J2520" s="185"/>
      <c r="K2520"/>
      <c r="L2520"/>
      <c r="M2520"/>
      <c r="N2520"/>
      <c r="O2520"/>
      <c r="P2520"/>
    </row>
    <row r="2521" spans="8:16" s="1" customFormat="1">
      <c r="H2521" s="185"/>
      <c r="I2521" s="185"/>
      <c r="J2521" s="185"/>
      <c r="K2521"/>
      <c r="L2521"/>
      <c r="M2521"/>
      <c r="N2521"/>
      <c r="O2521"/>
      <c r="P2521"/>
    </row>
    <row r="2522" spans="8:16" s="1" customFormat="1">
      <c r="H2522" s="185"/>
      <c r="I2522" s="185"/>
      <c r="J2522" s="185"/>
      <c r="K2522"/>
      <c r="L2522"/>
      <c r="M2522"/>
      <c r="N2522"/>
      <c r="O2522"/>
      <c r="P2522"/>
    </row>
    <row r="2523" spans="8:16" s="1" customFormat="1">
      <c r="H2523" s="185"/>
      <c r="I2523" s="185"/>
      <c r="J2523" s="185"/>
      <c r="K2523"/>
      <c r="L2523"/>
      <c r="M2523"/>
      <c r="N2523"/>
      <c r="O2523"/>
      <c r="P2523"/>
    </row>
    <row r="2524" spans="8:16" s="1" customFormat="1">
      <c r="H2524" s="185"/>
      <c r="I2524" s="185"/>
      <c r="J2524" s="185"/>
      <c r="K2524"/>
      <c r="L2524"/>
      <c r="M2524"/>
      <c r="N2524"/>
      <c r="O2524"/>
      <c r="P2524"/>
    </row>
    <row r="2525" spans="8:16" s="1" customFormat="1">
      <c r="H2525" s="185"/>
      <c r="I2525" s="185"/>
      <c r="J2525" s="185"/>
      <c r="K2525"/>
      <c r="L2525"/>
      <c r="M2525"/>
      <c r="N2525"/>
      <c r="O2525"/>
      <c r="P2525"/>
    </row>
    <row r="2526" spans="8:16" s="1" customFormat="1">
      <c r="H2526" s="185"/>
      <c r="I2526" s="185"/>
      <c r="J2526" s="185"/>
      <c r="K2526"/>
      <c r="L2526"/>
      <c r="M2526"/>
      <c r="N2526"/>
      <c r="O2526"/>
      <c r="P2526"/>
    </row>
    <row r="2527" spans="8:16" s="1" customFormat="1">
      <c r="H2527" s="185"/>
      <c r="I2527" s="185"/>
      <c r="J2527" s="185"/>
      <c r="K2527"/>
      <c r="L2527"/>
      <c r="M2527"/>
      <c r="N2527"/>
      <c r="O2527"/>
      <c r="P2527"/>
    </row>
    <row r="2528" spans="8:16" s="1" customFormat="1">
      <c r="H2528" s="185"/>
      <c r="I2528" s="185"/>
      <c r="J2528" s="185"/>
      <c r="K2528"/>
      <c r="L2528"/>
      <c r="M2528"/>
      <c r="N2528"/>
      <c r="O2528"/>
      <c r="P2528"/>
    </row>
    <row r="2529" spans="8:16" s="1" customFormat="1">
      <c r="H2529" s="185"/>
      <c r="I2529" s="185"/>
      <c r="J2529" s="185"/>
      <c r="K2529"/>
      <c r="L2529"/>
      <c r="M2529"/>
      <c r="N2529"/>
      <c r="O2529"/>
      <c r="P2529"/>
    </row>
    <row r="2530" spans="8:16" s="1" customFormat="1">
      <c r="H2530" s="185"/>
      <c r="I2530" s="185"/>
      <c r="J2530" s="185"/>
      <c r="K2530"/>
      <c r="L2530"/>
      <c r="M2530"/>
      <c r="N2530"/>
      <c r="O2530"/>
      <c r="P2530"/>
    </row>
    <row r="2531" spans="8:16" s="1" customFormat="1">
      <c r="H2531" s="185"/>
      <c r="I2531" s="185"/>
      <c r="J2531" s="185"/>
      <c r="K2531"/>
      <c r="L2531"/>
      <c r="M2531"/>
      <c r="N2531"/>
      <c r="O2531"/>
      <c r="P2531"/>
    </row>
    <row r="2532" spans="8:16" s="1" customFormat="1">
      <c r="H2532" s="185"/>
      <c r="I2532" s="185"/>
      <c r="J2532" s="185"/>
      <c r="K2532"/>
      <c r="L2532"/>
      <c r="M2532"/>
      <c r="N2532"/>
      <c r="O2532"/>
      <c r="P2532"/>
    </row>
    <row r="2533" spans="8:16" s="1" customFormat="1">
      <c r="H2533" s="185"/>
      <c r="I2533" s="185"/>
      <c r="J2533" s="185"/>
      <c r="K2533"/>
      <c r="L2533"/>
      <c r="M2533"/>
      <c r="N2533"/>
      <c r="O2533"/>
      <c r="P2533"/>
    </row>
    <row r="2534" spans="8:16" s="1" customFormat="1">
      <c r="H2534" s="185"/>
      <c r="I2534" s="185"/>
      <c r="J2534" s="185"/>
      <c r="K2534"/>
      <c r="L2534"/>
      <c r="M2534"/>
      <c r="N2534"/>
      <c r="O2534"/>
      <c r="P2534"/>
    </row>
    <row r="2535" spans="8:16" s="1" customFormat="1">
      <c r="H2535" s="185"/>
      <c r="I2535" s="185"/>
      <c r="J2535" s="185"/>
      <c r="K2535"/>
      <c r="L2535"/>
      <c r="M2535"/>
      <c r="N2535"/>
      <c r="O2535"/>
      <c r="P2535"/>
    </row>
    <row r="2536" spans="8:16" s="1" customFormat="1">
      <c r="H2536" s="185"/>
      <c r="I2536" s="185"/>
      <c r="J2536" s="185"/>
      <c r="K2536"/>
      <c r="L2536"/>
      <c r="M2536"/>
      <c r="N2536"/>
      <c r="O2536"/>
      <c r="P2536"/>
    </row>
    <row r="2537" spans="8:16" s="1" customFormat="1">
      <c r="H2537" s="185"/>
      <c r="I2537" s="185"/>
      <c r="J2537" s="185"/>
      <c r="K2537"/>
      <c r="L2537"/>
      <c r="M2537"/>
      <c r="N2537"/>
      <c r="O2537"/>
      <c r="P2537"/>
    </row>
    <row r="2538" spans="8:16" s="1" customFormat="1">
      <c r="H2538" s="185"/>
      <c r="I2538" s="185"/>
      <c r="J2538" s="185"/>
      <c r="K2538"/>
      <c r="L2538"/>
      <c r="M2538"/>
      <c r="N2538"/>
      <c r="O2538"/>
      <c r="P2538"/>
    </row>
    <row r="2539" spans="8:16" s="1" customFormat="1">
      <c r="H2539" s="185"/>
      <c r="I2539" s="185"/>
      <c r="J2539" s="185"/>
      <c r="K2539"/>
      <c r="L2539"/>
      <c r="M2539"/>
      <c r="N2539"/>
      <c r="O2539"/>
      <c r="P2539"/>
    </row>
    <row r="2540" spans="8:16" s="1" customFormat="1">
      <c r="H2540" s="185"/>
      <c r="I2540" s="185"/>
      <c r="J2540" s="185"/>
      <c r="K2540"/>
      <c r="L2540"/>
      <c r="M2540"/>
      <c r="N2540"/>
      <c r="O2540"/>
      <c r="P2540"/>
    </row>
    <row r="2541" spans="8:16" s="1" customFormat="1">
      <c r="H2541" s="185"/>
      <c r="I2541" s="185"/>
      <c r="J2541" s="185"/>
      <c r="K2541"/>
      <c r="L2541"/>
      <c r="M2541"/>
      <c r="N2541"/>
      <c r="O2541"/>
      <c r="P2541"/>
    </row>
    <row r="2542" spans="8:16" s="1" customFormat="1">
      <c r="H2542" s="185"/>
      <c r="I2542" s="185"/>
      <c r="J2542" s="185"/>
      <c r="K2542"/>
      <c r="L2542"/>
      <c r="M2542"/>
      <c r="N2542"/>
      <c r="O2542"/>
      <c r="P2542"/>
    </row>
    <row r="2543" spans="8:16" s="1" customFormat="1">
      <c r="H2543" s="185"/>
      <c r="I2543" s="185"/>
      <c r="J2543" s="185"/>
      <c r="K2543"/>
      <c r="L2543"/>
      <c r="M2543"/>
      <c r="N2543"/>
      <c r="O2543"/>
      <c r="P2543"/>
    </row>
    <row r="2544" spans="8:16" s="1" customFormat="1">
      <c r="H2544" s="185"/>
      <c r="I2544" s="185"/>
      <c r="J2544" s="185"/>
      <c r="K2544"/>
      <c r="L2544"/>
      <c r="M2544"/>
      <c r="N2544"/>
      <c r="O2544"/>
      <c r="P2544"/>
    </row>
    <row r="2545" spans="8:16" s="1" customFormat="1">
      <c r="H2545" s="185"/>
      <c r="I2545" s="185"/>
      <c r="J2545" s="185"/>
      <c r="K2545"/>
      <c r="L2545"/>
      <c r="M2545"/>
      <c r="N2545"/>
      <c r="O2545"/>
      <c r="P2545"/>
    </row>
    <row r="2546" spans="8:16" s="1" customFormat="1">
      <c r="H2546" s="185"/>
      <c r="I2546" s="185"/>
      <c r="J2546" s="185"/>
      <c r="K2546"/>
      <c r="L2546"/>
      <c r="M2546"/>
      <c r="N2546"/>
      <c r="O2546"/>
      <c r="P2546"/>
    </row>
    <row r="2547" spans="8:16" s="1" customFormat="1">
      <c r="H2547" s="185"/>
      <c r="I2547" s="185"/>
      <c r="J2547" s="185"/>
      <c r="K2547"/>
      <c r="L2547"/>
      <c r="M2547"/>
      <c r="N2547"/>
      <c r="O2547"/>
      <c r="P2547"/>
    </row>
    <row r="2548" spans="8:16" s="1" customFormat="1">
      <c r="H2548" s="185"/>
      <c r="I2548" s="185"/>
      <c r="J2548" s="185"/>
      <c r="K2548"/>
      <c r="L2548"/>
      <c r="M2548"/>
      <c r="N2548"/>
      <c r="O2548"/>
      <c r="P2548"/>
    </row>
    <row r="2549" spans="8:16" s="1" customFormat="1">
      <c r="H2549" s="185"/>
      <c r="I2549" s="185"/>
      <c r="J2549" s="185"/>
      <c r="K2549"/>
      <c r="L2549"/>
      <c r="M2549"/>
      <c r="N2549"/>
      <c r="O2549"/>
      <c r="P2549"/>
    </row>
    <row r="2550" spans="8:16" s="1" customFormat="1">
      <c r="H2550" s="185"/>
      <c r="I2550" s="185"/>
      <c r="J2550" s="185"/>
      <c r="K2550"/>
      <c r="L2550"/>
      <c r="M2550"/>
      <c r="N2550"/>
      <c r="O2550"/>
      <c r="P2550"/>
    </row>
    <row r="2551" spans="8:16" s="1" customFormat="1">
      <c r="H2551" s="185"/>
      <c r="I2551" s="185"/>
      <c r="J2551" s="185"/>
      <c r="K2551"/>
      <c r="L2551"/>
      <c r="M2551"/>
      <c r="N2551"/>
      <c r="O2551"/>
      <c r="P2551"/>
    </row>
    <row r="2552" spans="8:16" s="1" customFormat="1">
      <c r="H2552" s="185"/>
      <c r="I2552" s="185"/>
      <c r="J2552" s="185"/>
      <c r="K2552"/>
      <c r="L2552"/>
      <c r="M2552"/>
      <c r="N2552"/>
      <c r="O2552"/>
      <c r="P2552"/>
    </row>
    <row r="2553" spans="8:16" s="1" customFormat="1">
      <c r="H2553" s="185"/>
      <c r="I2553" s="185"/>
      <c r="J2553" s="185"/>
      <c r="K2553"/>
      <c r="L2553"/>
      <c r="M2553"/>
      <c r="N2553"/>
      <c r="O2553"/>
      <c r="P2553"/>
    </row>
    <row r="2554" spans="8:16" s="1" customFormat="1">
      <c r="H2554" s="185"/>
      <c r="I2554" s="185"/>
      <c r="J2554" s="185"/>
      <c r="K2554"/>
      <c r="L2554"/>
      <c r="M2554"/>
      <c r="N2554"/>
      <c r="O2554"/>
      <c r="P2554"/>
    </row>
    <row r="2555" spans="8:16" s="1" customFormat="1">
      <c r="H2555" s="185"/>
      <c r="I2555" s="185"/>
      <c r="J2555" s="185"/>
      <c r="K2555"/>
      <c r="L2555"/>
      <c r="M2555"/>
      <c r="N2555"/>
      <c r="O2555"/>
      <c r="P2555"/>
    </row>
    <row r="2556" spans="8:16" s="1" customFormat="1">
      <c r="H2556" s="185"/>
      <c r="I2556" s="185"/>
      <c r="J2556" s="185"/>
      <c r="K2556"/>
      <c r="L2556"/>
      <c r="M2556"/>
      <c r="N2556"/>
      <c r="O2556"/>
      <c r="P2556"/>
    </row>
    <row r="2557" spans="8:16" s="1" customFormat="1">
      <c r="H2557" s="185"/>
      <c r="I2557" s="185"/>
      <c r="J2557" s="185"/>
      <c r="K2557"/>
      <c r="L2557"/>
      <c r="M2557"/>
      <c r="N2557"/>
      <c r="O2557"/>
      <c r="P2557"/>
    </row>
    <row r="2558" spans="8:16" s="1" customFormat="1">
      <c r="H2558" s="185"/>
      <c r="I2558" s="185"/>
      <c r="J2558" s="185"/>
      <c r="K2558"/>
      <c r="L2558"/>
      <c r="M2558"/>
      <c r="N2558"/>
      <c r="O2558"/>
      <c r="P2558"/>
    </row>
    <row r="2559" spans="8:16" s="1" customFormat="1">
      <c r="H2559" s="185"/>
      <c r="I2559" s="185"/>
      <c r="J2559" s="185"/>
      <c r="K2559"/>
      <c r="L2559"/>
      <c r="M2559"/>
      <c r="N2559"/>
      <c r="O2559"/>
      <c r="P2559"/>
    </row>
    <row r="2560" spans="8:16" s="1" customFormat="1">
      <c r="H2560" s="185"/>
      <c r="I2560" s="185"/>
      <c r="J2560" s="185"/>
      <c r="K2560"/>
      <c r="L2560"/>
      <c r="M2560"/>
      <c r="N2560"/>
      <c r="O2560"/>
      <c r="P2560"/>
    </row>
    <row r="2561" spans="8:16" s="1" customFormat="1">
      <c r="H2561" s="185"/>
      <c r="I2561" s="185"/>
      <c r="J2561" s="185"/>
      <c r="K2561"/>
      <c r="L2561"/>
      <c r="M2561"/>
      <c r="N2561"/>
      <c r="O2561"/>
      <c r="P2561"/>
    </row>
    <row r="2562" spans="8:16" s="1" customFormat="1">
      <c r="H2562" s="185"/>
      <c r="I2562" s="185"/>
      <c r="J2562" s="185"/>
      <c r="K2562"/>
      <c r="L2562"/>
      <c r="M2562"/>
      <c r="N2562"/>
      <c r="O2562"/>
      <c r="P2562"/>
    </row>
    <row r="2563" spans="8:16" s="1" customFormat="1">
      <c r="H2563" s="185"/>
      <c r="I2563" s="185"/>
      <c r="J2563" s="185"/>
      <c r="K2563"/>
      <c r="L2563"/>
      <c r="M2563"/>
      <c r="N2563"/>
      <c r="O2563"/>
      <c r="P2563"/>
    </row>
    <row r="2564" spans="8:16" s="1" customFormat="1">
      <c r="H2564" s="185"/>
      <c r="I2564" s="185"/>
      <c r="J2564" s="185"/>
      <c r="K2564"/>
      <c r="L2564"/>
      <c r="M2564"/>
      <c r="N2564"/>
      <c r="O2564"/>
      <c r="P2564"/>
    </row>
    <row r="2565" spans="8:16" s="1" customFormat="1">
      <c r="H2565" s="185"/>
      <c r="I2565" s="185"/>
      <c r="J2565" s="185"/>
      <c r="K2565"/>
      <c r="L2565"/>
      <c r="M2565"/>
      <c r="N2565"/>
      <c r="O2565"/>
      <c r="P2565"/>
    </row>
    <row r="2566" spans="8:16" s="1" customFormat="1">
      <c r="H2566" s="185"/>
      <c r="I2566" s="185"/>
      <c r="J2566" s="185"/>
      <c r="K2566"/>
      <c r="L2566"/>
      <c r="M2566"/>
      <c r="N2566"/>
      <c r="O2566"/>
      <c r="P2566"/>
    </row>
    <row r="2567" spans="8:16" s="1" customFormat="1">
      <c r="H2567" s="185"/>
      <c r="I2567" s="185"/>
      <c r="J2567" s="185"/>
      <c r="K2567"/>
      <c r="L2567"/>
      <c r="M2567"/>
      <c r="N2567"/>
      <c r="O2567"/>
      <c r="P2567"/>
    </row>
    <row r="2568" spans="8:16" s="1" customFormat="1">
      <c r="H2568" s="185"/>
      <c r="I2568" s="185"/>
      <c r="J2568" s="185"/>
      <c r="K2568"/>
      <c r="L2568"/>
      <c r="M2568"/>
      <c r="N2568"/>
      <c r="O2568"/>
      <c r="P2568"/>
    </row>
    <row r="2569" spans="8:16" s="1" customFormat="1">
      <c r="H2569" s="185"/>
      <c r="I2569" s="185"/>
      <c r="J2569" s="185"/>
      <c r="K2569"/>
      <c r="L2569"/>
      <c r="M2569"/>
      <c r="N2569"/>
      <c r="O2569"/>
      <c r="P2569"/>
    </row>
    <row r="2570" spans="8:16" s="1" customFormat="1">
      <c r="H2570" s="185"/>
      <c r="I2570" s="185"/>
      <c r="J2570" s="185"/>
      <c r="K2570"/>
      <c r="L2570"/>
      <c r="M2570"/>
      <c r="N2570"/>
      <c r="O2570"/>
      <c r="P2570"/>
    </row>
    <row r="2571" spans="8:16" s="1" customFormat="1">
      <c r="H2571" s="185"/>
      <c r="I2571" s="185"/>
      <c r="J2571" s="185"/>
      <c r="K2571"/>
      <c r="L2571"/>
      <c r="M2571"/>
      <c r="N2571"/>
      <c r="O2571"/>
      <c r="P2571"/>
    </row>
    <row r="2572" spans="8:16" s="1" customFormat="1">
      <c r="H2572" s="185"/>
      <c r="I2572" s="185"/>
      <c r="J2572" s="185"/>
      <c r="K2572"/>
      <c r="L2572"/>
      <c r="M2572"/>
      <c r="N2572"/>
      <c r="O2572"/>
      <c r="P2572"/>
    </row>
    <row r="2573" spans="8:16" s="1" customFormat="1">
      <c r="H2573" s="185"/>
      <c r="I2573" s="185"/>
      <c r="J2573" s="185"/>
      <c r="K2573"/>
      <c r="L2573"/>
      <c r="M2573"/>
      <c r="N2573"/>
      <c r="O2573"/>
      <c r="P2573"/>
    </row>
    <row r="2574" spans="8:16" s="1" customFormat="1">
      <c r="H2574" s="185"/>
      <c r="I2574" s="185"/>
      <c r="J2574" s="185"/>
      <c r="K2574"/>
      <c r="L2574"/>
      <c r="M2574"/>
      <c r="N2574"/>
      <c r="O2574"/>
      <c r="P2574"/>
    </row>
    <row r="2575" spans="8:16" s="1" customFormat="1">
      <c r="H2575" s="185"/>
      <c r="I2575" s="185"/>
      <c r="J2575" s="185"/>
      <c r="K2575"/>
      <c r="L2575"/>
      <c r="M2575"/>
      <c r="N2575"/>
      <c r="O2575"/>
      <c r="P2575"/>
    </row>
    <row r="2576" spans="8:16" s="1" customFormat="1">
      <c r="H2576" s="185"/>
      <c r="I2576" s="185"/>
      <c r="J2576" s="185"/>
      <c r="K2576"/>
      <c r="L2576"/>
      <c r="M2576"/>
      <c r="N2576"/>
      <c r="O2576"/>
      <c r="P2576"/>
    </row>
    <row r="2577" spans="8:16" s="1" customFormat="1">
      <c r="H2577" s="185"/>
      <c r="I2577" s="185"/>
      <c r="J2577" s="185"/>
      <c r="K2577"/>
      <c r="L2577"/>
      <c r="M2577"/>
      <c r="N2577"/>
      <c r="O2577"/>
      <c r="P2577"/>
    </row>
    <row r="2578" spans="8:16" s="1" customFormat="1">
      <c r="H2578" s="185"/>
      <c r="I2578" s="185"/>
      <c r="J2578" s="185"/>
      <c r="K2578"/>
      <c r="L2578"/>
      <c r="M2578"/>
      <c r="N2578"/>
      <c r="O2578"/>
      <c r="P2578"/>
    </row>
    <row r="2579" spans="8:16" s="1" customFormat="1">
      <c r="H2579" s="185"/>
      <c r="I2579" s="185"/>
      <c r="J2579" s="185"/>
      <c r="K2579"/>
      <c r="L2579"/>
      <c r="M2579"/>
      <c r="N2579"/>
      <c r="O2579"/>
      <c r="P2579"/>
    </row>
    <row r="2580" spans="8:16" s="1" customFormat="1">
      <c r="H2580" s="185"/>
      <c r="I2580" s="185"/>
      <c r="J2580" s="185"/>
      <c r="K2580"/>
      <c r="L2580"/>
      <c r="M2580"/>
      <c r="N2580"/>
      <c r="O2580"/>
      <c r="P2580"/>
    </row>
    <row r="2581" spans="8:16" s="1" customFormat="1">
      <c r="H2581" s="185"/>
      <c r="I2581" s="185"/>
      <c r="J2581" s="185"/>
      <c r="K2581"/>
      <c r="L2581"/>
      <c r="M2581"/>
      <c r="N2581"/>
      <c r="O2581"/>
      <c r="P2581"/>
    </row>
    <row r="2582" spans="8:16" s="1" customFormat="1">
      <c r="H2582" s="185"/>
      <c r="I2582" s="185"/>
      <c r="J2582" s="185"/>
      <c r="K2582"/>
      <c r="L2582"/>
      <c r="M2582"/>
      <c r="N2582"/>
      <c r="O2582"/>
      <c r="P2582"/>
    </row>
    <row r="2583" spans="8:16" s="1" customFormat="1">
      <c r="H2583" s="185"/>
      <c r="I2583" s="185"/>
      <c r="J2583" s="185"/>
      <c r="K2583"/>
      <c r="L2583"/>
      <c r="M2583"/>
      <c r="N2583"/>
      <c r="O2583"/>
      <c r="P2583"/>
    </row>
    <row r="2584" spans="8:16" s="1" customFormat="1">
      <c r="H2584" s="185"/>
      <c r="I2584" s="185"/>
      <c r="J2584" s="185"/>
      <c r="K2584"/>
      <c r="L2584"/>
      <c r="M2584"/>
      <c r="N2584"/>
      <c r="O2584"/>
      <c r="P2584"/>
    </row>
    <row r="2585" spans="8:16" s="1" customFormat="1">
      <c r="H2585" s="185"/>
      <c r="I2585" s="185"/>
      <c r="J2585" s="185"/>
      <c r="K2585"/>
      <c r="L2585"/>
      <c r="M2585"/>
      <c r="N2585"/>
      <c r="O2585"/>
      <c r="P2585"/>
    </row>
    <row r="2586" spans="8:16" s="1" customFormat="1">
      <c r="H2586" s="185"/>
      <c r="I2586" s="185"/>
      <c r="J2586" s="185"/>
      <c r="K2586"/>
      <c r="L2586"/>
      <c r="M2586"/>
      <c r="N2586"/>
      <c r="O2586"/>
      <c r="P2586"/>
    </row>
    <row r="2587" spans="8:16" s="1" customFormat="1">
      <c r="H2587" s="185"/>
      <c r="I2587" s="185"/>
      <c r="J2587" s="185"/>
      <c r="K2587"/>
      <c r="L2587"/>
      <c r="M2587"/>
      <c r="N2587"/>
      <c r="O2587"/>
      <c r="P2587"/>
    </row>
    <row r="2588" spans="8:16" s="1" customFormat="1">
      <c r="H2588" s="185"/>
      <c r="I2588" s="185"/>
      <c r="J2588" s="185"/>
      <c r="K2588"/>
      <c r="L2588"/>
      <c r="M2588"/>
      <c r="N2588"/>
      <c r="O2588"/>
      <c r="P2588"/>
    </row>
    <row r="2589" spans="8:16" s="1" customFormat="1">
      <c r="H2589" s="185"/>
      <c r="I2589" s="185"/>
      <c r="J2589" s="185"/>
      <c r="K2589"/>
      <c r="L2589"/>
      <c r="M2589"/>
      <c r="N2589"/>
      <c r="O2589"/>
      <c r="P2589"/>
    </row>
    <row r="2590" spans="8:16" s="1" customFormat="1">
      <c r="H2590" s="185"/>
      <c r="I2590" s="185"/>
      <c r="J2590" s="185"/>
      <c r="K2590"/>
      <c r="L2590"/>
      <c r="M2590"/>
      <c r="N2590"/>
      <c r="O2590"/>
      <c r="P2590"/>
    </row>
    <row r="2591" spans="8:16" s="1" customFormat="1">
      <c r="H2591" s="185"/>
      <c r="I2591" s="185"/>
      <c r="J2591" s="185"/>
      <c r="K2591"/>
      <c r="L2591"/>
      <c r="M2591"/>
      <c r="N2591"/>
      <c r="O2591"/>
      <c r="P2591"/>
    </row>
    <row r="2592" spans="8:16" s="1" customFormat="1">
      <c r="H2592" s="185"/>
      <c r="I2592" s="185"/>
      <c r="J2592" s="185"/>
      <c r="K2592"/>
      <c r="L2592"/>
      <c r="M2592"/>
      <c r="N2592"/>
      <c r="O2592"/>
      <c r="P2592"/>
    </row>
    <row r="2593" spans="8:16" s="1" customFormat="1">
      <c r="H2593" s="185"/>
      <c r="I2593" s="185"/>
      <c r="J2593" s="185"/>
      <c r="K2593"/>
      <c r="L2593"/>
      <c r="M2593"/>
      <c r="N2593"/>
      <c r="O2593"/>
      <c r="P2593"/>
    </row>
    <row r="2594" spans="8:16" s="1" customFormat="1">
      <c r="H2594" s="185"/>
      <c r="I2594" s="185"/>
      <c r="J2594" s="185"/>
      <c r="K2594"/>
      <c r="L2594"/>
      <c r="M2594"/>
      <c r="N2594"/>
      <c r="O2594"/>
      <c r="P2594"/>
    </row>
    <row r="2595" spans="8:16" s="1" customFormat="1">
      <c r="H2595" s="185"/>
      <c r="I2595" s="185"/>
      <c r="J2595" s="185"/>
      <c r="K2595"/>
      <c r="L2595"/>
      <c r="M2595"/>
      <c r="N2595"/>
      <c r="O2595"/>
      <c r="P2595"/>
    </row>
    <row r="2596" spans="8:16" s="1" customFormat="1">
      <c r="H2596" s="185"/>
      <c r="I2596" s="185"/>
      <c r="J2596" s="185"/>
      <c r="K2596"/>
      <c r="L2596"/>
      <c r="M2596"/>
      <c r="N2596"/>
      <c r="O2596"/>
      <c r="P2596"/>
    </row>
    <row r="2597" spans="8:16" s="1" customFormat="1">
      <c r="H2597" s="185"/>
      <c r="I2597" s="185"/>
      <c r="J2597" s="185"/>
      <c r="K2597"/>
      <c r="L2597"/>
      <c r="M2597"/>
      <c r="N2597"/>
      <c r="O2597"/>
      <c r="P2597"/>
    </row>
    <row r="2598" spans="8:16" s="1" customFormat="1">
      <c r="H2598" s="185"/>
      <c r="I2598" s="185"/>
      <c r="J2598" s="185"/>
      <c r="K2598"/>
      <c r="L2598"/>
      <c r="M2598"/>
      <c r="N2598"/>
      <c r="O2598"/>
      <c r="P2598"/>
    </row>
    <row r="2599" spans="8:16" s="1" customFormat="1">
      <c r="H2599" s="185"/>
      <c r="I2599" s="185"/>
      <c r="J2599" s="185"/>
      <c r="K2599"/>
      <c r="L2599"/>
      <c r="M2599"/>
      <c r="N2599"/>
      <c r="O2599"/>
      <c r="P2599"/>
    </row>
    <row r="2600" spans="8:16" s="1" customFormat="1">
      <c r="H2600" s="185"/>
      <c r="I2600" s="185"/>
      <c r="J2600" s="185"/>
      <c r="K2600"/>
      <c r="L2600"/>
      <c r="M2600"/>
      <c r="N2600"/>
      <c r="O2600"/>
      <c r="P2600"/>
    </row>
    <row r="2601" spans="8:16" s="1" customFormat="1">
      <c r="H2601" s="185"/>
      <c r="I2601" s="185"/>
      <c r="J2601" s="185"/>
      <c r="K2601"/>
      <c r="L2601"/>
      <c r="M2601"/>
      <c r="N2601"/>
      <c r="O2601"/>
      <c r="P2601"/>
    </row>
    <row r="2602" spans="8:16" s="1" customFormat="1">
      <c r="H2602" s="185"/>
      <c r="I2602" s="185"/>
      <c r="J2602" s="185"/>
      <c r="K2602"/>
      <c r="L2602"/>
      <c r="M2602"/>
      <c r="N2602"/>
      <c r="O2602"/>
      <c r="P2602"/>
    </row>
    <row r="2603" spans="8:16" s="1" customFormat="1">
      <c r="H2603" s="185"/>
      <c r="I2603" s="185"/>
      <c r="J2603" s="185"/>
      <c r="K2603"/>
      <c r="L2603"/>
      <c r="M2603"/>
      <c r="N2603"/>
      <c r="O2603"/>
      <c r="P2603"/>
    </row>
    <row r="2604" spans="8:16" s="1" customFormat="1">
      <c r="H2604" s="185"/>
      <c r="I2604" s="185"/>
      <c r="J2604" s="185"/>
      <c r="K2604"/>
      <c r="L2604"/>
      <c r="M2604"/>
      <c r="N2604"/>
      <c r="O2604"/>
      <c r="P2604"/>
    </row>
    <row r="2605" spans="8:16" s="1" customFormat="1">
      <c r="H2605" s="185"/>
      <c r="I2605" s="185"/>
      <c r="J2605" s="185"/>
      <c r="K2605"/>
      <c r="L2605"/>
      <c r="M2605"/>
      <c r="N2605"/>
      <c r="O2605"/>
      <c r="P2605"/>
    </row>
    <row r="2606" spans="8:16" s="1" customFormat="1">
      <c r="H2606" s="185"/>
      <c r="I2606" s="185"/>
      <c r="J2606" s="185"/>
      <c r="K2606"/>
      <c r="L2606"/>
      <c r="M2606"/>
      <c r="N2606"/>
      <c r="O2606"/>
      <c r="P2606"/>
    </row>
    <row r="2607" spans="8:16" s="1" customFormat="1">
      <c r="H2607" s="185"/>
      <c r="I2607" s="185"/>
      <c r="J2607" s="185"/>
      <c r="K2607"/>
      <c r="L2607"/>
      <c r="M2607"/>
      <c r="N2607"/>
      <c r="O2607"/>
      <c r="P2607"/>
    </row>
    <row r="2608" spans="8:16" s="1" customFormat="1">
      <c r="H2608" s="185"/>
      <c r="I2608" s="185"/>
      <c r="J2608" s="185"/>
      <c r="K2608"/>
      <c r="L2608"/>
      <c r="M2608"/>
      <c r="N2608"/>
      <c r="O2608"/>
      <c r="P2608"/>
    </row>
    <row r="2609" spans="8:16" s="1" customFormat="1">
      <c r="H2609" s="185"/>
      <c r="I2609" s="185"/>
      <c r="J2609" s="185"/>
      <c r="K2609"/>
      <c r="L2609"/>
      <c r="M2609"/>
      <c r="N2609"/>
      <c r="O2609"/>
      <c r="P2609"/>
    </row>
    <row r="2610" spans="8:16" s="1" customFormat="1">
      <c r="H2610" s="185"/>
      <c r="I2610" s="185"/>
      <c r="J2610" s="185"/>
      <c r="K2610"/>
      <c r="L2610"/>
      <c r="M2610"/>
      <c r="N2610"/>
      <c r="O2610"/>
      <c r="P2610"/>
    </row>
    <row r="2611" spans="8:16" s="1" customFormat="1">
      <c r="H2611" s="185"/>
      <c r="I2611" s="185"/>
      <c r="J2611" s="185"/>
      <c r="K2611"/>
      <c r="L2611"/>
      <c r="M2611"/>
      <c r="N2611"/>
      <c r="O2611"/>
      <c r="P2611"/>
    </row>
    <row r="2612" spans="8:16" s="1" customFormat="1">
      <c r="H2612" s="185"/>
      <c r="I2612" s="185"/>
      <c r="J2612" s="185"/>
      <c r="K2612"/>
      <c r="L2612"/>
      <c r="M2612"/>
      <c r="N2612"/>
      <c r="O2612"/>
      <c r="P2612"/>
    </row>
    <row r="2613" spans="8:16" s="1" customFormat="1">
      <c r="H2613" s="185"/>
      <c r="I2613" s="185"/>
      <c r="J2613" s="185"/>
      <c r="K2613"/>
      <c r="L2613"/>
      <c r="M2613"/>
      <c r="N2613"/>
      <c r="O2613"/>
      <c r="P2613"/>
    </row>
    <row r="2614" spans="8:16" s="1" customFormat="1">
      <c r="H2614" s="185"/>
      <c r="I2614" s="185"/>
      <c r="J2614" s="185"/>
      <c r="K2614"/>
      <c r="L2614"/>
      <c r="M2614"/>
      <c r="N2614"/>
      <c r="O2614"/>
      <c r="P2614"/>
    </row>
    <row r="2615" spans="8:16" s="1" customFormat="1">
      <c r="H2615" s="185"/>
      <c r="I2615" s="185"/>
      <c r="J2615" s="185"/>
      <c r="K2615"/>
      <c r="L2615"/>
      <c r="M2615"/>
      <c r="N2615"/>
      <c r="O2615"/>
      <c r="P2615"/>
    </row>
    <row r="2616" spans="8:16" s="1" customFormat="1">
      <c r="H2616" s="185"/>
      <c r="I2616" s="185"/>
      <c r="J2616" s="185"/>
      <c r="K2616"/>
      <c r="L2616"/>
      <c r="M2616"/>
      <c r="N2616"/>
      <c r="O2616"/>
      <c r="P2616"/>
    </row>
    <row r="2617" spans="8:16" s="1" customFormat="1">
      <c r="H2617" s="185"/>
      <c r="I2617" s="185"/>
      <c r="J2617" s="185"/>
      <c r="K2617"/>
      <c r="L2617"/>
      <c r="M2617"/>
      <c r="N2617"/>
      <c r="O2617"/>
      <c r="P2617"/>
    </row>
    <row r="2618" spans="8:16" s="1" customFormat="1">
      <c r="H2618" s="185"/>
      <c r="I2618" s="185"/>
      <c r="J2618" s="185"/>
      <c r="K2618"/>
      <c r="L2618"/>
      <c r="M2618"/>
      <c r="N2618"/>
      <c r="O2618"/>
      <c r="P2618"/>
    </row>
    <row r="2619" spans="8:16" s="1" customFormat="1">
      <c r="H2619" s="185"/>
      <c r="I2619" s="185"/>
      <c r="J2619" s="185"/>
      <c r="K2619"/>
      <c r="L2619"/>
      <c r="M2619"/>
      <c r="N2619"/>
      <c r="O2619"/>
      <c r="P2619"/>
    </row>
    <row r="2620" spans="8:16" s="1" customFormat="1">
      <c r="H2620" s="185"/>
      <c r="I2620" s="185"/>
      <c r="J2620" s="185"/>
      <c r="K2620"/>
      <c r="L2620"/>
      <c r="M2620"/>
      <c r="N2620"/>
      <c r="O2620"/>
      <c r="P2620"/>
    </row>
    <row r="2621" spans="8:16" s="1" customFormat="1">
      <c r="H2621" s="185"/>
      <c r="I2621" s="185"/>
      <c r="J2621" s="185"/>
      <c r="K2621"/>
      <c r="L2621"/>
      <c r="M2621"/>
      <c r="N2621"/>
      <c r="O2621"/>
      <c r="P2621"/>
    </row>
    <row r="2622" spans="8:16" s="1" customFormat="1">
      <c r="H2622" s="185"/>
      <c r="I2622" s="185"/>
      <c r="J2622" s="185"/>
      <c r="K2622"/>
      <c r="L2622"/>
      <c r="M2622"/>
      <c r="N2622"/>
      <c r="O2622"/>
      <c r="P2622"/>
    </row>
    <row r="2623" spans="8:16" s="1" customFormat="1">
      <c r="H2623" s="185"/>
      <c r="I2623" s="185"/>
      <c r="J2623" s="185"/>
      <c r="K2623"/>
      <c r="L2623"/>
      <c r="M2623"/>
      <c r="N2623"/>
      <c r="O2623"/>
      <c r="P2623"/>
    </row>
    <row r="2624" spans="8:16" s="1" customFormat="1">
      <c r="H2624" s="185"/>
      <c r="I2624" s="185"/>
      <c r="J2624" s="185"/>
      <c r="K2624"/>
      <c r="L2624"/>
      <c r="M2624"/>
      <c r="N2624"/>
      <c r="O2624"/>
      <c r="P2624"/>
    </row>
    <row r="2625" spans="8:16" s="1" customFormat="1">
      <c r="H2625" s="185"/>
      <c r="I2625" s="185"/>
      <c r="J2625" s="185"/>
      <c r="K2625"/>
      <c r="L2625"/>
      <c r="M2625"/>
      <c r="N2625"/>
      <c r="O2625"/>
      <c r="P2625"/>
    </row>
    <row r="2626" spans="8:16" s="1" customFormat="1">
      <c r="H2626" s="185"/>
      <c r="I2626" s="185"/>
      <c r="J2626" s="185"/>
      <c r="K2626"/>
      <c r="L2626"/>
      <c r="M2626"/>
      <c r="N2626"/>
      <c r="O2626"/>
      <c r="P2626"/>
    </row>
    <row r="2627" spans="8:16" s="1" customFormat="1">
      <c r="H2627" s="185"/>
      <c r="I2627" s="185"/>
      <c r="J2627" s="185"/>
      <c r="K2627"/>
      <c r="L2627"/>
      <c r="M2627"/>
      <c r="N2627"/>
      <c r="O2627"/>
      <c r="P2627"/>
    </row>
    <row r="2628" spans="8:16" s="1" customFormat="1">
      <c r="H2628" s="185"/>
      <c r="I2628" s="185"/>
      <c r="J2628" s="185"/>
      <c r="K2628"/>
      <c r="L2628"/>
      <c r="M2628"/>
      <c r="N2628"/>
      <c r="O2628"/>
      <c r="P2628"/>
    </row>
    <row r="2629" spans="8:16" s="1" customFormat="1">
      <c r="H2629" s="185"/>
      <c r="I2629" s="185"/>
      <c r="J2629" s="185"/>
      <c r="K2629"/>
      <c r="L2629"/>
      <c r="M2629"/>
      <c r="N2629"/>
      <c r="O2629"/>
      <c r="P2629"/>
    </row>
    <row r="2630" spans="8:16" s="1" customFormat="1">
      <c r="H2630" s="185"/>
      <c r="I2630" s="185"/>
      <c r="J2630" s="185"/>
      <c r="K2630"/>
      <c r="L2630"/>
      <c r="M2630"/>
      <c r="N2630"/>
      <c r="O2630"/>
      <c r="P2630"/>
    </row>
    <row r="2631" spans="8:16" s="1" customFormat="1">
      <c r="H2631" s="185"/>
      <c r="I2631" s="185"/>
      <c r="J2631" s="185"/>
      <c r="K2631"/>
      <c r="L2631"/>
      <c r="M2631"/>
      <c r="N2631"/>
      <c r="O2631"/>
      <c r="P2631"/>
    </row>
    <row r="2632" spans="8:16" s="1" customFormat="1">
      <c r="H2632" s="185"/>
      <c r="I2632" s="185"/>
      <c r="J2632" s="185"/>
      <c r="K2632"/>
      <c r="L2632"/>
      <c r="M2632"/>
      <c r="N2632"/>
      <c r="O2632"/>
      <c r="P2632"/>
    </row>
    <row r="2633" spans="8:16" s="1" customFormat="1">
      <c r="H2633" s="185"/>
      <c r="I2633" s="185"/>
      <c r="J2633" s="185"/>
      <c r="K2633"/>
      <c r="L2633"/>
      <c r="M2633"/>
      <c r="N2633"/>
      <c r="O2633"/>
      <c r="P2633"/>
    </row>
    <row r="2634" spans="8:16" s="1" customFormat="1">
      <c r="H2634" s="185"/>
      <c r="I2634" s="185"/>
      <c r="J2634" s="185"/>
      <c r="K2634"/>
      <c r="L2634"/>
      <c r="M2634"/>
      <c r="N2634"/>
      <c r="O2634"/>
      <c r="P2634"/>
    </row>
    <row r="2635" spans="8:16" s="1" customFormat="1">
      <c r="H2635" s="185"/>
      <c r="I2635" s="185"/>
      <c r="J2635" s="185"/>
      <c r="K2635"/>
      <c r="L2635"/>
      <c r="M2635"/>
      <c r="N2635"/>
      <c r="O2635"/>
      <c r="P2635"/>
    </row>
    <row r="2636" spans="8:16" s="1" customFormat="1">
      <c r="H2636" s="185"/>
      <c r="I2636" s="185"/>
      <c r="J2636" s="185"/>
      <c r="K2636"/>
      <c r="L2636"/>
      <c r="M2636"/>
      <c r="N2636"/>
      <c r="O2636"/>
      <c r="P2636"/>
    </row>
    <row r="2637" spans="8:16" s="1" customFormat="1">
      <c r="H2637" s="185"/>
      <c r="I2637" s="185"/>
      <c r="J2637" s="185"/>
      <c r="K2637"/>
      <c r="L2637"/>
      <c r="M2637"/>
      <c r="N2637"/>
      <c r="O2637"/>
      <c r="P2637"/>
    </row>
    <row r="2638" spans="8:16" s="1" customFormat="1">
      <c r="H2638" s="185"/>
      <c r="I2638" s="185"/>
      <c r="J2638" s="185"/>
      <c r="K2638"/>
      <c r="L2638"/>
      <c r="M2638"/>
      <c r="N2638"/>
      <c r="O2638"/>
      <c r="P2638"/>
    </row>
    <row r="2639" spans="8:16" s="1" customFormat="1">
      <c r="H2639" s="185"/>
      <c r="I2639" s="185"/>
      <c r="J2639" s="185"/>
      <c r="K2639"/>
      <c r="L2639"/>
      <c r="M2639"/>
      <c r="N2639"/>
      <c r="O2639"/>
      <c r="P2639"/>
    </row>
    <row r="2640" spans="8:16" s="1" customFormat="1">
      <c r="H2640" s="185"/>
      <c r="I2640" s="185"/>
      <c r="J2640" s="185"/>
      <c r="K2640"/>
      <c r="L2640"/>
      <c r="M2640"/>
      <c r="N2640"/>
      <c r="O2640"/>
      <c r="P2640"/>
    </row>
    <row r="2641" spans="8:16" s="1" customFormat="1">
      <c r="H2641" s="185"/>
      <c r="I2641" s="185"/>
      <c r="J2641" s="185"/>
      <c r="K2641"/>
      <c r="L2641"/>
      <c r="M2641"/>
      <c r="N2641"/>
      <c r="O2641"/>
      <c r="P2641"/>
    </row>
    <row r="2642" spans="8:16" s="1" customFormat="1">
      <c r="H2642" s="185"/>
      <c r="I2642" s="185"/>
      <c r="J2642" s="185"/>
      <c r="K2642"/>
      <c r="L2642"/>
      <c r="M2642"/>
      <c r="N2642"/>
      <c r="O2642"/>
      <c r="P2642"/>
    </row>
    <row r="2643" spans="8:16" s="1" customFormat="1">
      <c r="H2643" s="185"/>
      <c r="I2643" s="185"/>
      <c r="J2643" s="185"/>
      <c r="K2643"/>
      <c r="L2643"/>
      <c r="M2643"/>
      <c r="N2643"/>
      <c r="O2643"/>
      <c r="P2643"/>
    </row>
    <row r="2644" spans="8:16" s="1" customFormat="1">
      <c r="H2644" s="185"/>
      <c r="I2644" s="185"/>
      <c r="J2644" s="185"/>
      <c r="K2644"/>
      <c r="L2644"/>
      <c r="M2644"/>
      <c r="N2644"/>
      <c r="O2644"/>
      <c r="P2644"/>
    </row>
    <row r="2645" spans="8:16" s="1" customFormat="1">
      <c r="H2645" s="185"/>
      <c r="I2645" s="185"/>
      <c r="J2645" s="185"/>
      <c r="K2645"/>
      <c r="L2645"/>
      <c r="M2645"/>
      <c r="N2645"/>
      <c r="O2645"/>
      <c r="P2645"/>
    </row>
    <row r="2646" spans="8:16" s="1" customFormat="1">
      <c r="H2646" s="185"/>
      <c r="I2646" s="185"/>
      <c r="J2646" s="185"/>
      <c r="K2646"/>
      <c r="L2646"/>
      <c r="M2646"/>
      <c r="N2646"/>
      <c r="O2646"/>
      <c r="P2646"/>
    </row>
    <row r="2647" spans="8:16" s="1" customFormat="1">
      <c r="H2647" s="185"/>
      <c r="I2647" s="185"/>
      <c r="J2647" s="185"/>
      <c r="K2647"/>
      <c r="L2647"/>
      <c r="M2647"/>
      <c r="N2647"/>
      <c r="O2647"/>
      <c r="P2647"/>
    </row>
    <row r="2648" spans="8:16" s="1" customFormat="1">
      <c r="H2648" s="185"/>
      <c r="I2648" s="185"/>
      <c r="J2648" s="185"/>
      <c r="K2648"/>
      <c r="L2648"/>
      <c r="M2648"/>
      <c r="N2648"/>
      <c r="O2648"/>
      <c r="P2648"/>
    </row>
    <row r="2649" spans="8:16" s="1" customFormat="1">
      <c r="H2649" s="185"/>
      <c r="I2649" s="185"/>
      <c r="J2649" s="185"/>
      <c r="K2649"/>
      <c r="L2649"/>
      <c r="M2649"/>
      <c r="N2649"/>
      <c r="O2649"/>
      <c r="P2649"/>
    </row>
    <row r="2650" spans="8:16" s="1" customFormat="1">
      <c r="H2650" s="185"/>
      <c r="I2650" s="185"/>
      <c r="J2650" s="185"/>
      <c r="K2650"/>
      <c r="L2650"/>
      <c r="M2650"/>
      <c r="N2650"/>
      <c r="O2650"/>
      <c r="P2650"/>
    </row>
    <row r="2651" spans="8:16" s="1" customFormat="1">
      <c r="H2651" s="185"/>
      <c r="I2651" s="185"/>
      <c r="J2651" s="185"/>
      <c r="K2651"/>
      <c r="L2651"/>
      <c r="M2651"/>
      <c r="N2651"/>
      <c r="O2651"/>
      <c r="P2651"/>
    </row>
    <row r="2652" spans="8:16" s="1" customFormat="1">
      <c r="H2652" s="185"/>
      <c r="I2652" s="185"/>
      <c r="J2652" s="185"/>
      <c r="K2652"/>
      <c r="L2652"/>
      <c r="M2652"/>
      <c r="N2652"/>
      <c r="O2652"/>
      <c r="P2652"/>
    </row>
    <row r="2653" spans="8:16" s="1" customFormat="1">
      <c r="H2653" s="185"/>
      <c r="I2653" s="185"/>
      <c r="J2653" s="185"/>
      <c r="K2653"/>
      <c r="L2653"/>
      <c r="M2653"/>
      <c r="N2653"/>
      <c r="O2653"/>
      <c r="P2653"/>
    </row>
    <row r="2654" spans="8:16" s="1" customFormat="1">
      <c r="H2654" s="185"/>
      <c r="I2654" s="185"/>
      <c r="J2654" s="185"/>
      <c r="K2654"/>
      <c r="L2654"/>
      <c r="M2654"/>
      <c r="N2654"/>
      <c r="O2654"/>
      <c r="P2654"/>
    </row>
    <row r="2655" spans="8:16" s="1" customFormat="1">
      <c r="H2655" s="185"/>
      <c r="I2655" s="185"/>
      <c r="J2655" s="185"/>
      <c r="K2655"/>
      <c r="L2655"/>
      <c r="M2655"/>
      <c r="N2655"/>
      <c r="O2655"/>
      <c r="P2655"/>
    </row>
    <row r="2656" spans="8:16" s="1" customFormat="1">
      <c r="H2656" s="185"/>
      <c r="I2656" s="185"/>
      <c r="J2656" s="185"/>
      <c r="K2656"/>
      <c r="L2656"/>
      <c r="M2656"/>
      <c r="N2656"/>
      <c r="O2656"/>
      <c r="P2656"/>
    </row>
    <row r="2657" spans="8:16" s="1" customFormat="1">
      <c r="H2657" s="185"/>
      <c r="I2657" s="185"/>
      <c r="J2657" s="185"/>
      <c r="K2657"/>
      <c r="L2657"/>
      <c r="M2657"/>
      <c r="N2657"/>
      <c r="O2657"/>
      <c r="P2657"/>
    </row>
    <row r="2658" spans="8:16" s="1" customFormat="1">
      <c r="H2658" s="185"/>
      <c r="I2658" s="185"/>
      <c r="J2658" s="185"/>
      <c r="K2658"/>
      <c r="L2658"/>
      <c r="M2658"/>
      <c r="N2658"/>
      <c r="O2658"/>
      <c r="P2658"/>
    </row>
    <row r="2659" spans="8:16" s="1" customFormat="1">
      <c r="H2659" s="185"/>
      <c r="I2659" s="185"/>
      <c r="J2659" s="185"/>
      <c r="K2659"/>
      <c r="L2659"/>
      <c r="M2659"/>
      <c r="N2659"/>
      <c r="O2659"/>
      <c r="P2659"/>
    </row>
    <row r="2660" spans="8:16" s="1" customFormat="1">
      <c r="H2660" s="185"/>
      <c r="I2660" s="185"/>
      <c r="J2660" s="185"/>
      <c r="K2660"/>
      <c r="L2660"/>
      <c r="M2660"/>
      <c r="N2660"/>
      <c r="O2660"/>
      <c r="P2660"/>
    </row>
    <row r="2661" spans="8:16" s="1" customFormat="1">
      <c r="H2661" s="185"/>
      <c r="I2661" s="185"/>
      <c r="J2661" s="185"/>
      <c r="K2661"/>
      <c r="L2661"/>
      <c r="M2661"/>
      <c r="N2661"/>
      <c r="O2661"/>
      <c r="P2661"/>
    </row>
    <row r="2662" spans="8:16" s="1" customFormat="1">
      <c r="H2662" s="185"/>
      <c r="I2662" s="185"/>
      <c r="J2662" s="185"/>
      <c r="K2662"/>
      <c r="L2662"/>
      <c r="M2662"/>
      <c r="N2662"/>
      <c r="O2662"/>
      <c r="P2662"/>
    </row>
    <row r="2663" spans="8:16" s="1" customFormat="1">
      <c r="H2663" s="185"/>
      <c r="I2663" s="185"/>
      <c r="J2663" s="185"/>
      <c r="K2663"/>
      <c r="L2663"/>
      <c r="M2663"/>
      <c r="N2663"/>
      <c r="O2663"/>
      <c r="P2663"/>
    </row>
    <row r="2664" spans="8:16" s="1" customFormat="1">
      <c r="H2664" s="185"/>
      <c r="I2664" s="185"/>
      <c r="J2664" s="185"/>
      <c r="K2664"/>
      <c r="L2664"/>
      <c r="M2664"/>
      <c r="N2664"/>
      <c r="O2664"/>
      <c r="P2664"/>
    </row>
    <row r="2665" spans="8:16" s="1" customFormat="1">
      <c r="H2665" s="185"/>
      <c r="I2665" s="185"/>
      <c r="J2665" s="185"/>
      <c r="K2665"/>
      <c r="L2665"/>
      <c r="M2665"/>
      <c r="N2665"/>
      <c r="O2665"/>
      <c r="P2665"/>
    </row>
    <row r="2666" spans="8:16" s="1" customFormat="1">
      <c r="H2666" s="185"/>
      <c r="I2666" s="185"/>
      <c r="J2666" s="185"/>
      <c r="K2666"/>
      <c r="L2666"/>
      <c r="M2666"/>
      <c r="N2666"/>
      <c r="O2666"/>
      <c r="P2666"/>
    </row>
    <row r="2667" spans="8:16" s="1" customFormat="1">
      <c r="H2667" s="185"/>
      <c r="I2667" s="185"/>
      <c r="J2667" s="185"/>
      <c r="K2667"/>
      <c r="L2667"/>
      <c r="M2667"/>
      <c r="N2667"/>
      <c r="O2667"/>
      <c r="P2667"/>
    </row>
    <row r="2668" spans="8:16" s="1" customFormat="1">
      <c r="H2668" s="185"/>
      <c r="I2668" s="185"/>
      <c r="J2668" s="185"/>
      <c r="K2668"/>
      <c r="L2668"/>
      <c r="M2668"/>
      <c r="N2668"/>
      <c r="O2668"/>
      <c r="P2668"/>
    </row>
    <row r="2669" spans="8:16" s="1" customFormat="1">
      <c r="H2669" s="185"/>
      <c r="I2669" s="185"/>
      <c r="J2669" s="185"/>
      <c r="K2669"/>
      <c r="L2669"/>
      <c r="M2669"/>
      <c r="N2669"/>
      <c r="O2669"/>
      <c r="P2669"/>
    </row>
    <row r="2670" spans="8:16" s="1" customFormat="1">
      <c r="H2670" s="185"/>
      <c r="I2670" s="185"/>
      <c r="J2670" s="185"/>
      <c r="K2670"/>
      <c r="L2670"/>
      <c r="M2670"/>
      <c r="N2670"/>
      <c r="O2670"/>
      <c r="P2670"/>
    </row>
    <row r="2671" spans="8:16" s="1" customFormat="1">
      <c r="H2671" s="185"/>
      <c r="I2671" s="185"/>
      <c r="J2671" s="185"/>
      <c r="K2671"/>
      <c r="L2671"/>
      <c r="M2671"/>
      <c r="N2671"/>
      <c r="O2671"/>
      <c r="P2671"/>
    </row>
    <row r="2672" spans="8:16" s="1" customFormat="1">
      <c r="H2672" s="185"/>
      <c r="I2672" s="185"/>
      <c r="J2672" s="185"/>
      <c r="K2672"/>
      <c r="L2672"/>
      <c r="M2672"/>
      <c r="N2672"/>
      <c r="O2672"/>
      <c r="P2672"/>
    </row>
    <row r="2673" spans="8:16" s="1" customFormat="1">
      <c r="H2673" s="185"/>
      <c r="I2673" s="185"/>
      <c r="J2673" s="185"/>
      <c r="K2673"/>
      <c r="L2673"/>
      <c r="M2673"/>
      <c r="N2673"/>
      <c r="O2673"/>
      <c r="P2673"/>
    </row>
    <row r="2674" spans="8:16" s="1" customFormat="1">
      <c r="H2674" s="185"/>
      <c r="I2674" s="185"/>
      <c r="J2674" s="185"/>
      <c r="K2674"/>
      <c r="L2674"/>
      <c r="M2674"/>
      <c r="N2674"/>
      <c r="O2674"/>
      <c r="P2674"/>
    </row>
    <row r="2675" spans="8:16" s="1" customFormat="1">
      <c r="H2675" s="185"/>
      <c r="I2675" s="185"/>
      <c r="J2675" s="185"/>
      <c r="K2675"/>
      <c r="L2675"/>
      <c r="M2675"/>
      <c r="N2675"/>
      <c r="O2675"/>
      <c r="P2675"/>
    </row>
    <row r="2676" spans="8:16" s="1" customFormat="1">
      <c r="H2676" s="185"/>
      <c r="I2676" s="185"/>
      <c r="J2676" s="185"/>
      <c r="K2676"/>
      <c r="L2676"/>
      <c r="M2676"/>
      <c r="N2676"/>
      <c r="O2676"/>
      <c r="P2676"/>
    </row>
    <row r="2677" spans="8:16" s="1" customFormat="1">
      <c r="H2677" s="185"/>
      <c r="I2677" s="185"/>
      <c r="J2677" s="185"/>
      <c r="K2677"/>
      <c r="L2677"/>
      <c r="M2677"/>
      <c r="N2677"/>
      <c r="O2677"/>
      <c r="P2677"/>
    </row>
    <row r="2678" spans="8:16" s="1" customFormat="1">
      <c r="H2678" s="185"/>
      <c r="I2678" s="185"/>
      <c r="J2678" s="185"/>
      <c r="K2678"/>
      <c r="L2678"/>
      <c r="M2678"/>
      <c r="N2678"/>
      <c r="O2678"/>
      <c r="P2678"/>
    </row>
    <row r="2679" spans="8:16" s="1" customFormat="1">
      <c r="H2679" s="185"/>
      <c r="I2679" s="185"/>
      <c r="J2679" s="185"/>
      <c r="K2679"/>
      <c r="L2679"/>
      <c r="M2679"/>
      <c r="N2679"/>
      <c r="O2679"/>
      <c r="P2679"/>
    </row>
    <row r="2680" spans="8:16" s="1" customFormat="1">
      <c r="H2680" s="185"/>
      <c r="I2680" s="185"/>
      <c r="J2680" s="185"/>
      <c r="K2680"/>
      <c r="L2680"/>
      <c r="M2680"/>
      <c r="N2680"/>
      <c r="O2680"/>
      <c r="P2680"/>
    </row>
    <row r="2681" spans="8:16" s="1" customFormat="1">
      <c r="H2681" s="185"/>
      <c r="I2681" s="185"/>
      <c r="J2681" s="185"/>
      <c r="K2681"/>
      <c r="L2681"/>
      <c r="M2681"/>
      <c r="N2681"/>
      <c r="O2681"/>
      <c r="P2681"/>
    </row>
    <row r="2682" spans="8:16" s="1" customFormat="1">
      <c r="H2682" s="185"/>
      <c r="I2682" s="185"/>
      <c r="J2682" s="185"/>
      <c r="K2682"/>
      <c r="L2682"/>
      <c r="M2682"/>
      <c r="N2682"/>
      <c r="O2682"/>
      <c r="P2682"/>
    </row>
    <row r="2683" spans="8:16" s="1" customFormat="1">
      <c r="H2683" s="185"/>
      <c r="I2683" s="185"/>
      <c r="J2683" s="185"/>
      <c r="K2683"/>
      <c r="L2683"/>
      <c r="M2683"/>
      <c r="N2683"/>
      <c r="O2683"/>
      <c r="P2683"/>
    </row>
    <row r="2684" spans="8:16" s="1" customFormat="1">
      <c r="H2684" s="185"/>
      <c r="I2684" s="185"/>
      <c r="J2684" s="185"/>
      <c r="K2684"/>
      <c r="L2684"/>
      <c r="M2684"/>
      <c r="N2684"/>
      <c r="O2684"/>
      <c r="P2684"/>
    </row>
    <row r="2685" spans="8:16" s="1" customFormat="1">
      <c r="H2685" s="185"/>
      <c r="I2685" s="185"/>
      <c r="J2685" s="185"/>
      <c r="K2685"/>
      <c r="L2685"/>
      <c r="M2685"/>
      <c r="N2685"/>
      <c r="O2685"/>
      <c r="P2685"/>
    </row>
    <row r="2686" spans="8:16" s="1" customFormat="1">
      <c r="H2686" s="185"/>
      <c r="I2686" s="185"/>
      <c r="J2686" s="185"/>
      <c r="K2686"/>
      <c r="L2686"/>
      <c r="M2686"/>
      <c r="N2686"/>
      <c r="O2686"/>
      <c r="P2686"/>
    </row>
    <row r="2687" spans="8:16" s="1" customFormat="1">
      <c r="H2687" s="185"/>
      <c r="I2687" s="185"/>
      <c r="J2687" s="185"/>
      <c r="K2687"/>
      <c r="L2687"/>
      <c r="M2687"/>
      <c r="N2687"/>
      <c r="O2687"/>
      <c r="P2687"/>
    </row>
    <row r="2688" spans="8:16" s="1" customFormat="1">
      <c r="H2688" s="185"/>
      <c r="I2688" s="185"/>
      <c r="J2688" s="185"/>
      <c r="K2688"/>
      <c r="L2688"/>
      <c r="M2688"/>
      <c r="N2688"/>
      <c r="O2688"/>
      <c r="P2688"/>
    </row>
    <row r="2689" spans="8:16" s="1" customFormat="1">
      <c r="H2689" s="185"/>
      <c r="I2689" s="185"/>
      <c r="J2689" s="185"/>
      <c r="K2689"/>
      <c r="L2689"/>
      <c r="M2689"/>
      <c r="N2689"/>
      <c r="O2689"/>
      <c r="P2689"/>
    </row>
    <row r="2690" spans="8:16" s="1" customFormat="1">
      <c r="H2690" s="185"/>
      <c r="I2690" s="185"/>
      <c r="J2690" s="185"/>
      <c r="K2690"/>
      <c r="L2690"/>
      <c r="M2690"/>
      <c r="N2690"/>
      <c r="O2690"/>
      <c r="P2690"/>
    </row>
    <row r="2691" spans="8:16" s="1" customFormat="1">
      <c r="H2691" s="185"/>
      <c r="I2691" s="185"/>
      <c r="J2691" s="185"/>
      <c r="K2691"/>
      <c r="L2691"/>
      <c r="M2691"/>
      <c r="N2691"/>
      <c r="O2691"/>
      <c r="P2691"/>
    </row>
    <row r="2692" spans="8:16" s="1" customFormat="1">
      <c r="H2692" s="185"/>
      <c r="I2692" s="185"/>
      <c r="J2692" s="185"/>
      <c r="K2692"/>
      <c r="L2692"/>
      <c r="M2692"/>
      <c r="N2692"/>
      <c r="O2692"/>
      <c r="P2692"/>
    </row>
    <row r="2693" spans="8:16" s="1" customFormat="1">
      <c r="H2693" s="185"/>
      <c r="I2693" s="185"/>
      <c r="J2693" s="185"/>
      <c r="K2693"/>
      <c r="L2693"/>
      <c r="M2693"/>
      <c r="N2693"/>
      <c r="O2693"/>
      <c r="P2693"/>
    </row>
    <row r="2694" spans="8:16" s="1" customFormat="1">
      <c r="H2694" s="185"/>
      <c r="I2694" s="185"/>
      <c r="J2694" s="185"/>
      <c r="K2694"/>
      <c r="L2694"/>
      <c r="M2694"/>
      <c r="N2694"/>
      <c r="O2694"/>
      <c r="P2694"/>
    </row>
    <row r="2695" spans="8:16" s="1" customFormat="1">
      <c r="H2695" s="185"/>
      <c r="I2695" s="185"/>
      <c r="J2695" s="185"/>
      <c r="K2695"/>
      <c r="L2695"/>
      <c r="M2695"/>
      <c r="N2695"/>
      <c r="O2695"/>
      <c r="P2695"/>
    </row>
    <row r="2696" spans="8:16" s="1" customFormat="1">
      <c r="H2696" s="185"/>
      <c r="I2696" s="185"/>
      <c r="J2696" s="185"/>
      <c r="K2696"/>
      <c r="L2696"/>
      <c r="M2696"/>
      <c r="N2696"/>
      <c r="O2696"/>
      <c r="P2696"/>
    </row>
    <row r="2697" spans="8:16" s="1" customFormat="1">
      <c r="H2697" s="185"/>
      <c r="I2697" s="185"/>
      <c r="J2697" s="185"/>
      <c r="K2697"/>
      <c r="L2697"/>
      <c r="M2697"/>
      <c r="N2697"/>
      <c r="O2697"/>
      <c r="P2697"/>
    </row>
    <row r="2698" spans="8:16" s="1" customFormat="1">
      <c r="H2698" s="185"/>
      <c r="I2698" s="185"/>
      <c r="J2698" s="185"/>
      <c r="K2698"/>
      <c r="L2698"/>
      <c r="M2698"/>
      <c r="N2698"/>
      <c r="O2698"/>
      <c r="P2698"/>
    </row>
    <row r="2699" spans="8:16" s="1" customFormat="1">
      <c r="H2699" s="185"/>
      <c r="I2699" s="185"/>
      <c r="J2699" s="185"/>
      <c r="K2699"/>
      <c r="L2699"/>
      <c r="M2699"/>
      <c r="N2699"/>
      <c r="O2699"/>
      <c r="P2699"/>
    </row>
    <row r="2700" spans="8:16" s="1" customFormat="1">
      <c r="H2700" s="185"/>
      <c r="I2700" s="185"/>
      <c r="J2700" s="185"/>
      <c r="K2700"/>
      <c r="L2700"/>
      <c r="M2700"/>
      <c r="N2700"/>
      <c r="O2700"/>
      <c r="P2700"/>
    </row>
    <row r="2701" spans="8:16" s="1" customFormat="1">
      <c r="H2701" s="185"/>
      <c r="I2701" s="185"/>
      <c r="J2701" s="185"/>
      <c r="K2701"/>
      <c r="L2701"/>
      <c r="M2701"/>
      <c r="N2701"/>
      <c r="O2701"/>
      <c r="P2701"/>
    </row>
    <row r="2702" spans="8:16" s="1" customFormat="1">
      <c r="H2702" s="185"/>
      <c r="I2702" s="185"/>
      <c r="J2702" s="185"/>
      <c r="K2702"/>
      <c r="L2702"/>
      <c r="M2702"/>
      <c r="N2702"/>
      <c r="O2702"/>
      <c r="P2702"/>
    </row>
    <row r="2703" spans="8:16" s="1" customFormat="1">
      <c r="H2703" s="185"/>
      <c r="I2703" s="185"/>
      <c r="J2703" s="185"/>
      <c r="K2703"/>
      <c r="L2703"/>
      <c r="M2703"/>
      <c r="N2703"/>
      <c r="O2703"/>
      <c r="P2703"/>
    </row>
    <row r="2704" spans="8:16" s="1" customFormat="1">
      <c r="H2704" s="185"/>
      <c r="I2704" s="185"/>
      <c r="J2704" s="185"/>
      <c r="K2704"/>
      <c r="L2704"/>
      <c r="M2704"/>
      <c r="N2704"/>
      <c r="O2704"/>
      <c r="P2704"/>
    </row>
    <row r="2705" spans="8:16" s="1" customFormat="1">
      <c r="H2705" s="185"/>
      <c r="I2705" s="185"/>
      <c r="J2705" s="185"/>
      <c r="K2705"/>
      <c r="L2705"/>
      <c r="M2705"/>
      <c r="N2705"/>
      <c r="O2705"/>
      <c r="P2705"/>
    </row>
    <row r="2706" spans="8:16" s="1" customFormat="1">
      <c r="H2706" s="185"/>
      <c r="I2706" s="185"/>
      <c r="J2706" s="185"/>
      <c r="K2706"/>
      <c r="L2706"/>
      <c r="M2706"/>
      <c r="N2706"/>
      <c r="O2706"/>
      <c r="P2706"/>
    </row>
    <row r="2707" spans="8:16" s="1" customFormat="1">
      <c r="H2707" s="185"/>
      <c r="I2707" s="185"/>
      <c r="J2707" s="185"/>
      <c r="K2707"/>
      <c r="L2707"/>
      <c r="M2707"/>
      <c r="N2707"/>
      <c r="O2707"/>
      <c r="P2707"/>
    </row>
    <row r="2708" spans="8:16" s="1" customFormat="1">
      <c r="H2708" s="185"/>
      <c r="I2708" s="185"/>
      <c r="J2708" s="185"/>
      <c r="K2708"/>
      <c r="L2708"/>
      <c r="M2708"/>
      <c r="N2708"/>
      <c r="O2708"/>
      <c r="P2708"/>
    </row>
    <row r="2709" spans="8:16" s="1" customFormat="1">
      <c r="H2709" s="185"/>
      <c r="I2709" s="185"/>
      <c r="J2709" s="185"/>
      <c r="K2709"/>
      <c r="L2709"/>
      <c r="M2709"/>
      <c r="N2709"/>
      <c r="O2709"/>
      <c r="P2709"/>
    </row>
    <row r="2710" spans="8:16" s="1" customFormat="1">
      <c r="H2710" s="185"/>
      <c r="I2710" s="185"/>
      <c r="J2710" s="185"/>
      <c r="K2710"/>
      <c r="L2710"/>
      <c r="M2710"/>
      <c r="N2710"/>
      <c r="O2710"/>
      <c r="P2710"/>
    </row>
    <row r="2711" spans="8:16" s="1" customFormat="1">
      <c r="H2711" s="185"/>
      <c r="I2711" s="185"/>
      <c r="J2711" s="185"/>
      <c r="K2711"/>
      <c r="L2711"/>
      <c r="M2711"/>
      <c r="N2711"/>
      <c r="O2711"/>
      <c r="P2711"/>
    </row>
    <row r="2712" spans="8:16" s="1" customFormat="1">
      <c r="H2712" s="185"/>
      <c r="I2712" s="185"/>
      <c r="J2712" s="185"/>
      <c r="K2712"/>
      <c r="L2712"/>
      <c r="M2712"/>
      <c r="N2712"/>
      <c r="O2712"/>
      <c r="P2712"/>
    </row>
    <row r="2713" spans="8:16" s="1" customFormat="1">
      <c r="H2713" s="185"/>
      <c r="I2713" s="185"/>
      <c r="J2713" s="185"/>
      <c r="K2713"/>
      <c r="L2713"/>
      <c r="M2713"/>
      <c r="N2713"/>
      <c r="O2713"/>
      <c r="P2713"/>
    </row>
    <row r="2714" spans="8:16" s="1" customFormat="1">
      <c r="H2714" s="185"/>
      <c r="I2714" s="185"/>
      <c r="J2714" s="185"/>
      <c r="K2714"/>
      <c r="L2714"/>
      <c r="M2714"/>
      <c r="N2714"/>
      <c r="O2714"/>
      <c r="P2714"/>
    </row>
    <row r="2715" spans="8:16" s="1" customFormat="1">
      <c r="H2715" s="185"/>
      <c r="I2715" s="185"/>
      <c r="J2715" s="185"/>
      <c r="K2715"/>
      <c r="L2715"/>
      <c r="M2715"/>
      <c r="N2715"/>
      <c r="O2715"/>
      <c r="P2715"/>
    </row>
    <row r="2716" spans="8:16" s="1" customFormat="1">
      <c r="H2716" s="185"/>
      <c r="I2716" s="185"/>
      <c r="J2716" s="185"/>
      <c r="K2716"/>
      <c r="L2716"/>
      <c r="M2716"/>
      <c r="N2716"/>
      <c r="O2716"/>
      <c r="P2716"/>
    </row>
    <row r="2717" spans="8:16" s="1" customFormat="1">
      <c r="H2717" s="185"/>
      <c r="I2717" s="185"/>
      <c r="J2717" s="185"/>
      <c r="K2717"/>
      <c r="L2717"/>
      <c r="M2717"/>
      <c r="N2717"/>
      <c r="O2717"/>
      <c r="P2717"/>
    </row>
    <row r="2718" spans="8:16" s="1" customFormat="1">
      <c r="H2718" s="185"/>
      <c r="I2718" s="185"/>
      <c r="J2718" s="185"/>
      <c r="K2718"/>
      <c r="L2718"/>
      <c r="M2718"/>
      <c r="N2718"/>
      <c r="O2718"/>
      <c r="P2718"/>
    </row>
    <row r="2719" spans="8:16" s="1" customFormat="1">
      <c r="H2719" s="185"/>
      <c r="I2719" s="185"/>
      <c r="J2719" s="185"/>
      <c r="K2719"/>
      <c r="L2719"/>
      <c r="M2719"/>
      <c r="N2719"/>
      <c r="O2719"/>
      <c r="P2719"/>
    </row>
    <row r="2720" spans="8:16" s="1" customFormat="1">
      <c r="H2720" s="185"/>
      <c r="I2720" s="185"/>
      <c r="J2720" s="185"/>
      <c r="K2720"/>
      <c r="L2720"/>
      <c r="M2720"/>
      <c r="N2720"/>
      <c r="O2720"/>
      <c r="P2720"/>
    </row>
    <row r="2721" spans="8:16" s="1" customFormat="1">
      <c r="H2721" s="185"/>
      <c r="I2721" s="185"/>
      <c r="J2721" s="185"/>
      <c r="K2721"/>
      <c r="L2721"/>
      <c r="M2721"/>
      <c r="N2721"/>
      <c r="O2721"/>
      <c r="P2721"/>
    </row>
    <row r="2722" spans="8:16" s="1" customFormat="1">
      <c r="H2722" s="185"/>
      <c r="I2722" s="185"/>
      <c r="J2722" s="185"/>
      <c r="K2722"/>
      <c r="L2722"/>
      <c r="M2722"/>
      <c r="N2722"/>
      <c r="O2722"/>
      <c r="P2722"/>
    </row>
    <row r="2723" spans="8:16" s="1" customFormat="1">
      <c r="H2723" s="185"/>
      <c r="I2723" s="185"/>
      <c r="J2723" s="185"/>
      <c r="K2723"/>
      <c r="L2723"/>
      <c r="M2723"/>
      <c r="N2723"/>
      <c r="O2723"/>
      <c r="P2723"/>
    </row>
    <row r="2724" spans="8:16" s="1" customFormat="1">
      <c r="H2724" s="185"/>
      <c r="I2724" s="185"/>
      <c r="J2724" s="185"/>
      <c r="K2724"/>
      <c r="L2724"/>
      <c r="M2724"/>
      <c r="N2724"/>
      <c r="O2724"/>
      <c r="P2724"/>
    </row>
    <row r="2725" spans="8:16" s="1" customFormat="1">
      <c r="H2725" s="185"/>
      <c r="I2725" s="185"/>
      <c r="J2725" s="185"/>
      <c r="K2725"/>
      <c r="L2725"/>
      <c r="M2725"/>
      <c r="N2725"/>
      <c r="O2725"/>
      <c r="P2725"/>
    </row>
    <row r="2726" spans="8:16" s="1" customFormat="1">
      <c r="H2726" s="185"/>
      <c r="I2726" s="185"/>
      <c r="J2726" s="185"/>
      <c r="K2726"/>
      <c r="L2726"/>
      <c r="M2726"/>
      <c r="N2726"/>
      <c r="O2726"/>
      <c r="P2726"/>
    </row>
    <row r="2727" spans="8:16" s="1" customFormat="1">
      <c r="H2727" s="185"/>
      <c r="I2727" s="185"/>
      <c r="J2727" s="185"/>
      <c r="K2727"/>
      <c r="L2727"/>
      <c r="M2727"/>
      <c r="N2727"/>
      <c r="O2727"/>
      <c r="P2727"/>
    </row>
    <row r="2728" spans="8:16" s="1" customFormat="1">
      <c r="H2728" s="185"/>
      <c r="I2728" s="185"/>
      <c r="J2728" s="185"/>
      <c r="K2728"/>
      <c r="L2728"/>
      <c r="M2728"/>
      <c r="N2728"/>
      <c r="O2728"/>
      <c r="P2728"/>
    </row>
    <row r="2729" spans="8:16" s="1" customFormat="1">
      <c r="H2729" s="185"/>
      <c r="I2729" s="185"/>
      <c r="J2729" s="185"/>
      <c r="K2729"/>
      <c r="L2729"/>
      <c r="M2729"/>
      <c r="N2729"/>
      <c r="O2729"/>
      <c r="P2729"/>
    </row>
    <row r="2730" spans="8:16" s="1" customFormat="1">
      <c r="H2730" s="185"/>
      <c r="I2730" s="185"/>
      <c r="J2730" s="185"/>
      <c r="K2730"/>
      <c r="L2730"/>
      <c r="M2730"/>
      <c r="N2730"/>
      <c r="O2730"/>
      <c r="P2730"/>
    </row>
    <row r="2731" spans="8:16" s="1" customFormat="1">
      <c r="H2731" s="185"/>
      <c r="I2731" s="185"/>
      <c r="J2731" s="185"/>
      <c r="K2731"/>
      <c r="L2731"/>
      <c r="M2731"/>
      <c r="N2731"/>
      <c r="O2731"/>
      <c r="P2731"/>
    </row>
    <row r="2732" spans="8:16" s="1" customFormat="1">
      <c r="H2732" s="185"/>
      <c r="I2732" s="185"/>
      <c r="J2732" s="185"/>
      <c r="K2732"/>
      <c r="L2732"/>
      <c r="M2732"/>
      <c r="N2732"/>
      <c r="O2732"/>
      <c r="P2732"/>
    </row>
    <row r="2733" spans="8:16" s="1" customFormat="1">
      <c r="H2733" s="185"/>
      <c r="I2733" s="185"/>
      <c r="J2733" s="185"/>
      <c r="K2733"/>
      <c r="L2733"/>
      <c r="M2733"/>
      <c r="N2733"/>
      <c r="O2733"/>
      <c r="P2733"/>
    </row>
    <row r="2734" spans="8:16" s="1" customFormat="1">
      <c r="H2734" s="185"/>
      <c r="I2734" s="185"/>
      <c r="J2734" s="185"/>
      <c r="K2734"/>
      <c r="L2734"/>
      <c r="M2734"/>
      <c r="N2734"/>
      <c r="O2734"/>
      <c r="P2734"/>
    </row>
    <row r="2735" spans="8:16" s="1" customFormat="1">
      <c r="H2735" s="185"/>
      <c r="I2735" s="185"/>
      <c r="J2735" s="185"/>
      <c r="K2735"/>
      <c r="L2735"/>
      <c r="M2735"/>
      <c r="N2735"/>
      <c r="O2735"/>
      <c r="P2735"/>
    </row>
    <row r="2736" spans="8:16" s="1" customFormat="1">
      <c r="H2736" s="185"/>
      <c r="I2736" s="185"/>
      <c r="J2736" s="185"/>
      <c r="K2736"/>
      <c r="L2736"/>
      <c r="M2736"/>
      <c r="N2736"/>
      <c r="O2736"/>
      <c r="P2736"/>
    </row>
    <row r="2737" spans="8:16" s="1" customFormat="1">
      <c r="H2737" s="185"/>
      <c r="I2737" s="185"/>
      <c r="J2737" s="185"/>
      <c r="K2737"/>
      <c r="L2737"/>
      <c r="M2737"/>
      <c r="N2737"/>
      <c r="O2737"/>
      <c r="P2737"/>
    </row>
    <row r="2738" spans="8:16" s="1" customFormat="1">
      <c r="H2738" s="185"/>
      <c r="I2738" s="185"/>
      <c r="J2738" s="185"/>
      <c r="K2738"/>
      <c r="L2738"/>
      <c r="M2738"/>
      <c r="N2738"/>
      <c r="O2738"/>
      <c r="P2738"/>
    </row>
    <row r="2739" spans="8:16" s="1" customFormat="1">
      <c r="H2739" s="185"/>
      <c r="I2739" s="185"/>
      <c r="J2739" s="185"/>
      <c r="K2739"/>
      <c r="L2739"/>
      <c r="M2739"/>
      <c r="N2739"/>
      <c r="O2739"/>
      <c r="P2739"/>
    </row>
    <row r="2740" spans="8:16" s="1" customFormat="1">
      <c r="H2740" s="185"/>
      <c r="I2740" s="185"/>
      <c r="J2740" s="185"/>
      <c r="K2740"/>
      <c r="L2740"/>
      <c r="M2740"/>
      <c r="N2740"/>
      <c r="O2740"/>
      <c r="P2740"/>
    </row>
    <row r="2741" spans="8:16" s="1" customFormat="1">
      <c r="H2741" s="185"/>
      <c r="I2741" s="185"/>
      <c r="J2741" s="185"/>
      <c r="K2741"/>
      <c r="L2741"/>
      <c r="M2741"/>
      <c r="N2741"/>
      <c r="O2741"/>
      <c r="P2741"/>
    </row>
    <row r="2742" spans="8:16" s="1" customFormat="1">
      <c r="H2742" s="185"/>
      <c r="I2742" s="185"/>
      <c r="J2742" s="185"/>
      <c r="K2742"/>
      <c r="L2742"/>
      <c r="M2742"/>
      <c r="N2742"/>
      <c r="O2742"/>
      <c r="P2742"/>
    </row>
    <row r="2743" spans="8:16" s="1" customFormat="1">
      <c r="H2743" s="185"/>
      <c r="I2743" s="185"/>
      <c r="J2743" s="185"/>
      <c r="K2743"/>
      <c r="L2743"/>
      <c r="M2743"/>
      <c r="N2743"/>
      <c r="O2743"/>
      <c r="P2743"/>
    </row>
    <row r="2744" spans="8:16" s="1" customFormat="1">
      <c r="H2744" s="185"/>
      <c r="I2744" s="185"/>
      <c r="J2744" s="185"/>
      <c r="K2744"/>
      <c r="L2744"/>
      <c r="M2744"/>
      <c r="N2744"/>
      <c r="O2744"/>
      <c r="P2744"/>
    </row>
    <row r="2745" spans="8:16" s="1" customFormat="1">
      <c r="H2745" s="185"/>
      <c r="I2745" s="185"/>
      <c r="J2745" s="185"/>
      <c r="K2745"/>
      <c r="L2745"/>
      <c r="M2745"/>
      <c r="N2745"/>
      <c r="O2745"/>
      <c r="P2745"/>
    </row>
    <row r="2746" spans="8:16" s="1" customFormat="1">
      <c r="H2746" s="185"/>
      <c r="I2746" s="185"/>
      <c r="J2746" s="185"/>
      <c r="K2746"/>
      <c r="L2746"/>
      <c r="M2746"/>
      <c r="N2746"/>
      <c r="O2746"/>
      <c r="P2746"/>
    </row>
    <row r="2747" spans="8:16" s="1" customFormat="1">
      <c r="H2747" s="185"/>
      <c r="I2747" s="185"/>
      <c r="J2747" s="185"/>
      <c r="K2747"/>
      <c r="L2747"/>
      <c r="M2747"/>
      <c r="N2747"/>
      <c r="O2747"/>
      <c r="P2747"/>
    </row>
    <row r="2748" spans="8:16" s="1" customFormat="1">
      <c r="H2748" s="185"/>
      <c r="I2748" s="185"/>
      <c r="J2748" s="185"/>
      <c r="K2748"/>
      <c r="L2748"/>
      <c r="M2748"/>
      <c r="N2748"/>
      <c r="O2748"/>
      <c r="P2748"/>
    </row>
    <row r="2749" spans="8:16" s="1" customFormat="1">
      <c r="H2749" s="185"/>
      <c r="I2749" s="185"/>
      <c r="J2749" s="185"/>
      <c r="K2749"/>
      <c r="L2749"/>
      <c r="M2749"/>
      <c r="N2749"/>
      <c r="O2749"/>
      <c r="P2749"/>
    </row>
    <row r="2750" spans="8:16" s="1" customFormat="1">
      <c r="H2750" s="185"/>
      <c r="I2750" s="185"/>
      <c r="J2750" s="185"/>
      <c r="K2750"/>
      <c r="L2750"/>
      <c r="M2750"/>
      <c r="N2750"/>
      <c r="O2750"/>
      <c r="P2750"/>
    </row>
    <row r="2751" spans="8:16" s="1" customFormat="1">
      <c r="H2751" s="185"/>
      <c r="I2751" s="185"/>
      <c r="J2751" s="185"/>
      <c r="K2751"/>
      <c r="L2751"/>
      <c r="M2751"/>
      <c r="N2751"/>
      <c r="O2751"/>
      <c r="P2751"/>
    </row>
    <row r="2752" spans="8:16" s="1" customFormat="1">
      <c r="H2752" s="185"/>
      <c r="I2752" s="185"/>
      <c r="J2752" s="185"/>
      <c r="K2752"/>
      <c r="L2752"/>
      <c r="M2752"/>
      <c r="N2752"/>
      <c r="O2752"/>
      <c r="P2752"/>
    </row>
    <row r="2753" spans="8:16" s="1" customFormat="1">
      <c r="H2753" s="185"/>
      <c r="I2753" s="185"/>
      <c r="J2753" s="185"/>
      <c r="K2753"/>
      <c r="L2753"/>
      <c r="M2753"/>
      <c r="N2753"/>
      <c r="O2753"/>
      <c r="P2753"/>
    </row>
    <row r="2754" spans="8:16" s="1" customFormat="1">
      <c r="H2754" s="185"/>
      <c r="I2754" s="185"/>
      <c r="J2754" s="185"/>
      <c r="K2754"/>
      <c r="L2754"/>
      <c r="M2754"/>
      <c r="N2754"/>
      <c r="O2754"/>
      <c r="P2754"/>
    </row>
    <row r="2755" spans="8:16" s="1" customFormat="1">
      <c r="H2755" s="185"/>
      <c r="I2755" s="185"/>
      <c r="J2755" s="185"/>
      <c r="K2755"/>
      <c r="L2755"/>
      <c r="M2755"/>
      <c r="N2755"/>
      <c r="O2755"/>
      <c r="P2755"/>
    </row>
    <row r="2756" spans="8:16" s="1" customFormat="1">
      <c r="H2756" s="185"/>
      <c r="I2756" s="185"/>
      <c r="J2756" s="185"/>
      <c r="K2756"/>
      <c r="L2756"/>
      <c r="M2756"/>
      <c r="N2756"/>
      <c r="O2756"/>
      <c r="P2756"/>
    </row>
    <row r="2757" spans="8:16" s="1" customFormat="1">
      <c r="H2757" s="185"/>
      <c r="I2757" s="185"/>
      <c r="J2757" s="185"/>
      <c r="K2757"/>
      <c r="L2757"/>
      <c r="M2757"/>
      <c r="N2757"/>
      <c r="O2757"/>
      <c r="P2757"/>
    </row>
    <row r="2758" spans="8:16" s="1" customFormat="1">
      <c r="H2758" s="185"/>
      <c r="I2758" s="185"/>
      <c r="J2758" s="185"/>
      <c r="K2758"/>
      <c r="L2758"/>
      <c r="M2758"/>
      <c r="N2758"/>
      <c r="O2758"/>
      <c r="P2758"/>
    </row>
    <row r="2759" spans="8:16" s="1" customFormat="1">
      <c r="H2759" s="185"/>
      <c r="I2759" s="185"/>
      <c r="J2759" s="185"/>
      <c r="K2759"/>
      <c r="L2759"/>
      <c r="M2759"/>
      <c r="N2759"/>
      <c r="O2759"/>
      <c r="P2759"/>
    </row>
    <row r="2760" spans="8:16" s="1" customFormat="1">
      <c r="H2760" s="185"/>
      <c r="I2760" s="185"/>
      <c r="J2760" s="185"/>
      <c r="K2760"/>
      <c r="L2760"/>
      <c r="M2760"/>
      <c r="N2760"/>
      <c r="O2760"/>
      <c r="P2760"/>
    </row>
    <row r="2761" spans="8:16" s="1" customFormat="1">
      <c r="H2761" s="185"/>
      <c r="I2761" s="185"/>
      <c r="J2761" s="185"/>
      <c r="K2761"/>
      <c r="L2761"/>
      <c r="M2761"/>
      <c r="N2761"/>
      <c r="O2761"/>
      <c r="P2761"/>
    </row>
    <row r="2762" spans="8:16" s="1" customFormat="1">
      <c r="H2762" s="185"/>
      <c r="I2762" s="185"/>
      <c r="J2762" s="185"/>
      <c r="K2762"/>
      <c r="L2762"/>
      <c r="M2762"/>
      <c r="N2762"/>
      <c r="O2762"/>
      <c r="P2762"/>
    </row>
    <row r="2763" spans="8:16" s="1" customFormat="1">
      <c r="H2763" s="185"/>
      <c r="I2763" s="185"/>
      <c r="J2763" s="185"/>
      <c r="K2763"/>
      <c r="L2763"/>
      <c r="M2763"/>
      <c r="N2763"/>
      <c r="O2763"/>
      <c r="P2763"/>
    </row>
    <row r="2764" spans="8:16" s="1" customFormat="1">
      <c r="H2764" s="185"/>
      <c r="I2764" s="185"/>
      <c r="J2764" s="185"/>
      <c r="K2764"/>
      <c r="L2764"/>
      <c r="M2764"/>
      <c r="N2764"/>
      <c r="O2764"/>
      <c r="P2764"/>
    </row>
    <row r="2765" spans="8:16" s="1" customFormat="1">
      <c r="H2765" s="185"/>
      <c r="I2765" s="185"/>
      <c r="J2765" s="185"/>
      <c r="K2765"/>
      <c r="L2765"/>
      <c r="M2765"/>
      <c r="N2765"/>
      <c r="O2765"/>
      <c r="P2765"/>
    </row>
    <row r="2766" spans="8:16" s="1" customFormat="1">
      <c r="H2766" s="185"/>
      <c r="I2766" s="185"/>
      <c r="J2766" s="185"/>
      <c r="K2766"/>
      <c r="L2766"/>
      <c r="M2766"/>
      <c r="N2766"/>
      <c r="O2766"/>
      <c r="P2766"/>
    </row>
    <row r="2767" spans="8:16" s="1" customFormat="1">
      <c r="H2767" s="185"/>
      <c r="I2767" s="185"/>
      <c r="J2767" s="185"/>
      <c r="K2767"/>
      <c r="L2767"/>
      <c r="M2767"/>
      <c r="N2767"/>
      <c r="O2767"/>
      <c r="P2767"/>
    </row>
    <row r="2768" spans="8:16" s="1" customFormat="1">
      <c r="H2768" s="185"/>
      <c r="I2768" s="185"/>
      <c r="J2768" s="185"/>
      <c r="K2768"/>
      <c r="L2768"/>
      <c r="M2768"/>
      <c r="N2768"/>
      <c r="O2768"/>
      <c r="P2768"/>
    </row>
    <row r="2769" spans="8:16" s="1" customFormat="1">
      <c r="H2769" s="185"/>
      <c r="I2769" s="185"/>
      <c r="J2769" s="185"/>
      <c r="K2769"/>
      <c r="L2769"/>
      <c r="M2769"/>
      <c r="N2769"/>
      <c r="O2769"/>
      <c r="P2769"/>
    </row>
    <row r="2770" spans="8:16" s="1" customFormat="1">
      <c r="H2770" s="185"/>
      <c r="I2770" s="185"/>
      <c r="J2770" s="185"/>
      <c r="K2770"/>
      <c r="L2770"/>
      <c r="M2770"/>
      <c r="N2770"/>
      <c r="O2770"/>
      <c r="P2770"/>
    </row>
    <row r="2771" spans="8:16" s="1" customFormat="1">
      <c r="H2771" s="185"/>
      <c r="I2771" s="185"/>
      <c r="J2771" s="185"/>
      <c r="K2771"/>
      <c r="L2771"/>
      <c r="M2771"/>
      <c r="N2771"/>
      <c r="O2771"/>
      <c r="P2771"/>
    </row>
    <row r="2772" spans="8:16" s="1" customFormat="1">
      <c r="H2772" s="185"/>
      <c r="I2772" s="185"/>
      <c r="J2772" s="185"/>
      <c r="K2772"/>
      <c r="L2772"/>
      <c r="M2772"/>
      <c r="N2772"/>
      <c r="O2772"/>
      <c r="P2772"/>
    </row>
    <row r="2773" spans="8:16" s="1" customFormat="1">
      <c r="H2773" s="185"/>
      <c r="I2773" s="185"/>
      <c r="J2773" s="185"/>
      <c r="K2773"/>
      <c r="L2773"/>
      <c r="M2773"/>
      <c r="N2773"/>
      <c r="O2773"/>
      <c r="P2773"/>
    </row>
    <row r="2774" spans="8:16" s="1" customFormat="1">
      <c r="H2774" s="185"/>
      <c r="I2774" s="185"/>
      <c r="J2774" s="185"/>
      <c r="K2774"/>
      <c r="L2774"/>
      <c r="M2774"/>
      <c r="N2774"/>
      <c r="O2774"/>
      <c r="P2774"/>
    </row>
    <row r="2775" spans="8:16" s="1" customFormat="1">
      <c r="H2775" s="185"/>
      <c r="I2775" s="185"/>
      <c r="J2775" s="185"/>
      <c r="K2775"/>
      <c r="L2775"/>
      <c r="M2775"/>
      <c r="N2775"/>
      <c r="O2775"/>
      <c r="P2775"/>
    </row>
    <row r="2776" spans="8:16" s="1" customFormat="1">
      <c r="H2776" s="185"/>
      <c r="I2776" s="185"/>
      <c r="J2776" s="185"/>
      <c r="K2776"/>
      <c r="L2776"/>
      <c r="M2776"/>
      <c r="N2776"/>
      <c r="O2776"/>
      <c r="P2776"/>
    </row>
    <row r="2777" spans="8:16" s="1" customFormat="1">
      <c r="H2777" s="185"/>
      <c r="I2777" s="185"/>
      <c r="J2777" s="185"/>
      <c r="K2777"/>
      <c r="L2777"/>
      <c r="M2777"/>
      <c r="N2777"/>
      <c r="O2777"/>
      <c r="P2777"/>
    </row>
    <row r="2778" spans="8:16" s="1" customFormat="1">
      <c r="H2778" s="185"/>
      <c r="I2778" s="185"/>
      <c r="J2778" s="185"/>
      <c r="K2778"/>
      <c r="L2778"/>
      <c r="M2778"/>
      <c r="N2778"/>
      <c r="O2778"/>
      <c r="P2778"/>
    </row>
    <row r="2779" spans="8:16" s="1" customFormat="1">
      <c r="H2779" s="185"/>
      <c r="I2779" s="185"/>
      <c r="J2779" s="185"/>
      <c r="K2779"/>
      <c r="L2779"/>
      <c r="M2779"/>
      <c r="N2779"/>
      <c r="O2779"/>
      <c r="P2779"/>
    </row>
    <row r="2780" spans="8:16" s="1" customFormat="1">
      <c r="H2780" s="185"/>
      <c r="I2780" s="185"/>
      <c r="J2780" s="185"/>
      <c r="K2780"/>
      <c r="L2780"/>
      <c r="M2780"/>
      <c r="N2780"/>
      <c r="O2780"/>
      <c r="P2780"/>
    </row>
    <row r="2781" spans="8:16" s="1" customFormat="1">
      <c r="H2781" s="185"/>
      <c r="I2781" s="185"/>
      <c r="J2781" s="185"/>
      <c r="K2781"/>
      <c r="L2781"/>
      <c r="M2781"/>
      <c r="N2781"/>
      <c r="O2781"/>
      <c r="P2781"/>
    </row>
    <row r="2782" spans="8:16" s="1" customFormat="1">
      <c r="H2782" s="185"/>
      <c r="I2782" s="185"/>
      <c r="J2782" s="185"/>
      <c r="K2782"/>
      <c r="L2782"/>
      <c r="M2782"/>
      <c r="N2782"/>
      <c r="O2782"/>
      <c r="P2782"/>
    </row>
    <row r="2783" spans="8:16" s="1" customFormat="1">
      <c r="H2783" s="185"/>
      <c r="I2783" s="185"/>
      <c r="J2783" s="185"/>
      <c r="K2783"/>
      <c r="L2783"/>
      <c r="M2783"/>
      <c r="N2783"/>
      <c r="O2783"/>
      <c r="P2783"/>
    </row>
    <row r="2784" spans="8:16" s="1" customFormat="1">
      <c r="H2784" s="185"/>
      <c r="I2784" s="185"/>
      <c r="J2784" s="185"/>
      <c r="K2784"/>
      <c r="L2784"/>
      <c r="M2784"/>
      <c r="N2784"/>
      <c r="O2784"/>
      <c r="P2784"/>
    </row>
    <row r="2785" spans="8:16" s="1" customFormat="1">
      <c r="H2785" s="185"/>
      <c r="I2785" s="185"/>
      <c r="J2785" s="185"/>
      <c r="K2785"/>
      <c r="L2785"/>
      <c r="M2785"/>
      <c r="N2785"/>
      <c r="O2785"/>
      <c r="P2785"/>
    </row>
    <row r="2786" spans="8:16" s="1" customFormat="1">
      <c r="H2786" s="185"/>
      <c r="I2786" s="185"/>
      <c r="J2786" s="185"/>
      <c r="K2786"/>
      <c r="L2786"/>
      <c r="M2786"/>
      <c r="N2786"/>
      <c r="O2786"/>
      <c r="P2786"/>
    </row>
    <row r="2787" spans="8:16" s="1" customFormat="1">
      <c r="H2787" s="185"/>
      <c r="I2787" s="185"/>
      <c r="J2787" s="185"/>
      <c r="K2787"/>
      <c r="L2787"/>
      <c r="M2787"/>
      <c r="N2787"/>
      <c r="O2787"/>
      <c r="P2787"/>
    </row>
    <row r="2788" spans="8:16" s="1" customFormat="1">
      <c r="H2788" s="185"/>
      <c r="I2788" s="185"/>
      <c r="J2788" s="185"/>
      <c r="K2788"/>
      <c r="L2788"/>
      <c r="M2788"/>
      <c r="N2788"/>
      <c r="O2788"/>
      <c r="P2788"/>
    </row>
    <row r="2789" spans="8:16" s="1" customFormat="1">
      <c r="H2789" s="185"/>
      <c r="I2789" s="185"/>
      <c r="J2789" s="185"/>
      <c r="K2789"/>
      <c r="L2789"/>
      <c r="M2789"/>
      <c r="N2789"/>
      <c r="O2789"/>
      <c r="P2789"/>
    </row>
    <row r="2790" spans="8:16" s="1" customFormat="1">
      <c r="H2790" s="185"/>
      <c r="I2790" s="185"/>
      <c r="J2790" s="185"/>
      <c r="K2790"/>
      <c r="L2790"/>
      <c r="M2790"/>
      <c r="N2790"/>
      <c r="O2790"/>
      <c r="P2790"/>
    </row>
    <row r="2791" spans="8:16" s="1" customFormat="1">
      <c r="H2791" s="185"/>
      <c r="I2791" s="185"/>
      <c r="J2791" s="185"/>
      <c r="K2791"/>
      <c r="L2791"/>
      <c r="M2791"/>
      <c r="N2791"/>
      <c r="O2791"/>
      <c r="P2791"/>
    </row>
    <row r="2792" spans="8:16" s="1" customFormat="1">
      <c r="H2792" s="185"/>
      <c r="I2792" s="185"/>
      <c r="J2792" s="185"/>
      <c r="K2792"/>
      <c r="L2792"/>
      <c r="M2792"/>
      <c r="N2792"/>
      <c r="O2792"/>
      <c r="P2792"/>
    </row>
    <row r="2793" spans="8:16" s="1" customFormat="1">
      <c r="H2793" s="185"/>
      <c r="I2793" s="185"/>
      <c r="J2793" s="185"/>
      <c r="K2793"/>
      <c r="L2793"/>
      <c r="M2793"/>
      <c r="N2793"/>
      <c r="O2793"/>
      <c r="P2793"/>
    </row>
    <row r="2794" spans="8:16" s="1" customFormat="1">
      <c r="H2794" s="185"/>
      <c r="I2794" s="185"/>
      <c r="J2794" s="185"/>
      <c r="K2794"/>
      <c r="L2794"/>
      <c r="M2794"/>
      <c r="N2794"/>
      <c r="O2794"/>
      <c r="P2794"/>
    </row>
    <row r="2795" spans="8:16" s="1" customFormat="1">
      <c r="H2795" s="185"/>
      <c r="I2795" s="185"/>
      <c r="J2795" s="185"/>
      <c r="K2795"/>
      <c r="L2795"/>
      <c r="M2795"/>
      <c r="N2795"/>
      <c r="O2795"/>
      <c r="P2795"/>
    </row>
    <row r="2796" spans="8:16" s="1" customFormat="1">
      <c r="H2796" s="185"/>
      <c r="I2796" s="185"/>
      <c r="J2796" s="185"/>
      <c r="K2796"/>
      <c r="L2796"/>
      <c r="M2796"/>
      <c r="N2796"/>
      <c r="O2796"/>
      <c r="P2796"/>
    </row>
    <row r="2797" spans="8:16" s="1" customFormat="1">
      <c r="H2797" s="185"/>
      <c r="I2797" s="185"/>
      <c r="J2797" s="185"/>
      <c r="K2797"/>
      <c r="L2797"/>
      <c r="M2797"/>
      <c r="N2797"/>
      <c r="O2797"/>
      <c r="P2797"/>
    </row>
    <row r="2798" spans="8:16" s="1" customFormat="1">
      <c r="H2798" s="185"/>
      <c r="I2798" s="185"/>
      <c r="J2798" s="185"/>
      <c r="K2798"/>
      <c r="L2798"/>
      <c r="M2798"/>
      <c r="N2798"/>
      <c r="O2798"/>
      <c r="P2798"/>
    </row>
    <row r="2799" spans="8:16" s="1" customFormat="1">
      <c r="H2799" s="185"/>
      <c r="I2799" s="185"/>
      <c r="J2799" s="185"/>
      <c r="K2799"/>
      <c r="L2799"/>
      <c r="M2799"/>
      <c r="N2799"/>
      <c r="O2799"/>
      <c r="P2799"/>
    </row>
    <row r="2800" spans="8:16" s="1" customFormat="1">
      <c r="H2800" s="185"/>
      <c r="I2800" s="185"/>
      <c r="J2800" s="185"/>
      <c r="K2800"/>
      <c r="L2800"/>
      <c r="M2800"/>
      <c r="N2800"/>
      <c r="O2800"/>
      <c r="P2800"/>
    </row>
    <row r="2801" spans="8:16" s="1" customFormat="1">
      <c r="H2801" s="185"/>
      <c r="I2801" s="185"/>
      <c r="J2801" s="185"/>
      <c r="K2801"/>
      <c r="L2801"/>
      <c r="M2801"/>
      <c r="N2801"/>
      <c r="O2801"/>
      <c r="P2801"/>
    </row>
    <row r="2802" spans="8:16" s="1" customFormat="1">
      <c r="H2802" s="185"/>
      <c r="I2802" s="185"/>
      <c r="J2802" s="185"/>
      <c r="K2802"/>
      <c r="L2802"/>
      <c r="M2802"/>
      <c r="N2802"/>
      <c r="O2802"/>
      <c r="P2802"/>
    </row>
    <row r="2803" spans="8:16" s="1" customFormat="1">
      <c r="H2803" s="185"/>
      <c r="I2803" s="185"/>
      <c r="J2803" s="185"/>
      <c r="K2803"/>
      <c r="L2803"/>
      <c r="M2803"/>
      <c r="N2803"/>
      <c r="O2803"/>
      <c r="P2803"/>
    </row>
    <row r="2804" spans="8:16" s="1" customFormat="1">
      <c r="H2804" s="185"/>
      <c r="I2804" s="185"/>
      <c r="J2804" s="185"/>
      <c r="K2804"/>
      <c r="L2804"/>
      <c r="M2804"/>
      <c r="N2804"/>
      <c r="O2804"/>
      <c r="P2804"/>
    </row>
    <row r="2805" spans="8:16" s="1" customFormat="1">
      <c r="H2805" s="185"/>
      <c r="I2805" s="185"/>
      <c r="J2805" s="185"/>
      <c r="K2805"/>
      <c r="L2805"/>
      <c r="M2805"/>
      <c r="N2805"/>
      <c r="O2805"/>
      <c r="P2805"/>
    </row>
    <row r="2806" spans="8:16" s="1" customFormat="1">
      <c r="H2806" s="185"/>
      <c r="I2806" s="185"/>
      <c r="J2806" s="185"/>
      <c r="K2806"/>
      <c r="L2806"/>
      <c r="M2806"/>
      <c r="N2806"/>
      <c r="O2806"/>
      <c r="P2806"/>
    </row>
    <row r="2807" spans="8:16" s="1" customFormat="1">
      <c r="H2807" s="185"/>
      <c r="I2807" s="185"/>
      <c r="J2807" s="185"/>
      <c r="K2807"/>
      <c r="L2807"/>
      <c r="M2807"/>
      <c r="N2807"/>
      <c r="O2807"/>
      <c r="P2807"/>
    </row>
    <row r="2808" spans="8:16" s="1" customFormat="1">
      <c r="H2808" s="185"/>
      <c r="I2808" s="185"/>
      <c r="J2808" s="185"/>
      <c r="K2808"/>
      <c r="L2808"/>
      <c r="M2808"/>
      <c r="N2808"/>
      <c r="O2808"/>
      <c r="P2808"/>
    </row>
    <row r="2809" spans="8:16" s="1" customFormat="1">
      <c r="H2809" s="185"/>
      <c r="I2809" s="185"/>
      <c r="J2809" s="185"/>
      <c r="K2809"/>
      <c r="L2809"/>
      <c r="M2809"/>
      <c r="N2809"/>
      <c r="O2809"/>
      <c r="P2809"/>
    </row>
    <row r="2810" spans="8:16" s="1" customFormat="1">
      <c r="H2810" s="185"/>
      <c r="I2810" s="185"/>
      <c r="J2810" s="185"/>
      <c r="K2810"/>
      <c r="L2810"/>
      <c r="M2810"/>
      <c r="N2810"/>
      <c r="O2810"/>
      <c r="P2810"/>
    </row>
    <row r="2811" spans="8:16" s="1" customFormat="1">
      <c r="H2811" s="185"/>
      <c r="I2811" s="185"/>
      <c r="J2811" s="185"/>
      <c r="K2811"/>
      <c r="L2811"/>
      <c r="M2811"/>
      <c r="N2811"/>
      <c r="O2811"/>
      <c r="P2811"/>
    </row>
    <row r="2812" spans="8:16" s="1" customFormat="1">
      <c r="H2812" s="185"/>
      <c r="I2812" s="185"/>
      <c r="J2812" s="185"/>
      <c r="K2812"/>
      <c r="L2812"/>
      <c r="M2812"/>
      <c r="N2812"/>
      <c r="O2812"/>
      <c r="P2812"/>
    </row>
    <row r="2813" spans="8:16" s="1" customFormat="1">
      <c r="H2813" s="185"/>
      <c r="I2813" s="185"/>
      <c r="J2813" s="185"/>
      <c r="K2813"/>
      <c r="L2813"/>
      <c r="M2813"/>
      <c r="N2813"/>
      <c r="O2813"/>
      <c r="P2813"/>
    </row>
    <row r="2814" spans="8:16" s="1" customFormat="1">
      <c r="H2814" s="185"/>
      <c r="I2814" s="185"/>
      <c r="J2814" s="185"/>
      <c r="K2814"/>
      <c r="L2814"/>
      <c r="M2814"/>
      <c r="N2814"/>
      <c r="O2814"/>
      <c r="P2814"/>
    </row>
    <row r="2815" spans="8:16" s="1" customFormat="1">
      <c r="H2815" s="185"/>
      <c r="I2815" s="185"/>
      <c r="J2815" s="185"/>
      <c r="K2815"/>
      <c r="L2815"/>
      <c r="M2815"/>
      <c r="N2815"/>
      <c r="O2815"/>
      <c r="P2815"/>
    </row>
    <row r="2816" spans="8:16" s="1" customFormat="1">
      <c r="H2816" s="185"/>
      <c r="I2816" s="185"/>
      <c r="J2816" s="185"/>
      <c r="K2816"/>
      <c r="L2816"/>
      <c r="M2816"/>
      <c r="N2816"/>
      <c r="O2816"/>
      <c r="P2816"/>
    </row>
    <row r="2817" spans="8:16" s="1" customFormat="1">
      <c r="H2817" s="185"/>
      <c r="I2817" s="185"/>
      <c r="J2817" s="185"/>
      <c r="K2817"/>
      <c r="L2817"/>
      <c r="M2817"/>
      <c r="N2817"/>
      <c r="O2817"/>
      <c r="P2817"/>
    </row>
    <row r="2818" spans="8:16" s="1" customFormat="1">
      <c r="H2818" s="185"/>
      <c r="I2818" s="185"/>
      <c r="J2818" s="185"/>
      <c r="K2818"/>
      <c r="L2818"/>
      <c r="M2818"/>
      <c r="N2818"/>
      <c r="O2818"/>
      <c r="P2818"/>
    </row>
    <row r="2819" spans="8:16" s="1" customFormat="1">
      <c r="H2819" s="185"/>
      <c r="I2819" s="185"/>
      <c r="J2819" s="185"/>
      <c r="K2819"/>
      <c r="L2819"/>
      <c r="M2819"/>
      <c r="N2819"/>
      <c r="O2819"/>
      <c r="P2819"/>
    </row>
    <row r="2820" spans="8:16" s="1" customFormat="1">
      <c r="H2820" s="185"/>
      <c r="I2820" s="185"/>
      <c r="J2820" s="185"/>
      <c r="K2820"/>
      <c r="L2820"/>
      <c r="M2820"/>
      <c r="N2820"/>
      <c r="O2820"/>
      <c r="P2820"/>
    </row>
    <row r="2821" spans="8:16" s="1" customFormat="1">
      <c r="H2821" s="185"/>
      <c r="I2821" s="185"/>
      <c r="J2821" s="185"/>
      <c r="K2821"/>
      <c r="L2821"/>
      <c r="M2821"/>
      <c r="N2821"/>
      <c r="O2821"/>
      <c r="P2821"/>
    </row>
    <row r="2822" spans="8:16" s="1" customFormat="1">
      <c r="H2822" s="185"/>
      <c r="I2822" s="185"/>
      <c r="J2822" s="185"/>
      <c r="K2822"/>
      <c r="L2822"/>
      <c r="M2822"/>
      <c r="N2822"/>
      <c r="O2822"/>
      <c r="P2822"/>
    </row>
    <row r="2823" spans="8:16" s="1" customFormat="1">
      <c r="H2823" s="185"/>
      <c r="I2823" s="185"/>
      <c r="J2823" s="185"/>
      <c r="K2823"/>
      <c r="L2823"/>
      <c r="M2823"/>
      <c r="N2823"/>
      <c r="O2823"/>
      <c r="P2823"/>
    </row>
    <row r="2824" spans="8:16" s="1" customFormat="1">
      <c r="H2824" s="185"/>
      <c r="I2824" s="185"/>
      <c r="J2824" s="185"/>
      <c r="K2824"/>
      <c r="L2824"/>
      <c r="M2824"/>
      <c r="N2824"/>
      <c r="O2824"/>
      <c r="P2824"/>
    </row>
    <row r="2825" spans="8:16" s="1" customFormat="1">
      <c r="H2825" s="185"/>
      <c r="I2825" s="185"/>
      <c r="J2825" s="185"/>
      <c r="K2825"/>
      <c r="L2825"/>
      <c r="M2825"/>
      <c r="N2825"/>
      <c r="O2825"/>
      <c r="P2825"/>
    </row>
    <row r="2826" spans="8:16" s="1" customFormat="1">
      <c r="H2826" s="185"/>
      <c r="I2826" s="185"/>
      <c r="J2826" s="185"/>
      <c r="K2826"/>
      <c r="L2826"/>
      <c r="M2826"/>
      <c r="N2826"/>
      <c r="O2826"/>
      <c r="P2826"/>
    </row>
    <row r="2827" spans="8:16" s="1" customFormat="1">
      <c r="H2827" s="185"/>
      <c r="I2827" s="185"/>
      <c r="J2827" s="185"/>
      <c r="K2827"/>
      <c r="L2827"/>
      <c r="M2827"/>
      <c r="N2827"/>
      <c r="O2827"/>
      <c r="P2827"/>
    </row>
    <row r="2828" spans="8:16" s="1" customFormat="1">
      <c r="H2828" s="185"/>
      <c r="I2828" s="185"/>
      <c r="J2828" s="185"/>
      <c r="K2828"/>
      <c r="L2828"/>
      <c r="M2828"/>
      <c r="N2828"/>
      <c r="O2828"/>
      <c r="P2828"/>
    </row>
    <row r="2829" spans="8:16" s="1" customFormat="1">
      <c r="H2829" s="185"/>
      <c r="I2829" s="185"/>
      <c r="J2829" s="185"/>
      <c r="K2829"/>
      <c r="L2829"/>
      <c r="M2829"/>
      <c r="N2829"/>
      <c r="O2829"/>
      <c r="P2829"/>
    </row>
    <row r="2830" spans="8:16" s="1" customFormat="1">
      <c r="H2830" s="185"/>
      <c r="I2830" s="185"/>
      <c r="J2830" s="185"/>
      <c r="K2830"/>
      <c r="L2830"/>
      <c r="M2830"/>
      <c r="N2830"/>
      <c r="O2830"/>
      <c r="P2830"/>
    </row>
    <row r="2831" spans="8:16" s="1" customFormat="1">
      <c r="H2831" s="185"/>
      <c r="I2831" s="185"/>
      <c r="J2831" s="185"/>
      <c r="K2831"/>
      <c r="L2831"/>
      <c r="M2831"/>
      <c r="N2831"/>
      <c r="O2831"/>
      <c r="P2831"/>
    </row>
    <row r="2832" spans="8:16" s="1" customFormat="1">
      <c r="H2832" s="185"/>
      <c r="I2832" s="185"/>
      <c r="J2832" s="185"/>
      <c r="K2832"/>
      <c r="L2832"/>
      <c r="M2832"/>
      <c r="N2832"/>
      <c r="O2832"/>
      <c r="P2832"/>
    </row>
    <row r="2833" spans="8:16" s="1" customFormat="1">
      <c r="H2833" s="185"/>
      <c r="I2833" s="185"/>
      <c r="J2833" s="185"/>
      <c r="K2833"/>
      <c r="L2833"/>
      <c r="M2833"/>
      <c r="N2833"/>
      <c r="O2833"/>
      <c r="P2833"/>
    </row>
    <row r="2834" spans="8:16" s="1" customFormat="1">
      <c r="H2834" s="185"/>
      <c r="I2834" s="185"/>
      <c r="J2834" s="185"/>
      <c r="K2834"/>
      <c r="L2834"/>
      <c r="M2834"/>
      <c r="N2834"/>
      <c r="O2834"/>
      <c r="P2834"/>
    </row>
    <row r="2835" spans="8:16" s="1" customFormat="1">
      <c r="H2835" s="185"/>
      <c r="I2835" s="185"/>
      <c r="J2835" s="185"/>
      <c r="K2835"/>
      <c r="L2835"/>
      <c r="M2835"/>
      <c r="N2835"/>
      <c r="O2835"/>
      <c r="P2835"/>
    </row>
    <row r="2836" spans="8:16" s="1" customFormat="1">
      <c r="H2836" s="185"/>
      <c r="I2836" s="185"/>
      <c r="J2836" s="185"/>
      <c r="K2836"/>
      <c r="L2836"/>
      <c r="M2836"/>
      <c r="N2836"/>
      <c r="O2836"/>
      <c r="P2836"/>
    </row>
    <row r="2837" spans="8:16" s="1" customFormat="1">
      <c r="H2837" s="185"/>
      <c r="I2837" s="185"/>
      <c r="J2837" s="185"/>
      <c r="K2837"/>
      <c r="L2837"/>
      <c r="M2837"/>
      <c r="N2837"/>
      <c r="O2837"/>
      <c r="P2837"/>
    </row>
    <row r="2838" spans="8:16" s="1" customFormat="1">
      <c r="H2838" s="185"/>
      <c r="I2838" s="185"/>
      <c r="J2838" s="185"/>
      <c r="K2838"/>
      <c r="L2838"/>
      <c r="M2838"/>
      <c r="N2838"/>
      <c r="O2838"/>
      <c r="P2838"/>
    </row>
    <row r="2839" spans="8:16" s="1" customFormat="1">
      <c r="H2839" s="185"/>
      <c r="I2839" s="185"/>
      <c r="J2839" s="185"/>
      <c r="K2839"/>
      <c r="L2839"/>
      <c r="M2839"/>
      <c r="N2839"/>
      <c r="O2839"/>
      <c r="P2839"/>
    </row>
    <row r="2840" spans="8:16" s="1" customFormat="1">
      <c r="H2840" s="185"/>
      <c r="I2840" s="185"/>
      <c r="J2840" s="185"/>
      <c r="K2840"/>
      <c r="L2840"/>
      <c r="M2840"/>
      <c r="N2840"/>
      <c r="O2840"/>
      <c r="P2840"/>
    </row>
    <row r="2841" spans="8:16" s="1" customFormat="1">
      <c r="H2841" s="185"/>
      <c r="I2841" s="185"/>
      <c r="J2841" s="185"/>
      <c r="K2841"/>
      <c r="L2841"/>
      <c r="M2841"/>
      <c r="N2841"/>
      <c r="O2841"/>
      <c r="P2841"/>
    </row>
    <row r="2842" spans="8:16" s="1" customFormat="1">
      <c r="H2842" s="185"/>
      <c r="I2842" s="185"/>
      <c r="J2842" s="185"/>
      <c r="K2842"/>
      <c r="L2842"/>
      <c r="M2842"/>
      <c r="N2842"/>
      <c r="O2842"/>
      <c r="P2842"/>
    </row>
    <row r="2843" spans="8:16" s="1" customFormat="1">
      <c r="H2843" s="185"/>
      <c r="I2843" s="185"/>
      <c r="J2843" s="185"/>
      <c r="K2843"/>
      <c r="L2843"/>
      <c r="M2843"/>
      <c r="N2843"/>
      <c r="O2843"/>
      <c r="P2843"/>
    </row>
    <row r="2844" spans="8:16" s="1" customFormat="1">
      <c r="H2844" s="185"/>
      <c r="I2844" s="185"/>
      <c r="J2844" s="185"/>
      <c r="K2844"/>
      <c r="L2844"/>
      <c r="M2844"/>
      <c r="N2844"/>
      <c r="O2844"/>
      <c r="P2844"/>
    </row>
    <row r="2845" spans="8:16" s="1" customFormat="1">
      <c r="H2845" s="185"/>
      <c r="I2845" s="185"/>
      <c r="J2845" s="185"/>
      <c r="K2845"/>
      <c r="L2845"/>
      <c r="M2845"/>
      <c r="N2845"/>
      <c r="O2845"/>
      <c r="P2845"/>
    </row>
    <row r="2846" spans="8:16" s="1" customFormat="1">
      <c r="H2846" s="185"/>
      <c r="I2846" s="185"/>
      <c r="J2846" s="185"/>
      <c r="K2846"/>
      <c r="L2846"/>
      <c r="M2846"/>
      <c r="N2846"/>
      <c r="O2846"/>
      <c r="P2846"/>
    </row>
    <row r="2847" spans="8:16" s="1" customFormat="1">
      <c r="H2847" s="185"/>
      <c r="I2847" s="185"/>
      <c r="J2847" s="185"/>
      <c r="K2847"/>
      <c r="L2847"/>
      <c r="M2847"/>
      <c r="N2847"/>
      <c r="O2847"/>
      <c r="P2847"/>
    </row>
    <row r="2848" spans="8:16" s="1" customFormat="1">
      <c r="H2848" s="185"/>
      <c r="I2848" s="185"/>
      <c r="J2848" s="185"/>
      <c r="K2848"/>
      <c r="L2848"/>
      <c r="M2848"/>
      <c r="N2848"/>
      <c r="O2848"/>
      <c r="P2848"/>
    </row>
    <row r="2849" spans="8:16" s="1" customFormat="1">
      <c r="H2849" s="185"/>
      <c r="I2849" s="185"/>
      <c r="J2849" s="185"/>
      <c r="K2849"/>
      <c r="L2849"/>
      <c r="M2849"/>
      <c r="N2849"/>
      <c r="O2849"/>
      <c r="P2849"/>
    </row>
    <row r="2850" spans="8:16" s="1" customFormat="1">
      <c r="H2850" s="185"/>
      <c r="I2850" s="185"/>
      <c r="J2850" s="185"/>
      <c r="K2850"/>
      <c r="L2850"/>
      <c r="M2850"/>
      <c r="N2850"/>
      <c r="O2850"/>
      <c r="P2850"/>
    </row>
    <row r="2851" spans="8:16" s="1" customFormat="1">
      <c r="H2851" s="185"/>
      <c r="I2851" s="185"/>
      <c r="J2851" s="185"/>
      <c r="K2851"/>
      <c r="L2851"/>
      <c r="M2851"/>
      <c r="N2851"/>
      <c r="O2851"/>
      <c r="P2851"/>
    </row>
    <row r="2852" spans="8:16" s="1" customFormat="1">
      <c r="H2852" s="185"/>
      <c r="I2852" s="185"/>
      <c r="J2852" s="185"/>
      <c r="K2852"/>
      <c r="L2852"/>
      <c r="M2852"/>
      <c r="N2852"/>
      <c r="O2852"/>
      <c r="P2852"/>
    </row>
    <row r="2853" spans="8:16" s="1" customFormat="1">
      <c r="H2853" s="185"/>
      <c r="I2853" s="185"/>
      <c r="J2853" s="185"/>
      <c r="K2853"/>
      <c r="L2853"/>
      <c r="M2853"/>
      <c r="N2853"/>
      <c r="O2853"/>
      <c r="P2853"/>
    </row>
    <row r="2854" spans="8:16" s="1" customFormat="1">
      <c r="H2854" s="185"/>
      <c r="I2854" s="185"/>
      <c r="J2854" s="185"/>
      <c r="K2854"/>
      <c r="L2854"/>
      <c r="M2854"/>
      <c r="N2854"/>
      <c r="O2854"/>
      <c r="P2854"/>
    </row>
    <row r="2855" spans="8:16" s="1" customFormat="1">
      <c r="H2855" s="185"/>
      <c r="I2855" s="185"/>
      <c r="J2855" s="185"/>
      <c r="K2855"/>
      <c r="L2855"/>
      <c r="M2855"/>
      <c r="N2855"/>
      <c r="O2855"/>
      <c r="P2855"/>
    </row>
    <row r="2856" spans="8:16" s="1" customFormat="1">
      <c r="H2856" s="185"/>
      <c r="I2856" s="185"/>
      <c r="J2856" s="185"/>
      <c r="K2856"/>
      <c r="L2856"/>
      <c r="M2856"/>
      <c r="N2856"/>
      <c r="O2856"/>
      <c r="P2856"/>
    </row>
    <row r="2857" spans="8:16" s="1" customFormat="1">
      <c r="H2857" s="185"/>
      <c r="I2857" s="185"/>
      <c r="J2857" s="185"/>
      <c r="K2857"/>
      <c r="L2857"/>
      <c r="M2857"/>
      <c r="N2857"/>
      <c r="O2857"/>
      <c r="P2857"/>
    </row>
    <row r="2858" spans="8:16" s="1" customFormat="1">
      <c r="H2858" s="185"/>
      <c r="I2858" s="185"/>
      <c r="J2858" s="185"/>
      <c r="K2858"/>
      <c r="L2858"/>
      <c r="M2858"/>
      <c r="N2858"/>
      <c r="O2858"/>
      <c r="P2858"/>
    </row>
    <row r="2859" spans="8:16" s="1" customFormat="1">
      <c r="H2859" s="185"/>
      <c r="I2859" s="185"/>
      <c r="J2859" s="185"/>
      <c r="K2859"/>
      <c r="L2859"/>
      <c r="M2859"/>
      <c r="N2859"/>
      <c r="O2859"/>
      <c r="P2859"/>
    </row>
    <row r="2860" spans="8:16" s="1" customFormat="1">
      <c r="H2860" s="185"/>
      <c r="I2860" s="185"/>
      <c r="J2860" s="185"/>
      <c r="K2860"/>
      <c r="L2860"/>
      <c r="M2860"/>
      <c r="N2860"/>
      <c r="O2860"/>
      <c r="P2860"/>
    </row>
    <row r="2861" spans="8:16" s="1" customFormat="1">
      <c r="H2861" s="185"/>
      <c r="I2861" s="185"/>
      <c r="J2861" s="185"/>
      <c r="K2861"/>
      <c r="L2861"/>
      <c r="M2861"/>
      <c r="N2861"/>
      <c r="O2861"/>
      <c r="P2861"/>
    </row>
    <row r="2862" spans="8:16" s="1" customFormat="1">
      <c r="H2862" s="185"/>
      <c r="I2862" s="185"/>
      <c r="J2862" s="185"/>
      <c r="K2862"/>
      <c r="L2862"/>
      <c r="M2862"/>
      <c r="N2862"/>
      <c r="O2862"/>
      <c r="P2862"/>
    </row>
    <row r="2863" spans="8:16" s="1" customFormat="1">
      <c r="H2863" s="185"/>
      <c r="I2863" s="185"/>
      <c r="J2863" s="185"/>
      <c r="K2863"/>
      <c r="L2863"/>
      <c r="M2863"/>
      <c r="N2863"/>
      <c r="O2863"/>
      <c r="P2863"/>
    </row>
    <row r="2864" spans="8:16" s="1" customFormat="1">
      <c r="H2864" s="185"/>
      <c r="I2864" s="185"/>
      <c r="J2864" s="185"/>
      <c r="K2864"/>
      <c r="L2864"/>
      <c r="M2864"/>
      <c r="N2864"/>
      <c r="O2864"/>
      <c r="P2864"/>
    </row>
    <row r="2865" spans="8:16" s="1" customFormat="1">
      <c r="H2865" s="185"/>
      <c r="I2865" s="185"/>
      <c r="J2865" s="185"/>
      <c r="K2865"/>
      <c r="L2865"/>
      <c r="M2865"/>
      <c r="N2865"/>
      <c r="O2865"/>
      <c r="P2865"/>
    </row>
    <row r="2866" spans="8:16" s="1" customFormat="1">
      <c r="H2866" s="185"/>
      <c r="I2866" s="185"/>
      <c r="J2866" s="185"/>
      <c r="K2866"/>
      <c r="L2866"/>
      <c r="M2866"/>
      <c r="N2866"/>
      <c r="O2866"/>
      <c r="P2866"/>
    </row>
    <row r="2867" spans="8:16" s="1" customFormat="1">
      <c r="H2867" s="185"/>
      <c r="I2867" s="185"/>
      <c r="J2867" s="185"/>
      <c r="K2867"/>
      <c r="L2867"/>
      <c r="M2867"/>
      <c r="N2867"/>
      <c r="O2867"/>
      <c r="P2867"/>
    </row>
    <row r="2868" spans="8:16" s="1" customFormat="1">
      <c r="H2868" s="185"/>
      <c r="I2868" s="185"/>
      <c r="J2868" s="185"/>
      <c r="K2868"/>
      <c r="L2868"/>
      <c r="M2868"/>
      <c r="N2868"/>
      <c r="O2868"/>
      <c r="P2868"/>
    </row>
    <row r="2869" spans="8:16" s="1" customFormat="1">
      <c r="H2869" s="185"/>
      <c r="I2869" s="185"/>
      <c r="J2869" s="185"/>
      <c r="K2869"/>
      <c r="L2869"/>
      <c r="M2869"/>
      <c r="N2869"/>
      <c r="O2869"/>
      <c r="P2869"/>
    </row>
    <row r="2870" spans="8:16" s="1" customFormat="1">
      <c r="H2870" s="185"/>
      <c r="I2870" s="185"/>
      <c r="J2870" s="185"/>
      <c r="K2870"/>
      <c r="L2870"/>
      <c r="M2870"/>
      <c r="N2870"/>
      <c r="O2870"/>
      <c r="P2870"/>
    </row>
    <row r="2871" spans="8:16" s="1" customFormat="1">
      <c r="H2871" s="185"/>
      <c r="I2871" s="185"/>
      <c r="J2871" s="185"/>
      <c r="K2871"/>
      <c r="L2871"/>
      <c r="M2871"/>
      <c r="N2871"/>
      <c r="O2871"/>
      <c r="P2871"/>
    </row>
    <row r="2872" spans="8:16" s="1" customFormat="1">
      <c r="H2872" s="185"/>
      <c r="I2872" s="185"/>
      <c r="J2872" s="185"/>
      <c r="K2872"/>
      <c r="L2872"/>
      <c r="M2872"/>
      <c r="N2872"/>
      <c r="O2872"/>
      <c r="P2872"/>
    </row>
    <row r="2873" spans="8:16" s="1" customFormat="1">
      <c r="H2873" s="185"/>
      <c r="I2873" s="185"/>
      <c r="J2873" s="185"/>
      <c r="K2873"/>
      <c r="L2873"/>
      <c r="M2873"/>
      <c r="N2873"/>
      <c r="O2873"/>
      <c r="P2873"/>
    </row>
    <row r="2874" spans="8:16" s="1" customFormat="1">
      <c r="H2874" s="185"/>
      <c r="I2874" s="185"/>
      <c r="J2874" s="185"/>
      <c r="K2874"/>
      <c r="L2874"/>
      <c r="M2874"/>
      <c r="N2874"/>
      <c r="O2874"/>
      <c r="P2874"/>
    </row>
    <row r="2875" spans="8:16" s="1" customFormat="1">
      <c r="H2875" s="185"/>
      <c r="I2875" s="185"/>
      <c r="J2875" s="185"/>
      <c r="K2875"/>
      <c r="L2875"/>
      <c r="M2875"/>
      <c r="N2875"/>
      <c r="O2875"/>
      <c r="P2875"/>
    </row>
    <row r="2876" spans="8:16" s="1" customFormat="1">
      <c r="H2876" s="185"/>
      <c r="I2876" s="185"/>
      <c r="J2876" s="185"/>
      <c r="K2876"/>
      <c r="L2876"/>
      <c r="M2876"/>
      <c r="N2876"/>
      <c r="O2876"/>
      <c r="P2876"/>
    </row>
    <row r="2877" spans="8:16" s="1" customFormat="1">
      <c r="H2877" s="185"/>
      <c r="I2877" s="185"/>
      <c r="J2877" s="185"/>
      <c r="K2877"/>
      <c r="L2877"/>
      <c r="M2877"/>
      <c r="N2877"/>
      <c r="O2877"/>
      <c r="P2877"/>
    </row>
    <row r="2878" spans="8:16" s="1" customFormat="1">
      <c r="H2878" s="185"/>
      <c r="I2878" s="185"/>
      <c r="J2878" s="185"/>
      <c r="K2878"/>
      <c r="L2878"/>
      <c r="M2878"/>
      <c r="N2878"/>
      <c r="O2878"/>
      <c r="P2878"/>
    </row>
    <row r="2879" spans="8:16" s="1" customFormat="1">
      <c r="H2879" s="185"/>
      <c r="I2879" s="185"/>
      <c r="J2879" s="185"/>
      <c r="K2879"/>
      <c r="L2879"/>
      <c r="M2879"/>
      <c r="N2879"/>
      <c r="O2879"/>
      <c r="P2879"/>
    </row>
    <row r="2880" spans="8:16" s="1" customFormat="1">
      <c r="H2880" s="185"/>
      <c r="I2880" s="185"/>
      <c r="J2880" s="185"/>
      <c r="K2880"/>
      <c r="L2880"/>
      <c r="M2880"/>
      <c r="N2880"/>
      <c r="O2880"/>
      <c r="P2880"/>
    </row>
    <row r="2881" spans="8:16" s="1" customFormat="1">
      <c r="H2881" s="185"/>
      <c r="I2881" s="185"/>
      <c r="J2881" s="185"/>
      <c r="K2881"/>
      <c r="L2881"/>
      <c r="M2881"/>
      <c r="N2881"/>
      <c r="O2881"/>
      <c r="P2881"/>
    </row>
    <row r="2882" spans="8:16" s="1" customFormat="1">
      <c r="H2882" s="185"/>
      <c r="I2882" s="185"/>
      <c r="J2882" s="185"/>
      <c r="K2882"/>
      <c r="L2882"/>
      <c r="M2882"/>
      <c r="N2882"/>
      <c r="O2882"/>
      <c r="P2882"/>
    </row>
    <row r="2883" spans="8:16" s="1" customFormat="1">
      <c r="H2883" s="185"/>
      <c r="I2883" s="185"/>
      <c r="J2883" s="185"/>
      <c r="K2883"/>
      <c r="L2883"/>
      <c r="M2883"/>
      <c r="N2883"/>
      <c r="O2883"/>
      <c r="P2883"/>
    </row>
    <row r="2884" spans="8:16" s="1" customFormat="1">
      <c r="H2884" s="185"/>
      <c r="I2884" s="185"/>
      <c r="J2884" s="185"/>
      <c r="K2884"/>
      <c r="L2884"/>
      <c r="M2884"/>
      <c r="N2884"/>
      <c r="O2884"/>
      <c r="P2884"/>
    </row>
    <row r="2885" spans="8:16" s="1" customFormat="1">
      <c r="H2885" s="185"/>
      <c r="I2885" s="185"/>
      <c r="J2885" s="185"/>
      <c r="K2885"/>
      <c r="L2885"/>
      <c r="M2885"/>
      <c r="N2885"/>
      <c r="O2885"/>
      <c r="P2885"/>
    </row>
    <row r="2886" spans="8:16" s="1" customFormat="1">
      <c r="H2886" s="185"/>
      <c r="I2886" s="185"/>
      <c r="J2886" s="185"/>
      <c r="K2886"/>
      <c r="L2886"/>
      <c r="M2886"/>
      <c r="N2886"/>
      <c r="O2886"/>
      <c r="P2886"/>
    </row>
    <row r="2887" spans="8:16" s="1" customFormat="1">
      <c r="H2887" s="185"/>
      <c r="I2887" s="185"/>
      <c r="J2887" s="185"/>
      <c r="K2887"/>
      <c r="L2887"/>
      <c r="M2887"/>
      <c r="N2887"/>
      <c r="O2887"/>
      <c r="P2887"/>
    </row>
    <row r="2888" spans="8:16" s="1" customFormat="1">
      <c r="H2888" s="185"/>
      <c r="I2888" s="185"/>
      <c r="J2888" s="185"/>
      <c r="K2888"/>
      <c r="L2888"/>
      <c r="M2888"/>
      <c r="N2888"/>
      <c r="O2888"/>
      <c r="P2888"/>
    </row>
    <row r="2889" spans="8:16" s="1" customFormat="1">
      <c r="H2889" s="185"/>
      <c r="I2889" s="185"/>
      <c r="J2889" s="185"/>
      <c r="K2889"/>
      <c r="L2889"/>
      <c r="M2889"/>
      <c r="N2889"/>
      <c r="O2889"/>
      <c r="P2889"/>
    </row>
    <row r="2890" spans="8:16" s="1" customFormat="1">
      <c r="H2890" s="185"/>
      <c r="I2890" s="185"/>
      <c r="J2890" s="185"/>
      <c r="K2890"/>
      <c r="L2890"/>
      <c r="M2890"/>
      <c r="N2890"/>
      <c r="O2890"/>
      <c r="P2890"/>
    </row>
    <row r="2891" spans="8:16" s="1" customFormat="1">
      <c r="H2891" s="185"/>
      <c r="I2891" s="185"/>
      <c r="J2891" s="185"/>
      <c r="K2891"/>
      <c r="L2891"/>
      <c r="M2891"/>
      <c r="N2891"/>
      <c r="O2891"/>
      <c r="P2891"/>
    </row>
    <row r="2892" spans="8:16" s="1" customFormat="1">
      <c r="H2892" s="185"/>
      <c r="I2892" s="185"/>
      <c r="J2892" s="185"/>
      <c r="K2892"/>
      <c r="L2892"/>
      <c r="M2892"/>
      <c r="N2892"/>
      <c r="O2892"/>
      <c r="P2892"/>
    </row>
    <row r="2893" spans="8:16" s="1" customFormat="1">
      <c r="H2893" s="185"/>
      <c r="I2893" s="185"/>
      <c r="J2893" s="185"/>
      <c r="K2893"/>
      <c r="L2893"/>
      <c r="M2893"/>
      <c r="N2893"/>
      <c r="O2893"/>
      <c r="P2893"/>
    </row>
    <row r="2894" spans="8:16" s="1" customFormat="1">
      <c r="H2894" s="185"/>
      <c r="I2894" s="185"/>
      <c r="J2894" s="185"/>
      <c r="K2894"/>
      <c r="L2894"/>
      <c r="M2894"/>
      <c r="N2894"/>
      <c r="O2894"/>
      <c r="P2894"/>
    </row>
    <row r="2895" spans="8:16" s="1" customFormat="1">
      <c r="H2895" s="185"/>
      <c r="I2895" s="185"/>
      <c r="J2895" s="185"/>
      <c r="K2895"/>
      <c r="L2895"/>
      <c r="M2895"/>
      <c r="N2895"/>
      <c r="O2895"/>
      <c r="P2895"/>
    </row>
    <row r="2896" spans="8:16" s="1" customFormat="1">
      <c r="H2896" s="185"/>
      <c r="I2896" s="185"/>
      <c r="J2896" s="185"/>
      <c r="K2896"/>
      <c r="L2896"/>
      <c r="M2896"/>
      <c r="N2896"/>
      <c r="O2896"/>
      <c r="P2896"/>
    </row>
    <row r="2897" spans="8:16" s="1" customFormat="1">
      <c r="H2897" s="185"/>
      <c r="I2897" s="185"/>
      <c r="J2897" s="185"/>
      <c r="K2897"/>
      <c r="L2897"/>
      <c r="M2897"/>
      <c r="N2897"/>
      <c r="O2897"/>
      <c r="P2897"/>
    </row>
    <row r="2898" spans="8:16" s="1" customFormat="1">
      <c r="H2898" s="185"/>
      <c r="I2898" s="185"/>
      <c r="J2898" s="185"/>
      <c r="K2898"/>
      <c r="L2898"/>
      <c r="M2898"/>
      <c r="N2898"/>
      <c r="O2898"/>
      <c r="P2898"/>
    </row>
    <row r="2899" spans="8:16" s="1" customFormat="1">
      <c r="H2899" s="185"/>
      <c r="I2899" s="185"/>
      <c r="J2899" s="185"/>
      <c r="K2899"/>
      <c r="L2899"/>
      <c r="M2899"/>
      <c r="N2899"/>
      <c r="O2899"/>
      <c r="P2899"/>
    </row>
    <row r="2900" spans="8:16" s="1" customFormat="1">
      <c r="H2900" s="185"/>
      <c r="I2900" s="185"/>
      <c r="J2900" s="185"/>
      <c r="K2900"/>
      <c r="L2900"/>
      <c r="M2900"/>
      <c r="N2900"/>
      <c r="O2900"/>
      <c r="P2900"/>
    </row>
    <row r="2901" spans="8:16" s="1" customFormat="1">
      <c r="H2901" s="185"/>
      <c r="I2901" s="185"/>
      <c r="J2901" s="185"/>
      <c r="K2901"/>
      <c r="L2901"/>
      <c r="M2901"/>
      <c r="N2901"/>
      <c r="O2901"/>
      <c r="P2901"/>
    </row>
    <row r="2902" spans="8:16" s="1" customFormat="1">
      <c r="H2902" s="185"/>
      <c r="I2902" s="185"/>
      <c r="J2902" s="185"/>
      <c r="K2902"/>
      <c r="L2902"/>
      <c r="M2902"/>
      <c r="N2902"/>
      <c r="O2902"/>
      <c r="P2902"/>
    </row>
    <row r="2903" spans="8:16" s="1" customFormat="1">
      <c r="H2903" s="185"/>
      <c r="I2903" s="185"/>
      <c r="J2903" s="185"/>
      <c r="K2903"/>
      <c r="L2903"/>
      <c r="M2903"/>
      <c r="N2903"/>
      <c r="O2903"/>
      <c r="P2903"/>
    </row>
    <row r="2904" spans="8:16" s="1" customFormat="1">
      <c r="H2904" s="185"/>
      <c r="I2904" s="185"/>
      <c r="J2904" s="185"/>
      <c r="K2904"/>
      <c r="L2904"/>
      <c r="M2904"/>
      <c r="N2904"/>
      <c r="O2904"/>
      <c r="P2904"/>
    </row>
    <row r="2905" spans="8:16" s="1" customFormat="1">
      <c r="H2905" s="185"/>
      <c r="I2905" s="185"/>
      <c r="J2905" s="185"/>
      <c r="K2905"/>
      <c r="L2905"/>
      <c r="M2905"/>
      <c r="N2905"/>
      <c r="O2905"/>
      <c r="P2905"/>
    </row>
    <row r="2906" spans="8:16" s="1" customFormat="1">
      <c r="H2906" s="185"/>
      <c r="I2906" s="185"/>
      <c r="J2906" s="185"/>
      <c r="K2906"/>
      <c r="L2906"/>
      <c r="M2906"/>
      <c r="N2906"/>
      <c r="O2906"/>
      <c r="P2906"/>
    </row>
    <row r="2907" spans="8:16" s="1" customFormat="1">
      <c r="H2907" s="185"/>
      <c r="I2907" s="185"/>
      <c r="J2907" s="185"/>
      <c r="K2907"/>
      <c r="L2907"/>
      <c r="M2907"/>
      <c r="N2907"/>
      <c r="O2907"/>
      <c r="P2907"/>
    </row>
    <row r="2908" spans="8:16" s="1" customFormat="1">
      <c r="H2908" s="185"/>
      <c r="I2908" s="185"/>
      <c r="J2908" s="185"/>
      <c r="K2908"/>
      <c r="L2908"/>
      <c r="M2908"/>
      <c r="N2908"/>
      <c r="O2908"/>
      <c r="P2908"/>
    </row>
    <row r="2909" spans="8:16" s="1" customFormat="1">
      <c r="H2909" s="185"/>
      <c r="I2909" s="185"/>
      <c r="J2909" s="185"/>
      <c r="K2909"/>
      <c r="L2909"/>
      <c r="M2909"/>
      <c r="N2909"/>
      <c r="O2909"/>
      <c r="P2909"/>
    </row>
    <row r="2910" spans="8:16" s="1" customFormat="1">
      <c r="H2910" s="185"/>
      <c r="I2910" s="185"/>
      <c r="J2910" s="185"/>
      <c r="K2910"/>
      <c r="L2910"/>
      <c r="M2910"/>
      <c r="N2910"/>
      <c r="O2910"/>
      <c r="P2910"/>
    </row>
    <row r="2911" spans="8:16" s="1" customFormat="1">
      <c r="H2911" s="185"/>
      <c r="I2911" s="185"/>
      <c r="J2911" s="185"/>
      <c r="K2911"/>
      <c r="L2911"/>
      <c r="M2911"/>
      <c r="N2911"/>
      <c r="O2911"/>
      <c r="P2911"/>
    </row>
    <row r="2912" spans="8:16" s="1" customFormat="1">
      <c r="H2912" s="185"/>
      <c r="I2912" s="185"/>
      <c r="J2912" s="185"/>
      <c r="K2912"/>
      <c r="L2912"/>
      <c r="M2912"/>
      <c r="N2912"/>
      <c r="O2912"/>
      <c r="P2912"/>
    </row>
    <row r="2913" spans="8:16" s="1" customFormat="1">
      <c r="H2913" s="185"/>
      <c r="I2913" s="185"/>
      <c r="J2913" s="185"/>
      <c r="K2913"/>
      <c r="L2913"/>
      <c r="M2913"/>
      <c r="N2913"/>
      <c r="O2913"/>
      <c r="P2913"/>
    </row>
    <row r="2914" spans="8:16" s="1" customFormat="1">
      <c r="H2914" s="185"/>
      <c r="I2914" s="185"/>
      <c r="J2914" s="185"/>
      <c r="K2914"/>
      <c r="L2914"/>
      <c r="M2914"/>
      <c r="N2914"/>
      <c r="O2914"/>
      <c r="P2914"/>
    </row>
    <row r="2915" spans="8:16" s="1" customFormat="1">
      <c r="H2915" s="185"/>
      <c r="I2915" s="185"/>
      <c r="J2915" s="185"/>
      <c r="K2915"/>
      <c r="L2915"/>
      <c r="M2915"/>
      <c r="N2915"/>
      <c r="O2915"/>
      <c r="P2915"/>
    </row>
    <row r="2916" spans="8:16" s="1" customFormat="1">
      <c r="H2916" s="185"/>
      <c r="I2916" s="185"/>
      <c r="J2916" s="185"/>
      <c r="K2916"/>
      <c r="L2916"/>
      <c r="M2916"/>
      <c r="N2916"/>
      <c r="O2916"/>
      <c r="P2916"/>
    </row>
    <row r="2917" spans="8:16" s="1" customFormat="1">
      <c r="H2917" s="185"/>
      <c r="I2917" s="185"/>
      <c r="J2917" s="185"/>
      <c r="K2917"/>
      <c r="L2917"/>
      <c r="M2917"/>
      <c r="N2917"/>
      <c r="O2917"/>
      <c r="P2917"/>
    </row>
    <row r="2918" spans="8:16" s="1" customFormat="1">
      <c r="H2918" s="185"/>
      <c r="I2918" s="185"/>
      <c r="J2918" s="185"/>
      <c r="K2918"/>
      <c r="L2918"/>
      <c r="M2918"/>
      <c r="N2918"/>
      <c r="O2918"/>
      <c r="P2918"/>
    </row>
    <row r="2919" spans="8:16" s="1" customFormat="1">
      <c r="H2919" s="185"/>
      <c r="I2919" s="185"/>
      <c r="J2919" s="185"/>
      <c r="K2919"/>
      <c r="L2919"/>
      <c r="M2919"/>
      <c r="N2919"/>
      <c r="O2919"/>
      <c r="P2919"/>
    </row>
    <row r="2920" spans="8:16" s="1" customFormat="1">
      <c r="H2920" s="185"/>
      <c r="I2920" s="185"/>
      <c r="J2920" s="185"/>
      <c r="K2920"/>
      <c r="L2920"/>
      <c r="M2920"/>
      <c r="N2920"/>
      <c r="O2920"/>
      <c r="P2920"/>
    </row>
    <row r="2921" spans="8:16" s="1" customFormat="1">
      <c r="H2921" s="185"/>
      <c r="I2921" s="185"/>
      <c r="J2921" s="185"/>
      <c r="K2921"/>
      <c r="L2921"/>
      <c r="M2921"/>
      <c r="N2921"/>
      <c r="O2921"/>
      <c r="P2921"/>
    </row>
    <row r="2922" spans="8:16" s="1" customFormat="1">
      <c r="H2922" s="185"/>
      <c r="I2922" s="185"/>
      <c r="J2922" s="185"/>
      <c r="K2922"/>
      <c r="L2922"/>
      <c r="M2922"/>
      <c r="N2922"/>
      <c r="O2922"/>
      <c r="P2922"/>
    </row>
    <row r="2923" spans="8:16" s="1" customFormat="1">
      <c r="H2923" s="185"/>
      <c r="I2923" s="185"/>
      <c r="J2923" s="185"/>
      <c r="K2923"/>
      <c r="L2923"/>
      <c r="M2923"/>
      <c r="N2923"/>
      <c r="O2923"/>
      <c r="P2923"/>
    </row>
    <row r="2924" spans="8:16" s="1" customFormat="1">
      <c r="H2924" s="185"/>
      <c r="I2924" s="185"/>
      <c r="J2924" s="185"/>
      <c r="K2924"/>
      <c r="L2924"/>
      <c r="M2924"/>
      <c r="N2924"/>
      <c r="O2924"/>
      <c r="P2924"/>
    </row>
    <row r="2925" spans="8:16" s="1" customFormat="1">
      <c r="H2925" s="185"/>
      <c r="I2925" s="185"/>
      <c r="J2925" s="185"/>
      <c r="K2925"/>
      <c r="L2925"/>
      <c r="M2925"/>
      <c r="N2925"/>
      <c r="O2925"/>
      <c r="P2925"/>
    </row>
    <row r="2926" spans="8:16" s="1" customFormat="1">
      <c r="H2926" s="185"/>
      <c r="I2926" s="185"/>
      <c r="J2926" s="185"/>
      <c r="K2926"/>
      <c r="L2926"/>
      <c r="M2926"/>
      <c r="N2926"/>
      <c r="O2926"/>
      <c r="P2926"/>
    </row>
    <row r="2927" spans="8:16" s="1" customFormat="1">
      <c r="H2927" s="185"/>
      <c r="I2927" s="185"/>
      <c r="J2927" s="185"/>
      <c r="K2927"/>
      <c r="L2927"/>
      <c r="M2927"/>
      <c r="N2927"/>
      <c r="O2927"/>
      <c r="P2927"/>
    </row>
    <row r="2928" spans="8:16" s="1" customFormat="1">
      <c r="H2928" s="185"/>
      <c r="I2928" s="185"/>
      <c r="J2928" s="185"/>
      <c r="K2928"/>
      <c r="L2928"/>
      <c r="M2928"/>
      <c r="N2928"/>
      <c r="O2928"/>
      <c r="P2928"/>
    </row>
    <row r="2929" spans="8:16" s="1" customFormat="1">
      <c r="H2929" s="185"/>
      <c r="I2929" s="185"/>
      <c r="J2929" s="185"/>
      <c r="K2929"/>
      <c r="L2929"/>
      <c r="M2929"/>
      <c r="N2929"/>
      <c r="O2929"/>
      <c r="P2929"/>
    </row>
    <row r="2930" spans="8:16" s="1" customFormat="1">
      <c r="H2930" s="185"/>
      <c r="I2930" s="185"/>
      <c r="J2930" s="185"/>
      <c r="K2930"/>
      <c r="L2930"/>
      <c r="M2930"/>
      <c r="N2930"/>
      <c r="O2930"/>
      <c r="P2930"/>
    </row>
    <row r="2931" spans="8:16" s="1" customFormat="1">
      <c r="H2931" s="185"/>
      <c r="I2931" s="185"/>
      <c r="J2931" s="185"/>
      <c r="K2931"/>
      <c r="L2931"/>
      <c r="M2931"/>
      <c r="N2931"/>
      <c r="O2931"/>
      <c r="P2931"/>
    </row>
    <row r="2932" spans="8:16" s="1" customFormat="1">
      <c r="H2932" s="185"/>
      <c r="I2932" s="185"/>
      <c r="J2932" s="185"/>
      <c r="K2932"/>
      <c r="L2932"/>
      <c r="M2932"/>
      <c r="N2932"/>
      <c r="O2932"/>
      <c r="P2932"/>
    </row>
    <row r="2933" spans="8:16" s="1" customFormat="1">
      <c r="H2933" s="185"/>
      <c r="I2933" s="185"/>
      <c r="J2933" s="185"/>
      <c r="K2933"/>
      <c r="L2933"/>
      <c r="M2933"/>
      <c r="N2933"/>
      <c r="O2933"/>
      <c r="P2933"/>
    </row>
    <row r="2934" spans="8:16" s="1" customFormat="1">
      <c r="H2934" s="185"/>
      <c r="I2934" s="185"/>
      <c r="J2934" s="185"/>
      <c r="K2934"/>
      <c r="L2934"/>
      <c r="M2934"/>
      <c r="N2934"/>
      <c r="O2934"/>
      <c r="P2934"/>
    </row>
    <row r="2935" spans="8:16" s="1" customFormat="1">
      <c r="H2935" s="185"/>
      <c r="I2935" s="185"/>
      <c r="J2935" s="185"/>
      <c r="K2935"/>
      <c r="L2935"/>
      <c r="M2935"/>
      <c r="N2935"/>
      <c r="O2935"/>
      <c r="P2935"/>
    </row>
    <row r="2936" spans="8:16" s="1" customFormat="1">
      <c r="H2936" s="185"/>
      <c r="I2936" s="185"/>
      <c r="J2936" s="185"/>
      <c r="K2936"/>
      <c r="L2936"/>
      <c r="M2936"/>
      <c r="N2936"/>
      <c r="O2936"/>
      <c r="P2936"/>
    </row>
    <row r="2937" spans="8:16" s="1" customFormat="1">
      <c r="H2937" s="185"/>
      <c r="I2937" s="185"/>
      <c r="J2937" s="185"/>
      <c r="K2937"/>
      <c r="L2937"/>
      <c r="M2937"/>
      <c r="N2937"/>
      <c r="O2937"/>
      <c r="P2937"/>
    </row>
    <row r="2938" spans="8:16" s="1" customFormat="1">
      <c r="H2938" s="185"/>
      <c r="I2938" s="185"/>
      <c r="J2938" s="185"/>
      <c r="K2938"/>
      <c r="L2938"/>
      <c r="M2938"/>
      <c r="N2938"/>
      <c r="O2938"/>
      <c r="P2938"/>
    </row>
    <row r="2939" spans="8:16" s="1" customFormat="1">
      <c r="H2939" s="185"/>
      <c r="I2939" s="185"/>
      <c r="J2939" s="185"/>
      <c r="K2939"/>
      <c r="L2939"/>
      <c r="M2939"/>
      <c r="N2939"/>
      <c r="O2939"/>
      <c r="P2939"/>
    </row>
    <row r="2940" spans="8:16" s="1" customFormat="1">
      <c r="H2940" s="185"/>
      <c r="I2940" s="185"/>
      <c r="J2940" s="185"/>
      <c r="K2940"/>
      <c r="L2940"/>
      <c r="M2940"/>
      <c r="N2940"/>
      <c r="O2940"/>
      <c r="P2940"/>
    </row>
    <row r="2941" spans="8:16" s="1" customFormat="1">
      <c r="H2941" s="185"/>
      <c r="I2941" s="185"/>
      <c r="J2941" s="185"/>
      <c r="K2941"/>
      <c r="L2941"/>
      <c r="M2941"/>
      <c r="N2941"/>
      <c r="O2941"/>
      <c r="P2941"/>
    </row>
    <row r="2942" spans="8:16" s="1" customFormat="1">
      <c r="H2942" s="185"/>
      <c r="I2942" s="185"/>
      <c r="J2942" s="185"/>
      <c r="K2942"/>
      <c r="L2942"/>
      <c r="M2942"/>
      <c r="N2942"/>
      <c r="O2942"/>
      <c r="P2942"/>
    </row>
    <row r="2943" spans="8:16" s="1" customFormat="1">
      <c r="H2943" s="185"/>
      <c r="I2943" s="185"/>
      <c r="J2943" s="185"/>
      <c r="K2943"/>
      <c r="L2943"/>
      <c r="M2943"/>
      <c r="N2943"/>
      <c r="O2943"/>
      <c r="P2943"/>
    </row>
    <row r="2944" spans="8:16" s="1" customFormat="1">
      <c r="H2944" s="185"/>
      <c r="I2944" s="185"/>
      <c r="J2944" s="185"/>
      <c r="K2944"/>
      <c r="L2944"/>
      <c r="M2944"/>
      <c r="N2944"/>
      <c r="O2944"/>
      <c r="P2944"/>
    </row>
    <row r="2945" spans="8:16" s="1" customFormat="1">
      <c r="H2945" s="185"/>
      <c r="I2945" s="185"/>
      <c r="J2945" s="185"/>
      <c r="K2945"/>
      <c r="L2945"/>
      <c r="M2945"/>
      <c r="N2945"/>
      <c r="O2945"/>
      <c r="P2945"/>
    </row>
    <row r="2946" spans="8:16" s="1" customFormat="1">
      <c r="H2946" s="185"/>
      <c r="I2946" s="185"/>
      <c r="J2946" s="185"/>
      <c r="K2946"/>
      <c r="L2946"/>
      <c r="M2946"/>
      <c r="N2946"/>
      <c r="O2946"/>
      <c r="P2946"/>
    </row>
    <row r="2947" spans="8:16" s="1" customFormat="1">
      <c r="H2947" s="185"/>
      <c r="I2947" s="185"/>
      <c r="J2947" s="185"/>
      <c r="K2947"/>
      <c r="L2947"/>
      <c r="M2947"/>
      <c r="N2947"/>
      <c r="O2947"/>
      <c r="P2947"/>
    </row>
    <row r="2948" spans="8:16" s="1" customFormat="1">
      <c r="H2948" s="185"/>
      <c r="I2948" s="185"/>
      <c r="J2948" s="185"/>
      <c r="K2948"/>
      <c r="L2948"/>
      <c r="M2948"/>
      <c r="N2948"/>
      <c r="O2948"/>
      <c r="P2948"/>
    </row>
    <row r="2949" spans="8:16" s="1" customFormat="1">
      <c r="H2949" s="185"/>
      <c r="I2949" s="185"/>
      <c r="J2949" s="185"/>
      <c r="K2949"/>
      <c r="L2949"/>
      <c r="M2949"/>
      <c r="N2949"/>
      <c r="O2949"/>
      <c r="P2949"/>
    </row>
    <row r="2950" spans="8:16" s="1" customFormat="1">
      <c r="H2950" s="185"/>
      <c r="I2950" s="185"/>
      <c r="J2950" s="185"/>
      <c r="K2950"/>
      <c r="L2950"/>
      <c r="M2950"/>
      <c r="N2950"/>
      <c r="O2950"/>
      <c r="P2950"/>
    </row>
    <row r="2951" spans="8:16" s="1" customFormat="1">
      <c r="H2951" s="185"/>
      <c r="I2951" s="185"/>
      <c r="J2951" s="185"/>
      <c r="K2951"/>
      <c r="L2951"/>
      <c r="M2951"/>
      <c r="N2951"/>
      <c r="O2951"/>
      <c r="P2951"/>
    </row>
    <row r="2952" spans="8:16" s="1" customFormat="1">
      <c r="H2952" s="185"/>
      <c r="I2952" s="185"/>
      <c r="J2952" s="185"/>
      <c r="K2952"/>
      <c r="L2952"/>
      <c r="M2952"/>
      <c r="N2952"/>
      <c r="O2952"/>
      <c r="P2952"/>
    </row>
    <row r="2953" spans="8:16" s="1" customFormat="1">
      <c r="H2953" s="185"/>
      <c r="I2953" s="185"/>
      <c r="J2953" s="185"/>
      <c r="K2953"/>
      <c r="L2953"/>
      <c r="M2953"/>
      <c r="N2953"/>
      <c r="O2953"/>
      <c r="P2953"/>
    </row>
    <row r="2954" spans="8:16" s="1" customFormat="1">
      <c r="H2954" s="185"/>
      <c r="I2954" s="185"/>
      <c r="J2954" s="185"/>
      <c r="K2954"/>
      <c r="L2954"/>
      <c r="M2954"/>
      <c r="N2954"/>
      <c r="O2954"/>
      <c r="P2954"/>
    </row>
    <row r="2955" spans="8:16" s="1" customFormat="1">
      <c r="H2955" s="185"/>
      <c r="I2955" s="185"/>
      <c r="J2955" s="185"/>
      <c r="K2955"/>
      <c r="L2955"/>
      <c r="M2955"/>
      <c r="N2955"/>
      <c r="O2955"/>
      <c r="P2955"/>
    </row>
    <row r="2956" spans="8:16" s="1" customFormat="1">
      <c r="H2956" s="185"/>
      <c r="I2956" s="185"/>
      <c r="J2956" s="185"/>
      <c r="K2956"/>
      <c r="L2956"/>
      <c r="M2956"/>
      <c r="N2956"/>
      <c r="O2956"/>
      <c r="P2956"/>
    </row>
    <row r="2957" spans="8:16" s="1" customFormat="1">
      <c r="H2957" s="185"/>
      <c r="I2957" s="185"/>
      <c r="J2957" s="185"/>
      <c r="K2957"/>
      <c r="L2957"/>
      <c r="M2957"/>
      <c r="N2957"/>
      <c r="O2957"/>
      <c r="P2957"/>
    </row>
    <row r="2958" spans="8:16" s="1" customFormat="1">
      <c r="H2958" s="185"/>
      <c r="I2958" s="185"/>
      <c r="J2958" s="185"/>
      <c r="K2958"/>
      <c r="L2958"/>
      <c r="M2958"/>
      <c r="N2958"/>
      <c r="O2958"/>
      <c r="P2958"/>
    </row>
    <row r="2959" spans="8:16" s="1" customFormat="1">
      <c r="H2959" s="185"/>
      <c r="I2959" s="185"/>
      <c r="J2959" s="185"/>
      <c r="K2959"/>
      <c r="L2959"/>
      <c r="M2959"/>
      <c r="N2959"/>
      <c r="O2959"/>
      <c r="P2959"/>
    </row>
    <row r="2960" spans="8:16" s="1" customFormat="1">
      <c r="H2960" s="185"/>
      <c r="I2960" s="185"/>
      <c r="J2960" s="185"/>
      <c r="K2960"/>
      <c r="L2960"/>
      <c r="M2960"/>
      <c r="N2960"/>
      <c r="O2960"/>
      <c r="P2960"/>
    </row>
    <row r="2961" spans="8:16" s="1" customFormat="1">
      <c r="H2961" s="185"/>
      <c r="I2961" s="185"/>
      <c r="J2961" s="185"/>
      <c r="K2961"/>
      <c r="L2961"/>
      <c r="M2961"/>
      <c r="N2961"/>
      <c r="O2961"/>
      <c r="P2961"/>
    </row>
    <row r="2962" spans="8:16" s="1" customFormat="1">
      <c r="H2962" s="185"/>
      <c r="I2962" s="185"/>
      <c r="J2962" s="185"/>
      <c r="K2962"/>
      <c r="L2962"/>
      <c r="M2962"/>
      <c r="N2962"/>
      <c r="O2962"/>
      <c r="P2962"/>
    </row>
    <row r="2963" spans="8:16" s="1" customFormat="1">
      <c r="H2963" s="185"/>
      <c r="I2963" s="185"/>
      <c r="J2963" s="185"/>
      <c r="K2963"/>
      <c r="L2963"/>
      <c r="M2963"/>
      <c r="N2963"/>
      <c r="O2963"/>
      <c r="P2963"/>
    </row>
    <row r="2964" spans="8:16" s="1" customFormat="1">
      <c r="H2964" s="185"/>
      <c r="I2964" s="185"/>
      <c r="J2964" s="185"/>
      <c r="K2964"/>
      <c r="L2964"/>
      <c r="M2964"/>
      <c r="N2964"/>
      <c r="O2964"/>
      <c r="P2964"/>
    </row>
    <row r="2965" spans="8:16" s="1" customFormat="1">
      <c r="H2965" s="185"/>
      <c r="I2965" s="185"/>
      <c r="J2965" s="185"/>
      <c r="K2965"/>
      <c r="L2965"/>
      <c r="M2965"/>
      <c r="N2965"/>
      <c r="O2965"/>
      <c r="P2965"/>
    </row>
    <row r="2966" spans="8:16" s="1" customFormat="1">
      <c r="H2966" s="185"/>
      <c r="I2966" s="185"/>
      <c r="J2966" s="185"/>
      <c r="K2966"/>
      <c r="L2966"/>
      <c r="M2966"/>
      <c r="N2966"/>
      <c r="O2966"/>
      <c r="P2966"/>
    </row>
    <row r="2967" spans="8:16" s="1" customFormat="1">
      <c r="H2967" s="185"/>
      <c r="I2967" s="185"/>
      <c r="J2967" s="185"/>
      <c r="K2967"/>
      <c r="L2967"/>
      <c r="M2967"/>
      <c r="N2967"/>
      <c r="O2967"/>
      <c r="P2967"/>
    </row>
    <row r="2968" spans="8:16" s="1" customFormat="1">
      <c r="H2968" s="185"/>
      <c r="I2968" s="185"/>
      <c r="J2968" s="185"/>
      <c r="K2968"/>
      <c r="L2968"/>
      <c r="M2968"/>
      <c r="N2968"/>
      <c r="O2968"/>
      <c r="P2968"/>
    </row>
    <row r="2969" spans="8:16" s="1" customFormat="1">
      <c r="H2969" s="185"/>
      <c r="I2969" s="185"/>
      <c r="J2969" s="185"/>
      <c r="K2969"/>
      <c r="L2969"/>
      <c r="M2969"/>
      <c r="N2969"/>
      <c r="O2969"/>
      <c r="P2969"/>
    </row>
    <row r="2970" spans="8:16" s="1" customFormat="1">
      <c r="H2970" s="185"/>
      <c r="I2970" s="185"/>
      <c r="J2970" s="185"/>
      <c r="K2970"/>
      <c r="L2970"/>
      <c r="M2970"/>
      <c r="N2970"/>
      <c r="O2970"/>
      <c r="P2970"/>
    </row>
    <row r="2971" spans="8:16" s="1" customFormat="1">
      <c r="H2971" s="185"/>
      <c r="I2971" s="185"/>
      <c r="J2971" s="185"/>
      <c r="K2971"/>
      <c r="L2971"/>
      <c r="M2971"/>
      <c r="N2971"/>
      <c r="O2971"/>
      <c r="P2971"/>
    </row>
    <row r="2972" spans="8:16" s="1" customFormat="1">
      <c r="H2972" s="185"/>
      <c r="I2972" s="185"/>
      <c r="J2972" s="185"/>
      <c r="K2972"/>
      <c r="L2972"/>
      <c r="M2972"/>
      <c r="N2972"/>
      <c r="O2972"/>
      <c r="P2972"/>
    </row>
    <row r="2973" spans="8:16" s="1" customFormat="1">
      <c r="H2973" s="185"/>
      <c r="I2973" s="185"/>
      <c r="J2973" s="185"/>
      <c r="K2973"/>
      <c r="L2973"/>
      <c r="M2973"/>
      <c r="N2973"/>
      <c r="O2973"/>
      <c r="P2973"/>
    </row>
    <row r="2974" spans="8:16" s="1" customFormat="1">
      <c r="H2974" s="185"/>
      <c r="I2974" s="185"/>
      <c r="J2974" s="185"/>
      <c r="K2974"/>
      <c r="L2974"/>
      <c r="M2974"/>
      <c r="N2974"/>
      <c r="O2974"/>
      <c r="P2974"/>
    </row>
    <row r="2975" spans="8:16" s="1" customFormat="1">
      <c r="H2975" s="185"/>
      <c r="I2975" s="185"/>
      <c r="J2975" s="185"/>
      <c r="K2975"/>
      <c r="L2975"/>
      <c r="M2975"/>
      <c r="N2975"/>
      <c r="O2975"/>
      <c r="P2975"/>
    </row>
    <row r="2976" spans="8:16" s="1" customFormat="1">
      <c r="H2976" s="185"/>
      <c r="I2976" s="185"/>
      <c r="J2976" s="185"/>
      <c r="K2976"/>
      <c r="L2976"/>
      <c r="M2976"/>
      <c r="N2976"/>
      <c r="O2976"/>
      <c r="P2976"/>
    </row>
    <row r="2977" spans="8:16" s="1" customFormat="1">
      <c r="H2977" s="185"/>
      <c r="I2977" s="185"/>
      <c r="J2977" s="185"/>
      <c r="K2977"/>
      <c r="L2977"/>
      <c r="M2977"/>
      <c r="N2977"/>
      <c r="O2977"/>
      <c r="P2977"/>
    </row>
    <row r="2978" spans="8:16" s="1" customFormat="1">
      <c r="H2978" s="185"/>
      <c r="I2978" s="185"/>
      <c r="J2978" s="185"/>
      <c r="K2978"/>
      <c r="L2978"/>
      <c r="M2978"/>
      <c r="N2978"/>
      <c r="O2978"/>
      <c r="P2978"/>
    </row>
    <row r="2979" spans="8:16" s="1" customFormat="1">
      <c r="H2979" s="185"/>
      <c r="I2979" s="185"/>
      <c r="J2979" s="185"/>
      <c r="K2979"/>
      <c r="L2979"/>
      <c r="M2979"/>
      <c r="N2979"/>
      <c r="O2979"/>
      <c r="P2979"/>
    </row>
    <row r="2980" spans="8:16" s="1" customFormat="1">
      <c r="H2980" s="185"/>
      <c r="I2980" s="185"/>
      <c r="J2980" s="185"/>
      <c r="K2980"/>
      <c r="L2980"/>
      <c r="M2980"/>
      <c r="N2980"/>
      <c r="O2980"/>
      <c r="P2980"/>
    </row>
    <row r="2981" spans="8:16" s="1" customFormat="1">
      <c r="H2981" s="185"/>
      <c r="I2981" s="185"/>
      <c r="J2981" s="185"/>
      <c r="K2981"/>
      <c r="L2981"/>
      <c r="M2981"/>
      <c r="N2981"/>
      <c r="O2981"/>
      <c r="P2981"/>
    </row>
    <row r="2982" spans="8:16" s="1" customFormat="1">
      <c r="H2982" s="185"/>
      <c r="I2982" s="185"/>
      <c r="J2982" s="185"/>
      <c r="K2982"/>
      <c r="L2982"/>
      <c r="M2982"/>
      <c r="N2982"/>
      <c r="O2982"/>
      <c r="P2982"/>
    </row>
    <row r="2983" spans="8:16" s="1" customFormat="1">
      <c r="H2983" s="185"/>
      <c r="I2983" s="185"/>
      <c r="J2983" s="185"/>
      <c r="K2983"/>
      <c r="L2983"/>
      <c r="M2983"/>
      <c r="N2983"/>
      <c r="O2983"/>
      <c r="P2983"/>
    </row>
    <row r="2984" spans="8:16" s="1" customFormat="1">
      <c r="H2984" s="185"/>
      <c r="I2984" s="185"/>
      <c r="J2984" s="185"/>
      <c r="K2984"/>
      <c r="L2984"/>
      <c r="M2984"/>
      <c r="N2984"/>
      <c r="O2984"/>
      <c r="P2984"/>
    </row>
    <row r="2985" spans="8:16" s="1" customFormat="1">
      <c r="H2985" s="185"/>
      <c r="I2985" s="185"/>
      <c r="J2985" s="185"/>
      <c r="K2985"/>
      <c r="L2985"/>
      <c r="M2985"/>
      <c r="N2985"/>
      <c r="O2985"/>
      <c r="P2985"/>
    </row>
    <row r="2986" spans="8:16" s="1" customFormat="1">
      <c r="H2986" s="185"/>
      <c r="I2986" s="185"/>
      <c r="J2986" s="185"/>
      <c r="K2986"/>
      <c r="L2986"/>
      <c r="M2986"/>
      <c r="N2986"/>
      <c r="O2986"/>
      <c r="P2986"/>
    </row>
    <row r="2987" spans="8:16" s="1" customFormat="1">
      <c r="H2987" s="185"/>
      <c r="I2987" s="185"/>
      <c r="J2987" s="185"/>
      <c r="K2987"/>
      <c r="L2987"/>
      <c r="M2987"/>
      <c r="N2987"/>
      <c r="O2987"/>
      <c r="P2987"/>
    </row>
    <row r="2988" spans="8:16" s="1" customFormat="1">
      <c r="H2988" s="185"/>
      <c r="I2988" s="185"/>
      <c r="J2988" s="185"/>
      <c r="K2988"/>
      <c r="L2988"/>
      <c r="M2988"/>
      <c r="N2988"/>
      <c r="O2988"/>
      <c r="P2988"/>
    </row>
    <row r="2989" spans="8:16" s="1" customFormat="1">
      <c r="H2989" s="185"/>
      <c r="I2989" s="185"/>
      <c r="J2989" s="185"/>
      <c r="K2989"/>
      <c r="L2989"/>
      <c r="M2989"/>
      <c r="N2989"/>
      <c r="O2989"/>
      <c r="P2989"/>
    </row>
    <row r="2990" spans="8:16" s="1" customFormat="1">
      <c r="H2990" s="185"/>
      <c r="I2990" s="185"/>
      <c r="J2990" s="185"/>
      <c r="K2990"/>
      <c r="L2990"/>
      <c r="M2990"/>
      <c r="N2990"/>
      <c r="O2990"/>
      <c r="P2990"/>
    </row>
    <row r="2991" spans="8:16" s="1" customFormat="1">
      <c r="H2991" s="185"/>
      <c r="I2991" s="185"/>
      <c r="J2991" s="185"/>
      <c r="K2991"/>
      <c r="L2991"/>
      <c r="M2991"/>
      <c r="N2991"/>
      <c r="O2991"/>
      <c r="P2991"/>
    </row>
    <row r="2992" spans="8:16" s="1" customFormat="1">
      <c r="H2992" s="185"/>
      <c r="I2992" s="185"/>
      <c r="J2992" s="185"/>
      <c r="K2992"/>
      <c r="L2992"/>
      <c r="M2992"/>
      <c r="N2992"/>
      <c r="O2992"/>
      <c r="P2992"/>
    </row>
    <row r="2993" spans="8:16" s="1" customFormat="1">
      <c r="H2993" s="185"/>
      <c r="I2993" s="185"/>
      <c r="J2993" s="185"/>
      <c r="K2993"/>
      <c r="L2993"/>
      <c r="M2993"/>
      <c r="N2993"/>
      <c r="O2993"/>
      <c r="P2993"/>
    </row>
    <row r="2994" spans="8:16" s="1" customFormat="1">
      <c r="H2994" s="185"/>
      <c r="I2994" s="185"/>
      <c r="J2994" s="185"/>
      <c r="K2994"/>
      <c r="L2994"/>
      <c r="M2994"/>
      <c r="N2994"/>
      <c r="O2994"/>
      <c r="P2994"/>
    </row>
    <row r="2995" spans="8:16" s="1" customFormat="1">
      <c r="H2995" s="185"/>
      <c r="I2995" s="185"/>
      <c r="J2995" s="185"/>
      <c r="K2995"/>
      <c r="L2995"/>
      <c r="M2995"/>
      <c r="N2995"/>
      <c r="O2995"/>
      <c r="P2995"/>
    </row>
    <row r="2996" spans="8:16" s="1" customFormat="1">
      <c r="H2996" s="185"/>
      <c r="I2996" s="185"/>
      <c r="J2996" s="185"/>
      <c r="K2996"/>
      <c r="L2996"/>
      <c r="M2996"/>
      <c r="N2996"/>
      <c r="O2996"/>
      <c r="P2996"/>
    </row>
    <row r="2997" spans="8:16" s="1" customFormat="1">
      <c r="H2997" s="185"/>
      <c r="I2997" s="185"/>
      <c r="J2997" s="185"/>
      <c r="K2997"/>
      <c r="L2997"/>
      <c r="M2997"/>
      <c r="N2997"/>
      <c r="O2997"/>
      <c r="P2997"/>
    </row>
    <row r="2998" spans="8:16" s="1" customFormat="1">
      <c r="H2998" s="185"/>
      <c r="I2998" s="185"/>
      <c r="J2998" s="185"/>
      <c r="K2998"/>
      <c r="L2998"/>
      <c r="M2998"/>
      <c r="N2998"/>
      <c r="O2998"/>
      <c r="P2998"/>
    </row>
    <row r="2999" spans="8:16" s="1" customFormat="1">
      <c r="H2999" s="185"/>
      <c r="I2999" s="185"/>
      <c r="J2999" s="185"/>
      <c r="K2999"/>
      <c r="L2999"/>
      <c r="M2999"/>
      <c r="N2999"/>
      <c r="O2999"/>
      <c r="P2999"/>
    </row>
    <row r="3000" spans="8:16" s="1" customFormat="1">
      <c r="H3000" s="185"/>
      <c r="I3000" s="185"/>
      <c r="J3000" s="185"/>
      <c r="K3000"/>
      <c r="L3000"/>
      <c r="M3000"/>
      <c r="N3000"/>
      <c r="O3000"/>
      <c r="P3000"/>
    </row>
    <row r="3001" spans="8:16" s="1" customFormat="1">
      <c r="H3001" s="185"/>
      <c r="I3001" s="185"/>
      <c r="J3001" s="185"/>
      <c r="K3001"/>
      <c r="L3001"/>
      <c r="M3001"/>
      <c r="N3001"/>
      <c r="O3001"/>
      <c r="P3001"/>
    </row>
    <row r="3002" spans="8:16" s="1" customFormat="1">
      <c r="H3002" s="185"/>
      <c r="I3002" s="185"/>
      <c r="J3002" s="185"/>
      <c r="K3002"/>
      <c r="L3002"/>
      <c r="M3002"/>
      <c r="N3002"/>
      <c r="O3002"/>
      <c r="P3002"/>
    </row>
    <row r="3003" spans="8:16" s="1" customFormat="1">
      <c r="H3003" s="185"/>
      <c r="I3003" s="185"/>
      <c r="J3003" s="185"/>
      <c r="K3003"/>
      <c r="L3003"/>
      <c r="M3003"/>
      <c r="N3003"/>
      <c r="O3003"/>
      <c r="P3003"/>
    </row>
    <row r="3004" spans="8:16" s="1" customFormat="1">
      <c r="H3004" s="185"/>
      <c r="I3004" s="185"/>
      <c r="J3004" s="185"/>
      <c r="K3004"/>
      <c r="L3004"/>
      <c r="M3004"/>
      <c r="N3004"/>
      <c r="O3004"/>
      <c r="P3004"/>
    </row>
    <row r="3005" spans="8:16" s="1" customFormat="1">
      <c r="H3005" s="185"/>
      <c r="I3005" s="185"/>
      <c r="J3005" s="185"/>
      <c r="K3005"/>
      <c r="L3005"/>
      <c r="M3005"/>
      <c r="N3005"/>
      <c r="O3005"/>
      <c r="P3005"/>
    </row>
    <row r="3006" spans="8:16" s="1" customFormat="1">
      <c r="H3006" s="185"/>
      <c r="I3006" s="185"/>
      <c r="J3006" s="185"/>
      <c r="K3006"/>
      <c r="L3006"/>
      <c r="M3006"/>
      <c r="N3006"/>
      <c r="O3006"/>
      <c r="P3006"/>
    </row>
    <row r="3007" spans="8:16" s="1" customFormat="1">
      <c r="H3007" s="185"/>
      <c r="I3007" s="185"/>
      <c r="J3007" s="185"/>
      <c r="K3007"/>
      <c r="L3007"/>
      <c r="M3007"/>
      <c r="N3007"/>
      <c r="O3007"/>
      <c r="P3007"/>
    </row>
    <row r="3008" spans="8:16" s="1" customFormat="1">
      <c r="H3008" s="185"/>
      <c r="I3008" s="185"/>
      <c r="J3008" s="185"/>
      <c r="K3008"/>
      <c r="L3008"/>
      <c r="M3008"/>
      <c r="N3008"/>
      <c r="O3008"/>
      <c r="P3008"/>
    </row>
    <row r="3009" spans="8:16" s="1" customFormat="1">
      <c r="H3009" s="185"/>
      <c r="I3009" s="185"/>
      <c r="J3009" s="185"/>
      <c r="K3009"/>
      <c r="L3009"/>
      <c r="M3009"/>
      <c r="N3009"/>
      <c r="O3009"/>
      <c r="P3009"/>
    </row>
    <row r="3010" spans="8:16" s="1" customFormat="1">
      <c r="H3010" s="185"/>
      <c r="I3010" s="185"/>
      <c r="J3010" s="185"/>
      <c r="K3010"/>
      <c r="L3010"/>
      <c r="M3010"/>
      <c r="N3010"/>
      <c r="O3010"/>
      <c r="P3010"/>
    </row>
    <row r="3011" spans="8:16" s="1" customFormat="1">
      <c r="H3011" s="185"/>
      <c r="I3011" s="185"/>
      <c r="J3011" s="185"/>
      <c r="K3011"/>
      <c r="L3011"/>
      <c r="M3011"/>
      <c r="N3011"/>
      <c r="O3011"/>
      <c r="P3011"/>
    </row>
    <row r="3012" spans="8:16" s="1" customFormat="1">
      <c r="H3012" s="185"/>
      <c r="I3012" s="185"/>
      <c r="J3012" s="185"/>
      <c r="K3012"/>
      <c r="L3012"/>
      <c r="M3012"/>
      <c r="N3012"/>
      <c r="O3012"/>
      <c r="P3012"/>
    </row>
    <row r="3013" spans="8:16" s="1" customFormat="1">
      <c r="H3013" s="185"/>
      <c r="I3013" s="185"/>
      <c r="J3013" s="185"/>
      <c r="K3013"/>
      <c r="L3013"/>
      <c r="M3013"/>
      <c r="N3013"/>
      <c r="O3013"/>
      <c r="P3013"/>
    </row>
    <row r="3014" spans="8:16" s="1" customFormat="1">
      <c r="H3014" s="185"/>
      <c r="I3014" s="185"/>
      <c r="J3014" s="185"/>
      <c r="K3014"/>
      <c r="L3014"/>
      <c r="M3014"/>
      <c r="N3014"/>
      <c r="O3014"/>
      <c r="P3014"/>
    </row>
    <row r="3015" spans="8:16" s="1" customFormat="1">
      <c r="H3015" s="185"/>
      <c r="I3015" s="185"/>
      <c r="J3015" s="185"/>
      <c r="K3015"/>
      <c r="L3015"/>
      <c r="M3015"/>
      <c r="N3015"/>
      <c r="O3015"/>
      <c r="P3015"/>
    </row>
    <row r="3016" spans="8:16" s="1" customFormat="1">
      <c r="H3016" s="185"/>
      <c r="I3016" s="185"/>
      <c r="J3016" s="185"/>
      <c r="K3016"/>
      <c r="L3016"/>
      <c r="M3016"/>
      <c r="N3016"/>
      <c r="O3016"/>
      <c r="P3016"/>
    </row>
    <row r="3017" spans="8:16" s="1" customFormat="1">
      <c r="H3017" s="185"/>
      <c r="I3017" s="185"/>
      <c r="J3017" s="185"/>
      <c r="K3017"/>
      <c r="L3017"/>
      <c r="M3017"/>
      <c r="N3017"/>
      <c r="O3017"/>
      <c r="P3017"/>
    </row>
    <row r="3018" spans="8:16" s="1" customFormat="1">
      <c r="H3018" s="185"/>
      <c r="I3018" s="185"/>
      <c r="J3018" s="185"/>
      <c r="K3018"/>
      <c r="L3018"/>
      <c r="M3018"/>
      <c r="N3018"/>
      <c r="O3018"/>
      <c r="P3018"/>
    </row>
    <row r="3019" spans="8:16" s="1" customFormat="1">
      <c r="H3019" s="185"/>
      <c r="I3019" s="185"/>
      <c r="J3019" s="185"/>
      <c r="K3019"/>
      <c r="L3019"/>
      <c r="M3019"/>
      <c r="N3019"/>
      <c r="O3019"/>
      <c r="P3019"/>
    </row>
    <row r="3020" spans="8:16" s="1" customFormat="1">
      <c r="H3020" s="185"/>
      <c r="I3020" s="185"/>
      <c r="J3020" s="185"/>
      <c r="K3020"/>
      <c r="L3020"/>
      <c r="M3020"/>
      <c r="N3020"/>
      <c r="O3020"/>
      <c r="P3020"/>
    </row>
    <row r="3021" spans="8:16" s="1" customFormat="1">
      <c r="H3021" s="185"/>
      <c r="I3021" s="185"/>
      <c r="J3021" s="185"/>
      <c r="K3021"/>
      <c r="L3021"/>
      <c r="M3021"/>
      <c r="N3021"/>
      <c r="O3021"/>
      <c r="P3021"/>
    </row>
    <row r="3022" spans="8:16" s="1" customFormat="1">
      <c r="H3022" s="185"/>
      <c r="I3022" s="185"/>
      <c r="J3022" s="185"/>
      <c r="K3022"/>
      <c r="L3022"/>
      <c r="M3022"/>
      <c r="N3022"/>
      <c r="O3022"/>
      <c r="P3022"/>
    </row>
    <row r="3023" spans="8:16" s="1" customFormat="1">
      <c r="H3023" s="185"/>
      <c r="I3023" s="185"/>
      <c r="J3023" s="185"/>
      <c r="K3023"/>
      <c r="L3023"/>
      <c r="M3023"/>
      <c r="N3023"/>
      <c r="O3023"/>
      <c r="P3023"/>
    </row>
    <row r="3024" spans="8:16" s="1" customFormat="1">
      <c r="H3024" s="185"/>
      <c r="I3024" s="185"/>
      <c r="J3024" s="185"/>
      <c r="K3024"/>
      <c r="L3024"/>
      <c r="M3024"/>
      <c r="N3024"/>
      <c r="O3024"/>
      <c r="P3024"/>
    </row>
    <row r="3025" spans="8:16" s="1" customFormat="1">
      <c r="H3025" s="185"/>
      <c r="I3025" s="185"/>
      <c r="J3025" s="185"/>
      <c r="K3025"/>
      <c r="L3025"/>
      <c r="M3025"/>
      <c r="N3025"/>
      <c r="O3025"/>
      <c r="P3025"/>
    </row>
    <row r="3026" spans="8:16" s="1" customFormat="1">
      <c r="H3026" s="185"/>
      <c r="I3026" s="185"/>
      <c r="J3026" s="185"/>
      <c r="K3026"/>
      <c r="L3026"/>
      <c r="M3026"/>
      <c r="N3026"/>
      <c r="O3026"/>
      <c r="P3026"/>
    </row>
    <row r="3027" spans="8:16" s="1" customFormat="1">
      <c r="H3027" s="185"/>
      <c r="I3027" s="185"/>
      <c r="J3027" s="185"/>
      <c r="K3027"/>
      <c r="L3027"/>
      <c r="M3027"/>
      <c r="N3027"/>
      <c r="O3027"/>
      <c r="P3027"/>
    </row>
    <row r="3028" spans="8:16" s="1" customFormat="1">
      <c r="H3028" s="185"/>
      <c r="I3028" s="185"/>
      <c r="J3028" s="185"/>
      <c r="K3028"/>
      <c r="L3028"/>
      <c r="M3028"/>
      <c r="N3028"/>
      <c r="O3028"/>
      <c r="P3028"/>
    </row>
    <row r="3029" spans="8:16" s="1" customFormat="1">
      <c r="H3029" s="185"/>
      <c r="I3029" s="185"/>
      <c r="J3029" s="185"/>
      <c r="K3029"/>
      <c r="L3029"/>
      <c r="M3029"/>
      <c r="N3029"/>
      <c r="O3029"/>
      <c r="P3029"/>
    </row>
    <row r="3030" spans="8:16" s="1" customFormat="1">
      <c r="H3030" s="185"/>
      <c r="I3030" s="185"/>
      <c r="J3030" s="185"/>
      <c r="K3030"/>
      <c r="L3030"/>
      <c r="M3030"/>
      <c r="N3030"/>
      <c r="O3030"/>
      <c r="P3030"/>
    </row>
    <row r="3031" spans="8:16" s="1" customFormat="1">
      <c r="H3031" s="185"/>
      <c r="I3031" s="185"/>
      <c r="J3031" s="185"/>
      <c r="K3031"/>
      <c r="L3031"/>
      <c r="M3031"/>
      <c r="N3031"/>
      <c r="O3031"/>
      <c r="P3031"/>
    </row>
    <row r="3032" spans="8:16" s="1" customFormat="1">
      <c r="H3032" s="185"/>
      <c r="I3032" s="185"/>
      <c r="J3032" s="185"/>
      <c r="K3032"/>
      <c r="L3032"/>
      <c r="M3032"/>
      <c r="N3032"/>
      <c r="O3032"/>
      <c r="P3032"/>
    </row>
    <row r="3033" spans="8:16" s="1" customFormat="1">
      <c r="H3033" s="185"/>
      <c r="I3033" s="185"/>
      <c r="J3033" s="185"/>
      <c r="K3033"/>
      <c r="L3033"/>
      <c r="M3033"/>
      <c r="N3033"/>
      <c r="O3033"/>
      <c r="P3033"/>
    </row>
    <row r="3034" spans="8:16" s="1" customFormat="1">
      <c r="H3034" s="185"/>
      <c r="I3034" s="185"/>
      <c r="J3034" s="185"/>
      <c r="K3034"/>
      <c r="L3034"/>
      <c r="M3034"/>
      <c r="N3034"/>
      <c r="O3034"/>
      <c r="P3034"/>
    </row>
    <row r="3035" spans="8:16" s="1" customFormat="1">
      <c r="H3035" s="185"/>
      <c r="I3035" s="185"/>
      <c r="J3035" s="185"/>
      <c r="K3035"/>
      <c r="L3035"/>
      <c r="M3035"/>
      <c r="N3035"/>
      <c r="O3035"/>
      <c r="P3035"/>
    </row>
    <row r="3036" spans="8:16" s="1" customFormat="1">
      <c r="H3036" s="185"/>
      <c r="I3036" s="185"/>
      <c r="J3036" s="185"/>
      <c r="K3036"/>
      <c r="L3036"/>
      <c r="M3036"/>
      <c r="N3036"/>
      <c r="O3036"/>
      <c r="P3036"/>
    </row>
    <row r="3037" spans="8:16" s="1" customFormat="1">
      <c r="H3037" s="185"/>
      <c r="I3037" s="185"/>
      <c r="J3037" s="185"/>
      <c r="K3037"/>
      <c r="L3037"/>
      <c r="M3037"/>
      <c r="N3037"/>
      <c r="O3037"/>
      <c r="P3037"/>
    </row>
    <row r="3038" spans="8:16" s="1" customFormat="1">
      <c r="H3038" s="185"/>
      <c r="I3038" s="185"/>
      <c r="J3038" s="185"/>
      <c r="K3038"/>
      <c r="L3038"/>
      <c r="M3038"/>
      <c r="N3038"/>
      <c r="O3038"/>
      <c r="P3038"/>
    </row>
    <row r="3039" spans="8:16" s="1" customFormat="1">
      <c r="H3039" s="185"/>
      <c r="I3039" s="185"/>
      <c r="J3039" s="185"/>
      <c r="K3039"/>
      <c r="L3039"/>
      <c r="M3039"/>
      <c r="N3039"/>
      <c r="O3039"/>
      <c r="P3039"/>
    </row>
    <row r="3040" spans="8:16" s="1" customFormat="1">
      <c r="H3040" s="185"/>
      <c r="I3040" s="185"/>
      <c r="J3040" s="185"/>
      <c r="K3040"/>
      <c r="L3040"/>
      <c r="M3040"/>
      <c r="N3040"/>
      <c r="O3040"/>
      <c r="P3040"/>
    </row>
    <row r="3041" spans="8:16" s="1" customFormat="1">
      <c r="H3041" s="185"/>
      <c r="I3041" s="185"/>
      <c r="J3041" s="185"/>
      <c r="K3041"/>
      <c r="L3041"/>
      <c r="M3041"/>
      <c r="N3041"/>
      <c r="O3041"/>
      <c r="P3041"/>
    </row>
    <row r="3042" spans="8:16" s="1" customFormat="1">
      <c r="H3042" s="185"/>
      <c r="I3042" s="185"/>
      <c r="J3042" s="185"/>
      <c r="K3042"/>
      <c r="L3042"/>
      <c r="M3042"/>
      <c r="N3042"/>
      <c r="O3042"/>
      <c r="P3042"/>
    </row>
    <row r="3043" spans="8:16" s="1" customFormat="1">
      <c r="H3043" s="185"/>
      <c r="I3043" s="185"/>
      <c r="J3043" s="185"/>
      <c r="K3043"/>
      <c r="L3043"/>
      <c r="M3043"/>
      <c r="N3043"/>
      <c r="O3043"/>
      <c r="P3043"/>
    </row>
    <row r="3044" spans="8:16" s="1" customFormat="1">
      <c r="H3044" s="185"/>
      <c r="I3044" s="185"/>
      <c r="J3044" s="185"/>
      <c r="K3044"/>
      <c r="L3044"/>
      <c r="M3044"/>
      <c r="N3044"/>
      <c r="O3044"/>
      <c r="P3044"/>
    </row>
    <row r="3045" spans="8:16" s="1" customFormat="1">
      <c r="H3045" s="185"/>
      <c r="I3045" s="185"/>
      <c r="J3045" s="185"/>
      <c r="K3045"/>
      <c r="L3045"/>
      <c r="M3045"/>
      <c r="N3045"/>
      <c r="O3045"/>
      <c r="P3045"/>
    </row>
    <row r="3046" spans="8:16" s="1" customFormat="1">
      <c r="H3046" s="185"/>
      <c r="I3046" s="185"/>
      <c r="J3046" s="185"/>
      <c r="K3046"/>
      <c r="L3046"/>
      <c r="M3046"/>
      <c r="N3046"/>
      <c r="O3046"/>
      <c r="P3046"/>
    </row>
    <row r="3047" spans="8:16" s="1" customFormat="1">
      <c r="H3047" s="185"/>
      <c r="I3047" s="185"/>
      <c r="J3047" s="185"/>
      <c r="K3047"/>
      <c r="L3047"/>
      <c r="M3047"/>
      <c r="N3047"/>
      <c r="O3047"/>
      <c r="P3047"/>
    </row>
    <row r="3048" spans="8:16" s="1" customFormat="1">
      <c r="H3048" s="185"/>
      <c r="I3048" s="185"/>
      <c r="J3048" s="185"/>
      <c r="K3048"/>
      <c r="L3048"/>
      <c r="M3048"/>
      <c r="N3048"/>
      <c r="O3048"/>
      <c r="P3048"/>
    </row>
    <row r="3049" spans="8:16" s="1" customFormat="1">
      <c r="H3049" s="185"/>
      <c r="I3049" s="185"/>
      <c r="J3049" s="185"/>
      <c r="K3049"/>
      <c r="L3049"/>
      <c r="M3049"/>
      <c r="N3049"/>
      <c r="O3049"/>
      <c r="P3049"/>
    </row>
    <row r="3050" spans="8:16" s="1" customFormat="1">
      <c r="H3050" s="185"/>
      <c r="I3050" s="185"/>
      <c r="J3050" s="185"/>
      <c r="K3050"/>
      <c r="L3050"/>
      <c r="M3050"/>
      <c r="N3050"/>
      <c r="O3050"/>
      <c r="P3050"/>
    </row>
    <row r="3051" spans="8:16" s="1" customFormat="1">
      <c r="H3051" s="185"/>
      <c r="I3051" s="185"/>
      <c r="J3051" s="185"/>
      <c r="K3051"/>
      <c r="L3051"/>
      <c r="M3051"/>
      <c r="N3051"/>
      <c r="O3051"/>
      <c r="P3051"/>
    </row>
    <row r="3052" spans="8:16" s="1" customFormat="1">
      <c r="H3052" s="185"/>
      <c r="I3052" s="185"/>
      <c r="J3052" s="185"/>
      <c r="K3052"/>
      <c r="L3052"/>
      <c r="M3052"/>
      <c r="N3052"/>
      <c r="O3052"/>
      <c r="P3052"/>
    </row>
    <row r="3053" spans="8:16" s="1" customFormat="1">
      <c r="H3053" s="185"/>
      <c r="I3053" s="185"/>
      <c r="J3053" s="185"/>
      <c r="K3053"/>
      <c r="L3053"/>
      <c r="M3053"/>
      <c r="N3053"/>
      <c r="O3053"/>
      <c r="P3053"/>
    </row>
    <row r="3054" spans="8:16" s="1" customFormat="1">
      <c r="H3054" s="185"/>
      <c r="I3054" s="185"/>
      <c r="J3054" s="185"/>
      <c r="K3054"/>
      <c r="L3054"/>
      <c r="M3054"/>
      <c r="N3054"/>
      <c r="O3054"/>
      <c r="P3054"/>
    </row>
    <row r="3055" spans="8:16" s="1" customFormat="1">
      <c r="H3055" s="185"/>
      <c r="I3055" s="185"/>
      <c r="J3055" s="185"/>
      <c r="K3055"/>
      <c r="L3055"/>
      <c r="M3055"/>
      <c r="N3055"/>
      <c r="O3055"/>
      <c r="P3055"/>
    </row>
    <row r="3056" spans="8:16" s="1" customFormat="1">
      <c r="H3056" s="185"/>
      <c r="I3056" s="185"/>
      <c r="J3056" s="185"/>
      <c r="K3056"/>
      <c r="L3056"/>
      <c r="M3056"/>
      <c r="N3056"/>
      <c r="O3056"/>
      <c r="P3056"/>
    </row>
    <row r="3057" spans="8:16" s="1" customFormat="1">
      <c r="H3057" s="185"/>
      <c r="I3057" s="185"/>
      <c r="J3057" s="185"/>
      <c r="K3057"/>
      <c r="L3057"/>
      <c r="M3057"/>
      <c r="N3057"/>
      <c r="O3057"/>
      <c r="P3057"/>
    </row>
    <row r="3058" spans="8:16" s="1" customFormat="1">
      <c r="H3058" s="185"/>
      <c r="I3058" s="185"/>
      <c r="J3058" s="185"/>
      <c r="K3058"/>
      <c r="L3058"/>
      <c r="M3058"/>
      <c r="N3058"/>
      <c r="O3058"/>
      <c r="P3058"/>
    </row>
    <row r="3059" spans="8:16" s="1" customFormat="1">
      <c r="H3059" s="185"/>
      <c r="I3059" s="185"/>
      <c r="J3059" s="185"/>
      <c r="K3059"/>
      <c r="L3059"/>
      <c r="M3059"/>
      <c r="N3059"/>
      <c r="O3059"/>
      <c r="P3059"/>
    </row>
    <row r="3060" spans="8:16" s="1" customFormat="1">
      <c r="H3060" s="185"/>
      <c r="I3060" s="185"/>
      <c r="J3060" s="185"/>
      <c r="K3060"/>
      <c r="L3060"/>
      <c r="M3060"/>
      <c r="N3060"/>
      <c r="O3060"/>
      <c r="P3060"/>
    </row>
    <row r="3061" spans="8:16" s="1" customFormat="1">
      <c r="H3061" s="185"/>
      <c r="I3061" s="185"/>
      <c r="J3061" s="185"/>
      <c r="K3061"/>
      <c r="L3061"/>
      <c r="M3061"/>
      <c r="N3061"/>
      <c r="O3061"/>
      <c r="P3061"/>
    </row>
    <row r="3062" spans="8:16" s="1" customFormat="1">
      <c r="H3062" s="185"/>
      <c r="I3062" s="185"/>
      <c r="J3062" s="185"/>
      <c r="K3062"/>
      <c r="L3062"/>
      <c r="M3062"/>
      <c r="N3062"/>
      <c r="O3062"/>
      <c r="P3062"/>
    </row>
    <row r="3063" spans="8:16" s="1" customFormat="1">
      <c r="H3063" s="185"/>
      <c r="I3063" s="185"/>
      <c r="J3063" s="185"/>
      <c r="K3063"/>
      <c r="L3063"/>
      <c r="M3063"/>
      <c r="N3063"/>
      <c r="O3063"/>
      <c r="P3063"/>
    </row>
    <row r="3064" spans="8:16" s="1" customFormat="1">
      <c r="H3064" s="185"/>
      <c r="I3064" s="185"/>
      <c r="J3064" s="185"/>
      <c r="K3064"/>
      <c r="L3064"/>
      <c r="M3064"/>
      <c r="N3064"/>
      <c r="O3064"/>
      <c r="P3064"/>
    </row>
    <row r="3065" spans="8:16" s="1" customFormat="1">
      <c r="H3065" s="185"/>
      <c r="I3065" s="185"/>
      <c r="J3065" s="185"/>
      <c r="K3065"/>
      <c r="L3065"/>
      <c r="M3065"/>
      <c r="N3065"/>
      <c r="O3065"/>
      <c r="P3065"/>
    </row>
    <row r="3066" spans="8:16" s="1" customFormat="1">
      <c r="H3066" s="185"/>
      <c r="I3066" s="185"/>
      <c r="J3066" s="185"/>
      <c r="K3066"/>
      <c r="L3066"/>
      <c r="M3066"/>
      <c r="N3066"/>
      <c r="O3066"/>
      <c r="P3066"/>
    </row>
    <row r="3067" spans="8:16" s="1" customFormat="1">
      <c r="H3067" s="185"/>
      <c r="I3067" s="185"/>
      <c r="J3067" s="185"/>
      <c r="K3067"/>
      <c r="L3067"/>
      <c r="M3067"/>
      <c r="N3067"/>
      <c r="O3067"/>
      <c r="P3067"/>
    </row>
    <row r="3068" spans="8:16" s="1" customFormat="1">
      <c r="H3068" s="185"/>
      <c r="I3068" s="185"/>
      <c r="J3068" s="185"/>
      <c r="K3068"/>
      <c r="L3068"/>
      <c r="M3068"/>
      <c r="N3068"/>
      <c r="O3068"/>
      <c r="P3068"/>
    </row>
    <row r="3069" spans="8:16" s="1" customFormat="1">
      <c r="H3069" s="185"/>
      <c r="I3069" s="185"/>
      <c r="J3069" s="185"/>
      <c r="K3069"/>
      <c r="L3069"/>
      <c r="M3069"/>
      <c r="N3069"/>
      <c r="O3069"/>
      <c r="P3069"/>
    </row>
    <row r="3070" spans="8:16" s="1" customFormat="1">
      <c r="H3070" s="185"/>
      <c r="I3070" s="185"/>
      <c r="J3070" s="185"/>
      <c r="K3070"/>
      <c r="L3070"/>
      <c r="M3070"/>
      <c r="N3070"/>
      <c r="O3070"/>
      <c r="P3070"/>
    </row>
    <row r="3071" spans="8:16" s="1" customFormat="1">
      <c r="H3071" s="185"/>
      <c r="I3071" s="185"/>
      <c r="J3071" s="185"/>
      <c r="K3071"/>
      <c r="L3071"/>
      <c r="M3071"/>
      <c r="N3071"/>
      <c r="O3071"/>
      <c r="P3071"/>
    </row>
    <row r="3072" spans="8:16" s="1" customFormat="1">
      <c r="H3072" s="185"/>
      <c r="I3072" s="185"/>
      <c r="J3072" s="185"/>
      <c r="K3072"/>
      <c r="L3072"/>
      <c r="M3072"/>
      <c r="N3072"/>
      <c r="O3072"/>
      <c r="P3072"/>
    </row>
    <row r="3073" spans="8:16" s="1" customFormat="1">
      <c r="H3073" s="185"/>
      <c r="I3073" s="185"/>
      <c r="J3073" s="185"/>
      <c r="K3073"/>
      <c r="L3073"/>
      <c r="M3073"/>
      <c r="N3073"/>
      <c r="O3073"/>
      <c r="P3073"/>
    </row>
    <row r="3074" spans="8:16" s="1" customFormat="1">
      <c r="H3074" s="185"/>
      <c r="I3074" s="185"/>
      <c r="J3074" s="185"/>
      <c r="K3074"/>
      <c r="L3074"/>
      <c r="M3074"/>
      <c r="N3074"/>
      <c r="O3074"/>
      <c r="P3074"/>
    </row>
    <row r="3075" spans="8:16" s="1" customFormat="1">
      <c r="H3075" s="185"/>
      <c r="I3075" s="185"/>
      <c r="J3075" s="185"/>
      <c r="K3075"/>
      <c r="L3075"/>
      <c r="M3075"/>
      <c r="N3075"/>
      <c r="O3075"/>
      <c r="P3075"/>
    </row>
    <row r="3076" spans="8:16" s="1" customFormat="1">
      <c r="H3076" s="185"/>
      <c r="I3076" s="185"/>
      <c r="J3076" s="185"/>
      <c r="K3076"/>
      <c r="L3076"/>
      <c r="M3076"/>
      <c r="N3076"/>
      <c r="O3076"/>
      <c r="P3076"/>
    </row>
    <row r="3077" spans="8:16" s="1" customFormat="1">
      <c r="H3077" s="185"/>
      <c r="I3077" s="185"/>
      <c r="J3077" s="185"/>
      <c r="K3077"/>
      <c r="L3077"/>
      <c r="M3077"/>
      <c r="N3077"/>
      <c r="O3077"/>
      <c r="P3077"/>
    </row>
    <row r="3078" spans="8:16" s="1" customFormat="1">
      <c r="H3078" s="185"/>
      <c r="I3078" s="185"/>
      <c r="J3078" s="185"/>
      <c r="K3078"/>
      <c r="L3078"/>
      <c r="M3078"/>
      <c r="N3078"/>
      <c r="O3078"/>
      <c r="P3078"/>
    </row>
    <row r="3079" spans="8:16" s="1" customFormat="1">
      <c r="H3079" s="185"/>
      <c r="I3079" s="185"/>
      <c r="J3079" s="185"/>
      <c r="K3079"/>
      <c r="L3079"/>
      <c r="M3079"/>
      <c r="N3079"/>
      <c r="O3079"/>
      <c r="P3079"/>
    </row>
    <row r="3080" spans="8:16" s="1" customFormat="1">
      <c r="H3080" s="185"/>
      <c r="I3080" s="185"/>
      <c r="J3080" s="185"/>
      <c r="K3080"/>
      <c r="L3080"/>
      <c r="M3080"/>
      <c r="N3080"/>
      <c r="O3080"/>
      <c r="P3080"/>
    </row>
    <row r="3081" spans="8:16" s="1" customFormat="1">
      <c r="H3081" s="185"/>
      <c r="I3081" s="185"/>
      <c r="J3081" s="185"/>
      <c r="K3081"/>
      <c r="L3081"/>
      <c r="M3081"/>
      <c r="N3081"/>
      <c r="O3081"/>
      <c r="P3081"/>
    </row>
    <row r="3082" spans="8:16" s="1" customFormat="1">
      <c r="H3082" s="185"/>
      <c r="I3082" s="185"/>
      <c r="J3082" s="185"/>
      <c r="K3082"/>
      <c r="L3082"/>
      <c r="M3082"/>
      <c r="N3082"/>
      <c r="O3082"/>
      <c r="P3082"/>
    </row>
    <row r="3083" spans="8:16" s="1" customFormat="1">
      <c r="H3083" s="185"/>
      <c r="I3083" s="185"/>
      <c r="J3083" s="185"/>
      <c r="K3083"/>
      <c r="L3083"/>
      <c r="M3083"/>
      <c r="N3083"/>
      <c r="O3083"/>
      <c r="P3083"/>
    </row>
    <row r="3084" spans="8:16" s="1" customFormat="1">
      <c r="H3084" s="185"/>
      <c r="I3084" s="185"/>
      <c r="J3084" s="185"/>
      <c r="K3084"/>
      <c r="L3084"/>
      <c r="M3084"/>
      <c r="N3084"/>
      <c r="O3084"/>
      <c r="P3084"/>
    </row>
    <row r="3085" spans="8:16" s="1" customFormat="1">
      <c r="H3085" s="185"/>
      <c r="I3085" s="185"/>
      <c r="J3085" s="185"/>
      <c r="K3085"/>
      <c r="L3085"/>
      <c r="M3085"/>
      <c r="N3085"/>
      <c r="O3085"/>
      <c r="P3085"/>
    </row>
    <row r="3086" spans="8:16" s="1" customFormat="1">
      <c r="H3086" s="185"/>
      <c r="I3086" s="185"/>
      <c r="J3086" s="185"/>
      <c r="K3086"/>
      <c r="L3086"/>
      <c r="M3086"/>
      <c r="N3086"/>
      <c r="O3086"/>
      <c r="P3086"/>
    </row>
    <row r="3087" spans="8:16" s="1" customFormat="1">
      <c r="H3087" s="185"/>
      <c r="I3087" s="185"/>
      <c r="J3087" s="185"/>
      <c r="K3087"/>
      <c r="L3087"/>
      <c r="M3087"/>
      <c r="N3087"/>
      <c r="O3087"/>
      <c r="P3087"/>
    </row>
    <row r="3088" spans="8:16" s="1" customFormat="1">
      <c r="H3088" s="185"/>
      <c r="I3088" s="185"/>
      <c r="J3088" s="185"/>
      <c r="K3088"/>
      <c r="L3088"/>
      <c r="M3088"/>
      <c r="N3088"/>
      <c r="O3088"/>
      <c r="P3088"/>
    </row>
    <row r="3089" spans="8:16" s="1" customFormat="1">
      <c r="H3089" s="185"/>
      <c r="I3089" s="185"/>
      <c r="J3089" s="185"/>
      <c r="K3089"/>
      <c r="L3089"/>
      <c r="M3089"/>
      <c r="N3089"/>
      <c r="O3089"/>
      <c r="P3089"/>
    </row>
    <row r="3090" spans="8:16" s="1" customFormat="1">
      <c r="H3090" s="185"/>
      <c r="I3090" s="185"/>
      <c r="J3090" s="185"/>
      <c r="K3090"/>
      <c r="L3090"/>
      <c r="M3090"/>
      <c r="N3090"/>
      <c r="O3090"/>
      <c r="P3090"/>
    </row>
    <row r="3091" spans="8:16" s="1" customFormat="1">
      <c r="H3091" s="185"/>
      <c r="I3091" s="185"/>
      <c r="J3091" s="185"/>
      <c r="K3091"/>
      <c r="L3091"/>
      <c r="M3091"/>
      <c r="N3091"/>
      <c r="O3091"/>
      <c r="P3091"/>
    </row>
    <row r="3092" spans="8:16" s="1" customFormat="1">
      <c r="H3092" s="185"/>
      <c r="I3092" s="185"/>
      <c r="J3092" s="185"/>
      <c r="K3092"/>
      <c r="L3092"/>
      <c r="M3092"/>
      <c r="N3092"/>
      <c r="O3092"/>
      <c r="P3092"/>
    </row>
    <row r="3093" spans="8:16" s="1" customFormat="1">
      <c r="H3093" s="185"/>
      <c r="I3093" s="185"/>
      <c r="J3093" s="185"/>
      <c r="K3093"/>
      <c r="L3093"/>
      <c r="M3093"/>
      <c r="N3093"/>
      <c r="O3093"/>
      <c r="P3093"/>
    </row>
    <row r="3094" spans="8:16" s="1" customFormat="1">
      <c r="H3094" s="185"/>
      <c r="I3094" s="185"/>
      <c r="J3094" s="185"/>
      <c r="K3094"/>
      <c r="L3094"/>
      <c r="M3094"/>
      <c r="N3094"/>
      <c r="O3094"/>
      <c r="P3094"/>
    </row>
    <row r="3095" spans="8:16" s="1" customFormat="1">
      <c r="H3095" s="185"/>
      <c r="I3095" s="185"/>
      <c r="J3095" s="185"/>
      <c r="K3095"/>
      <c r="L3095"/>
      <c r="M3095"/>
      <c r="N3095"/>
      <c r="O3095"/>
      <c r="P3095"/>
    </row>
    <row r="3096" spans="8:16" s="1" customFormat="1">
      <c r="H3096" s="185"/>
      <c r="I3096" s="185"/>
      <c r="J3096" s="185"/>
      <c r="K3096"/>
      <c r="L3096"/>
      <c r="M3096"/>
      <c r="N3096"/>
      <c r="O3096"/>
      <c r="P3096"/>
    </row>
    <row r="3097" spans="8:16" s="1" customFormat="1">
      <c r="H3097" s="185"/>
      <c r="I3097" s="185"/>
      <c r="J3097" s="185"/>
      <c r="K3097"/>
      <c r="L3097"/>
      <c r="M3097"/>
      <c r="N3097"/>
      <c r="O3097"/>
      <c r="P3097"/>
    </row>
    <row r="3098" spans="8:16" s="1" customFormat="1">
      <c r="H3098" s="185"/>
      <c r="I3098" s="185"/>
      <c r="J3098" s="185"/>
      <c r="K3098"/>
      <c r="L3098"/>
      <c r="M3098"/>
      <c r="N3098"/>
      <c r="O3098"/>
      <c r="P3098"/>
    </row>
    <row r="3099" spans="8:16" s="1" customFormat="1">
      <c r="H3099" s="185"/>
      <c r="I3099" s="185"/>
      <c r="J3099" s="185"/>
      <c r="K3099"/>
      <c r="L3099"/>
      <c r="M3099"/>
      <c r="N3099"/>
      <c r="O3099"/>
      <c r="P3099"/>
    </row>
    <row r="3100" spans="8:16" s="1" customFormat="1">
      <c r="H3100" s="185"/>
      <c r="I3100" s="185"/>
      <c r="J3100" s="185"/>
      <c r="K3100"/>
      <c r="L3100"/>
      <c r="M3100"/>
      <c r="N3100"/>
      <c r="O3100"/>
      <c r="P3100"/>
    </row>
    <row r="3101" spans="8:16" s="1" customFormat="1">
      <c r="H3101" s="185"/>
      <c r="I3101" s="185"/>
      <c r="J3101" s="185"/>
      <c r="K3101"/>
      <c r="L3101"/>
      <c r="M3101"/>
      <c r="N3101"/>
      <c r="O3101"/>
      <c r="P3101"/>
    </row>
    <row r="3102" spans="8:16" s="1" customFormat="1">
      <c r="H3102" s="185"/>
      <c r="I3102" s="185"/>
      <c r="J3102" s="185"/>
      <c r="K3102"/>
      <c r="L3102"/>
      <c r="M3102"/>
      <c r="N3102"/>
      <c r="O3102"/>
      <c r="P3102"/>
    </row>
    <row r="3103" spans="8:16" s="1" customFormat="1">
      <c r="H3103" s="185"/>
      <c r="I3103" s="185"/>
      <c r="J3103" s="185"/>
      <c r="K3103"/>
      <c r="L3103"/>
      <c r="M3103"/>
      <c r="N3103"/>
      <c r="O3103"/>
      <c r="P3103"/>
    </row>
    <row r="3104" spans="8:16" s="1" customFormat="1">
      <c r="H3104" s="185"/>
      <c r="I3104" s="185"/>
      <c r="J3104" s="185"/>
      <c r="K3104"/>
      <c r="L3104"/>
      <c r="M3104"/>
      <c r="N3104"/>
      <c r="O3104"/>
      <c r="P3104"/>
    </row>
    <row r="3105" spans="8:16" s="1" customFormat="1">
      <c r="H3105" s="185"/>
      <c r="I3105" s="185"/>
      <c r="J3105" s="185"/>
      <c r="K3105"/>
      <c r="L3105"/>
      <c r="M3105"/>
      <c r="N3105"/>
      <c r="O3105"/>
      <c r="P3105"/>
    </row>
    <row r="3106" spans="8:16" s="1" customFormat="1">
      <c r="H3106" s="185"/>
      <c r="I3106" s="185"/>
      <c r="J3106" s="185"/>
      <c r="K3106"/>
      <c r="L3106"/>
      <c r="M3106"/>
      <c r="N3106"/>
      <c r="O3106"/>
      <c r="P3106"/>
    </row>
    <row r="3107" spans="8:16" s="1" customFormat="1">
      <c r="H3107" s="185"/>
      <c r="I3107" s="185"/>
      <c r="J3107" s="185"/>
      <c r="K3107"/>
      <c r="L3107"/>
      <c r="M3107"/>
      <c r="N3107"/>
      <c r="O3107"/>
      <c r="P3107"/>
    </row>
    <row r="3108" spans="8:16" s="1" customFormat="1">
      <c r="H3108" s="185"/>
      <c r="I3108" s="185"/>
      <c r="J3108" s="185"/>
      <c r="K3108"/>
      <c r="L3108"/>
      <c r="M3108"/>
      <c r="N3108"/>
      <c r="O3108"/>
      <c r="P3108"/>
    </row>
    <row r="3109" spans="8:16" s="1" customFormat="1">
      <c r="H3109" s="185"/>
      <c r="I3109" s="185"/>
      <c r="J3109" s="185"/>
      <c r="K3109"/>
      <c r="L3109"/>
      <c r="M3109"/>
      <c r="N3109"/>
      <c r="O3109"/>
      <c r="P3109"/>
    </row>
    <row r="3110" spans="8:16" s="1" customFormat="1">
      <c r="H3110" s="185"/>
      <c r="I3110" s="185"/>
      <c r="J3110" s="185"/>
      <c r="K3110"/>
      <c r="L3110"/>
      <c r="M3110"/>
      <c r="N3110"/>
      <c r="O3110"/>
      <c r="P3110"/>
    </row>
    <row r="3111" spans="8:16" s="1" customFormat="1">
      <c r="H3111" s="185"/>
      <c r="I3111" s="185"/>
      <c r="J3111" s="185"/>
      <c r="K3111"/>
      <c r="L3111"/>
      <c r="M3111"/>
      <c r="N3111"/>
      <c r="O3111"/>
      <c r="P3111"/>
    </row>
    <row r="3112" spans="8:16" s="1" customFormat="1">
      <c r="H3112" s="185"/>
      <c r="I3112" s="185"/>
      <c r="J3112" s="185"/>
      <c r="K3112"/>
      <c r="L3112"/>
      <c r="M3112"/>
      <c r="N3112"/>
      <c r="O3112"/>
      <c r="P3112"/>
    </row>
    <row r="3113" spans="8:16" s="1" customFormat="1">
      <c r="H3113" s="185"/>
      <c r="I3113" s="185"/>
      <c r="J3113" s="185"/>
      <c r="K3113"/>
      <c r="L3113"/>
      <c r="M3113"/>
      <c r="N3113"/>
      <c r="O3113"/>
      <c r="P3113"/>
    </row>
    <row r="3114" spans="8:16" s="1" customFormat="1">
      <c r="H3114" s="185"/>
      <c r="I3114" s="185"/>
      <c r="J3114" s="185"/>
      <c r="K3114"/>
      <c r="L3114"/>
      <c r="M3114"/>
      <c r="N3114"/>
      <c r="O3114"/>
      <c r="P3114"/>
    </row>
    <row r="3115" spans="8:16" s="1" customFormat="1">
      <c r="H3115" s="185"/>
      <c r="I3115" s="185"/>
      <c r="J3115" s="185"/>
      <c r="K3115"/>
      <c r="L3115"/>
      <c r="M3115"/>
      <c r="N3115"/>
      <c r="O3115"/>
      <c r="P3115"/>
    </row>
    <row r="3116" spans="8:16" s="1" customFormat="1">
      <c r="H3116" s="185"/>
      <c r="I3116" s="185"/>
      <c r="J3116" s="185"/>
      <c r="K3116"/>
      <c r="L3116"/>
      <c r="M3116"/>
      <c r="N3116"/>
      <c r="O3116"/>
      <c r="P3116"/>
    </row>
    <row r="3117" spans="8:16" s="1" customFormat="1">
      <c r="H3117" s="185"/>
      <c r="I3117" s="185"/>
      <c r="J3117" s="185"/>
      <c r="K3117"/>
      <c r="L3117"/>
      <c r="M3117"/>
      <c r="N3117"/>
      <c r="O3117"/>
      <c r="P3117"/>
    </row>
    <row r="3118" spans="8:16" s="1" customFormat="1">
      <c r="H3118" s="185"/>
      <c r="I3118" s="185"/>
      <c r="J3118" s="185"/>
      <c r="K3118"/>
      <c r="L3118"/>
      <c r="M3118"/>
      <c r="N3118"/>
      <c r="O3118"/>
      <c r="P3118"/>
    </row>
    <row r="3119" spans="8:16" s="1" customFormat="1">
      <c r="H3119" s="185"/>
      <c r="I3119" s="185"/>
      <c r="J3119" s="185"/>
      <c r="K3119"/>
      <c r="L3119"/>
      <c r="M3119"/>
      <c r="N3119"/>
      <c r="O3119"/>
      <c r="P3119"/>
    </row>
    <row r="3120" spans="8:16" s="1" customFormat="1">
      <c r="H3120" s="185"/>
      <c r="I3120" s="185"/>
      <c r="J3120" s="185"/>
      <c r="K3120"/>
      <c r="L3120"/>
      <c r="M3120"/>
      <c r="N3120"/>
      <c r="O3120"/>
      <c r="P3120"/>
    </row>
    <row r="3121" spans="8:16" s="1" customFormat="1">
      <c r="H3121" s="185"/>
      <c r="I3121" s="185"/>
      <c r="J3121" s="185"/>
      <c r="K3121"/>
      <c r="L3121"/>
      <c r="M3121"/>
      <c r="N3121"/>
      <c r="O3121"/>
      <c r="P3121"/>
    </row>
    <row r="3122" spans="8:16" s="1" customFormat="1">
      <c r="H3122" s="185"/>
      <c r="I3122" s="185"/>
      <c r="J3122" s="185"/>
      <c r="K3122"/>
      <c r="L3122"/>
      <c r="M3122"/>
      <c r="N3122"/>
      <c r="O3122"/>
      <c r="P3122"/>
    </row>
    <row r="3123" spans="8:16" s="1" customFormat="1">
      <c r="H3123" s="185"/>
      <c r="I3123" s="185"/>
      <c r="J3123" s="185"/>
      <c r="K3123"/>
      <c r="L3123"/>
      <c r="M3123"/>
      <c r="N3123"/>
      <c r="O3123"/>
      <c r="P3123"/>
    </row>
    <row r="3124" spans="8:16" s="1" customFormat="1">
      <c r="H3124" s="185"/>
      <c r="I3124" s="185"/>
      <c r="J3124" s="185"/>
      <c r="K3124"/>
      <c r="L3124"/>
      <c r="M3124"/>
      <c r="N3124"/>
      <c r="O3124"/>
      <c r="P3124"/>
    </row>
    <row r="3125" spans="8:16" s="1" customFormat="1">
      <c r="H3125" s="185"/>
      <c r="I3125" s="185"/>
      <c r="J3125" s="185"/>
      <c r="K3125"/>
      <c r="L3125"/>
      <c r="M3125"/>
      <c r="N3125"/>
      <c r="O3125"/>
      <c r="P3125"/>
    </row>
    <row r="3126" spans="8:16" s="1" customFormat="1">
      <c r="H3126" s="185"/>
      <c r="I3126" s="185"/>
      <c r="J3126" s="185"/>
      <c r="K3126"/>
      <c r="L3126"/>
      <c r="M3126"/>
      <c r="N3126"/>
      <c r="O3126"/>
      <c r="P3126"/>
    </row>
    <row r="3127" spans="8:16" s="1" customFormat="1">
      <c r="H3127" s="185"/>
      <c r="I3127" s="185"/>
      <c r="J3127" s="185"/>
      <c r="K3127"/>
      <c r="L3127"/>
      <c r="M3127"/>
      <c r="N3127"/>
      <c r="O3127"/>
      <c r="P3127"/>
    </row>
    <row r="3128" spans="8:16" s="1" customFormat="1">
      <c r="H3128" s="185"/>
      <c r="I3128" s="185"/>
      <c r="J3128" s="185"/>
      <c r="K3128"/>
      <c r="L3128"/>
      <c r="M3128"/>
      <c r="N3128"/>
      <c r="O3128"/>
      <c r="P3128"/>
    </row>
    <row r="3129" spans="8:16" s="1" customFormat="1">
      <c r="H3129" s="185"/>
      <c r="I3129" s="185"/>
      <c r="J3129" s="185"/>
      <c r="K3129"/>
      <c r="L3129"/>
      <c r="M3129"/>
      <c r="N3129"/>
      <c r="O3129"/>
      <c r="P3129"/>
    </row>
    <row r="3130" spans="8:16" s="1" customFormat="1">
      <c r="H3130" s="185"/>
      <c r="I3130" s="185"/>
      <c r="J3130" s="185"/>
      <c r="K3130"/>
      <c r="L3130"/>
      <c r="M3130"/>
      <c r="N3130"/>
      <c r="O3130"/>
      <c r="P3130"/>
    </row>
    <row r="3131" spans="8:16" s="1" customFormat="1">
      <c r="H3131" s="185"/>
      <c r="I3131" s="185"/>
      <c r="J3131" s="185"/>
      <c r="K3131"/>
      <c r="L3131"/>
      <c r="M3131"/>
      <c r="N3131"/>
      <c r="O3131"/>
      <c r="P3131"/>
    </row>
    <row r="3132" spans="8:16" s="1" customFormat="1">
      <c r="H3132" s="185"/>
      <c r="I3132" s="185"/>
      <c r="J3132" s="185"/>
      <c r="K3132"/>
      <c r="L3132"/>
      <c r="M3132"/>
      <c r="N3132"/>
      <c r="O3132"/>
      <c r="P3132"/>
    </row>
    <row r="3133" spans="8:16" s="1" customFormat="1">
      <c r="H3133" s="185"/>
      <c r="I3133" s="185"/>
      <c r="J3133" s="185"/>
      <c r="K3133"/>
      <c r="L3133"/>
      <c r="M3133"/>
      <c r="N3133"/>
      <c r="O3133"/>
      <c r="P3133"/>
    </row>
    <row r="3134" spans="8:16" s="1" customFormat="1">
      <c r="H3134" s="185"/>
      <c r="I3134" s="185"/>
      <c r="J3134" s="185"/>
      <c r="K3134"/>
      <c r="L3134"/>
      <c r="M3134"/>
      <c r="N3134"/>
      <c r="O3134"/>
      <c r="P3134"/>
    </row>
    <row r="3135" spans="8:16" s="1" customFormat="1">
      <c r="H3135" s="185"/>
      <c r="I3135" s="185"/>
      <c r="J3135" s="185"/>
      <c r="K3135"/>
      <c r="L3135"/>
      <c r="M3135"/>
      <c r="N3135"/>
      <c r="O3135"/>
      <c r="P3135"/>
    </row>
    <row r="3136" spans="8:16" s="1" customFormat="1">
      <c r="H3136" s="185"/>
      <c r="I3136" s="185"/>
      <c r="J3136" s="185"/>
      <c r="K3136"/>
      <c r="L3136"/>
      <c r="M3136"/>
      <c r="N3136"/>
      <c r="O3136"/>
      <c r="P3136"/>
    </row>
    <row r="3137" spans="8:16" s="1" customFormat="1">
      <c r="H3137" s="185"/>
      <c r="I3137" s="185"/>
      <c r="J3137" s="185"/>
      <c r="K3137"/>
      <c r="L3137"/>
      <c r="M3137"/>
      <c r="N3137"/>
      <c r="O3137"/>
      <c r="P3137"/>
    </row>
    <row r="3138" spans="8:16" s="1" customFormat="1">
      <c r="H3138" s="185"/>
      <c r="I3138" s="185"/>
      <c r="J3138" s="185"/>
      <c r="K3138"/>
      <c r="L3138"/>
      <c r="M3138"/>
      <c r="N3138"/>
      <c r="O3138"/>
      <c r="P3138"/>
    </row>
    <row r="3139" spans="8:16" s="1" customFormat="1">
      <c r="H3139" s="185"/>
      <c r="I3139" s="185"/>
      <c r="J3139" s="185"/>
      <c r="K3139"/>
      <c r="L3139"/>
      <c r="M3139"/>
      <c r="N3139"/>
      <c r="O3139"/>
      <c r="P3139"/>
    </row>
    <row r="3140" spans="8:16" s="1" customFormat="1">
      <c r="H3140" s="185"/>
      <c r="I3140" s="185"/>
      <c r="J3140" s="185"/>
      <c r="K3140"/>
      <c r="L3140"/>
      <c r="M3140"/>
      <c r="N3140"/>
      <c r="O3140"/>
      <c r="P3140"/>
    </row>
    <row r="3141" spans="8:16" s="1" customFormat="1">
      <c r="H3141" s="185"/>
      <c r="I3141" s="185"/>
      <c r="J3141" s="185"/>
      <c r="K3141"/>
      <c r="L3141"/>
      <c r="M3141"/>
      <c r="N3141"/>
      <c r="O3141"/>
      <c r="P3141"/>
    </row>
    <row r="3142" spans="8:16" s="1" customFormat="1">
      <c r="H3142" s="185"/>
      <c r="I3142" s="185"/>
      <c r="J3142" s="185"/>
      <c r="K3142"/>
      <c r="L3142"/>
      <c r="M3142"/>
      <c r="N3142"/>
      <c r="O3142"/>
      <c r="P3142"/>
    </row>
    <row r="3143" spans="8:16" s="1" customFormat="1">
      <c r="H3143" s="185"/>
      <c r="I3143" s="185"/>
      <c r="J3143" s="185"/>
      <c r="K3143"/>
      <c r="L3143"/>
      <c r="M3143"/>
      <c r="N3143"/>
      <c r="O3143"/>
      <c r="P3143"/>
    </row>
    <row r="3144" spans="8:16" s="1" customFormat="1">
      <c r="H3144" s="185"/>
      <c r="I3144" s="185"/>
      <c r="J3144" s="185"/>
      <c r="K3144"/>
      <c r="L3144"/>
      <c r="M3144"/>
      <c r="N3144"/>
      <c r="O3144"/>
      <c r="P3144"/>
    </row>
    <row r="3145" spans="8:16" s="1" customFormat="1">
      <c r="H3145" s="185"/>
      <c r="I3145" s="185"/>
      <c r="J3145" s="185"/>
      <c r="K3145"/>
      <c r="L3145"/>
      <c r="M3145"/>
      <c r="N3145"/>
      <c r="O3145"/>
      <c r="P3145"/>
    </row>
    <row r="3146" spans="8:16" s="1" customFormat="1">
      <c r="H3146" s="185"/>
      <c r="I3146" s="185"/>
      <c r="J3146" s="185"/>
      <c r="K3146"/>
      <c r="L3146"/>
      <c r="M3146"/>
      <c r="N3146"/>
      <c r="O3146"/>
      <c r="P3146"/>
    </row>
    <row r="3147" spans="8:16" s="1" customFormat="1">
      <c r="H3147" s="185"/>
      <c r="I3147" s="185"/>
      <c r="J3147" s="185"/>
      <c r="K3147"/>
      <c r="L3147"/>
      <c r="M3147"/>
      <c r="N3147"/>
      <c r="O3147"/>
      <c r="P3147"/>
    </row>
    <row r="3148" spans="8:16" s="1" customFormat="1">
      <c r="H3148" s="185"/>
      <c r="I3148" s="185"/>
      <c r="J3148" s="185"/>
      <c r="K3148"/>
      <c r="L3148"/>
      <c r="M3148"/>
      <c r="N3148"/>
      <c r="O3148"/>
      <c r="P3148"/>
    </row>
    <row r="3149" spans="8:16" s="1" customFormat="1">
      <c r="H3149" s="185"/>
      <c r="I3149" s="185"/>
      <c r="J3149" s="185"/>
      <c r="K3149"/>
      <c r="L3149"/>
      <c r="M3149"/>
      <c r="N3149"/>
      <c r="O3149"/>
      <c r="P3149"/>
    </row>
    <row r="3150" spans="8:16" s="1" customFormat="1">
      <c r="H3150" s="185"/>
      <c r="I3150" s="185"/>
      <c r="J3150" s="185"/>
      <c r="K3150"/>
      <c r="L3150"/>
      <c r="M3150"/>
      <c r="N3150"/>
      <c r="O3150"/>
      <c r="P3150"/>
    </row>
    <row r="3151" spans="8:16" s="1" customFormat="1">
      <c r="H3151" s="185"/>
      <c r="I3151" s="185"/>
      <c r="J3151" s="185"/>
      <c r="K3151"/>
      <c r="L3151"/>
      <c r="M3151"/>
      <c r="N3151"/>
      <c r="O3151"/>
      <c r="P3151"/>
    </row>
    <row r="3152" spans="8:16" s="1" customFormat="1">
      <c r="H3152" s="185"/>
      <c r="I3152" s="185"/>
      <c r="J3152" s="185"/>
      <c r="K3152"/>
      <c r="L3152"/>
      <c r="M3152"/>
      <c r="N3152"/>
      <c r="O3152"/>
      <c r="P3152"/>
    </row>
    <row r="3153" spans="8:16" s="1" customFormat="1">
      <c r="H3153" s="185"/>
      <c r="I3153" s="185"/>
      <c r="J3153" s="185"/>
      <c r="K3153"/>
      <c r="L3153"/>
      <c r="M3153"/>
      <c r="N3153"/>
      <c r="O3153"/>
      <c r="P3153"/>
    </row>
    <row r="3154" spans="8:16" s="1" customFormat="1">
      <c r="H3154" s="185"/>
      <c r="I3154" s="185"/>
      <c r="J3154" s="185"/>
      <c r="K3154"/>
      <c r="L3154"/>
      <c r="M3154"/>
      <c r="N3154"/>
      <c r="O3154"/>
      <c r="P3154"/>
    </row>
    <row r="3155" spans="8:16" s="1" customFormat="1">
      <c r="H3155" s="185"/>
      <c r="I3155" s="185"/>
      <c r="J3155" s="185"/>
      <c r="K3155"/>
      <c r="L3155"/>
      <c r="M3155"/>
      <c r="N3155"/>
      <c r="O3155"/>
      <c r="P3155"/>
    </row>
    <row r="3156" spans="8:16" s="1" customFormat="1">
      <c r="H3156" s="185"/>
      <c r="I3156" s="185"/>
      <c r="J3156" s="185"/>
      <c r="K3156"/>
      <c r="L3156"/>
      <c r="M3156"/>
      <c r="N3156"/>
      <c r="O3156"/>
      <c r="P3156"/>
    </row>
    <row r="3157" spans="8:16" s="1" customFormat="1">
      <c r="H3157" s="185"/>
      <c r="I3157" s="185"/>
      <c r="J3157" s="185"/>
      <c r="K3157"/>
      <c r="L3157"/>
      <c r="M3157"/>
      <c r="N3157"/>
      <c r="O3157"/>
      <c r="P3157"/>
    </row>
    <row r="3158" spans="8:16" s="1" customFormat="1">
      <c r="H3158" s="185"/>
      <c r="I3158" s="185"/>
      <c r="J3158" s="185"/>
      <c r="K3158"/>
      <c r="L3158"/>
      <c r="M3158"/>
      <c r="N3158"/>
      <c r="O3158"/>
      <c r="P3158"/>
    </row>
    <row r="3159" spans="8:16" s="1" customFormat="1">
      <c r="H3159" s="185"/>
      <c r="I3159" s="185"/>
      <c r="J3159" s="185"/>
      <c r="K3159"/>
      <c r="L3159"/>
      <c r="M3159"/>
      <c r="N3159"/>
      <c r="O3159"/>
      <c r="P3159"/>
    </row>
    <row r="3160" spans="8:16" s="1" customFormat="1">
      <c r="H3160" s="185"/>
      <c r="I3160" s="185"/>
      <c r="J3160" s="185"/>
      <c r="K3160"/>
      <c r="L3160"/>
      <c r="M3160"/>
      <c r="N3160"/>
      <c r="O3160"/>
      <c r="P3160"/>
    </row>
    <row r="3161" spans="8:16" s="1" customFormat="1">
      <c r="H3161" s="185"/>
      <c r="I3161" s="185"/>
      <c r="J3161" s="185"/>
      <c r="K3161"/>
      <c r="L3161"/>
      <c r="M3161"/>
      <c r="N3161"/>
      <c r="O3161"/>
      <c r="P3161"/>
    </row>
    <row r="3162" spans="8:16" s="1" customFormat="1">
      <c r="H3162" s="185"/>
      <c r="I3162" s="185"/>
      <c r="J3162" s="185"/>
      <c r="K3162"/>
      <c r="L3162"/>
      <c r="M3162"/>
      <c r="N3162"/>
      <c r="O3162"/>
      <c r="P3162"/>
    </row>
    <row r="3163" spans="8:16" s="1" customFormat="1">
      <c r="H3163" s="185"/>
      <c r="I3163" s="185"/>
      <c r="J3163" s="185"/>
      <c r="K3163"/>
      <c r="L3163"/>
      <c r="M3163"/>
      <c r="N3163"/>
      <c r="O3163"/>
      <c r="P3163"/>
    </row>
    <row r="3164" spans="8:16" s="1" customFormat="1">
      <c r="H3164" s="185"/>
      <c r="I3164" s="185"/>
      <c r="J3164" s="185"/>
      <c r="K3164"/>
      <c r="L3164"/>
      <c r="M3164"/>
      <c r="N3164"/>
      <c r="O3164"/>
      <c r="P3164"/>
    </row>
    <row r="3165" spans="8:16" s="1" customFormat="1">
      <c r="H3165" s="185"/>
      <c r="I3165" s="185"/>
      <c r="J3165" s="185"/>
      <c r="K3165"/>
      <c r="L3165"/>
      <c r="M3165"/>
      <c r="N3165"/>
      <c r="O3165"/>
      <c r="P3165"/>
    </row>
    <row r="3166" spans="8:16" s="1" customFormat="1">
      <c r="H3166" s="185"/>
      <c r="I3166" s="185"/>
      <c r="J3166" s="185"/>
      <c r="K3166"/>
      <c r="L3166"/>
      <c r="M3166"/>
      <c r="N3166"/>
      <c r="O3166"/>
      <c r="P3166"/>
    </row>
    <row r="3167" spans="8:16" s="1" customFormat="1">
      <c r="H3167" s="185"/>
      <c r="I3167" s="185"/>
      <c r="J3167" s="185"/>
      <c r="K3167"/>
      <c r="L3167"/>
      <c r="M3167"/>
      <c r="N3167"/>
      <c r="O3167"/>
      <c r="P3167"/>
    </row>
    <row r="3168" spans="8:16" s="1" customFormat="1">
      <c r="H3168" s="185"/>
      <c r="I3168" s="185"/>
      <c r="J3168" s="185"/>
      <c r="K3168"/>
      <c r="L3168"/>
      <c r="M3168"/>
      <c r="N3168"/>
      <c r="O3168"/>
      <c r="P3168"/>
    </row>
    <row r="3169" spans="8:16" s="1" customFormat="1">
      <c r="H3169" s="185"/>
      <c r="I3169" s="185"/>
      <c r="J3169" s="185"/>
      <c r="K3169"/>
      <c r="L3169"/>
      <c r="M3169"/>
      <c r="N3169"/>
      <c r="O3169"/>
      <c r="P3169"/>
    </row>
    <row r="3170" spans="8:16" s="1" customFormat="1">
      <c r="H3170" s="185"/>
      <c r="I3170" s="185"/>
      <c r="J3170" s="185"/>
      <c r="K3170"/>
      <c r="L3170"/>
      <c r="M3170"/>
      <c r="N3170"/>
      <c r="O3170"/>
      <c r="P3170"/>
    </row>
    <row r="3171" spans="8:16" s="1" customFormat="1">
      <c r="H3171" s="185"/>
      <c r="I3171" s="185"/>
      <c r="J3171" s="185"/>
      <c r="K3171"/>
      <c r="L3171"/>
      <c r="M3171"/>
      <c r="N3171"/>
      <c r="O3171"/>
      <c r="P3171"/>
    </row>
    <row r="3172" spans="8:16" s="1" customFormat="1">
      <c r="H3172" s="185"/>
      <c r="I3172" s="185"/>
      <c r="J3172" s="185"/>
      <c r="K3172"/>
      <c r="L3172"/>
      <c r="M3172"/>
      <c r="N3172"/>
      <c r="O3172"/>
      <c r="P3172"/>
    </row>
    <row r="3173" spans="8:16" s="1" customFormat="1">
      <c r="H3173" s="185"/>
      <c r="I3173" s="185"/>
      <c r="J3173" s="185"/>
      <c r="K3173"/>
      <c r="L3173"/>
      <c r="M3173"/>
      <c r="N3173"/>
      <c r="O3173"/>
      <c r="P3173"/>
    </row>
    <row r="3174" spans="8:16" s="1" customFormat="1">
      <c r="H3174" s="185"/>
      <c r="I3174" s="185"/>
      <c r="J3174" s="185"/>
      <c r="K3174"/>
      <c r="L3174"/>
      <c r="M3174"/>
      <c r="N3174"/>
      <c r="O3174"/>
      <c r="P3174"/>
    </row>
    <row r="3175" spans="8:16" s="1" customFormat="1">
      <c r="H3175" s="185"/>
      <c r="I3175" s="185"/>
      <c r="J3175" s="185"/>
      <c r="K3175"/>
      <c r="L3175"/>
      <c r="M3175"/>
      <c r="N3175"/>
      <c r="O3175"/>
      <c r="P3175"/>
    </row>
    <row r="3176" spans="8:16" s="1" customFormat="1">
      <c r="H3176" s="185"/>
      <c r="I3176" s="185"/>
      <c r="J3176" s="185"/>
      <c r="K3176"/>
      <c r="L3176"/>
      <c r="M3176"/>
      <c r="N3176"/>
      <c r="O3176"/>
      <c r="P3176"/>
    </row>
    <row r="3177" spans="8:16" s="1" customFormat="1">
      <c r="H3177" s="185"/>
      <c r="I3177" s="185"/>
      <c r="J3177" s="185"/>
      <c r="K3177"/>
      <c r="L3177"/>
      <c r="M3177"/>
      <c r="N3177"/>
      <c r="O3177"/>
      <c r="P3177"/>
    </row>
    <row r="3178" spans="8:16" s="1" customFormat="1">
      <c r="H3178" s="185"/>
      <c r="I3178" s="185"/>
      <c r="J3178" s="185"/>
      <c r="K3178"/>
      <c r="L3178"/>
      <c r="M3178"/>
      <c r="N3178"/>
      <c r="O3178"/>
      <c r="P3178"/>
    </row>
    <row r="3179" spans="8:16" s="1" customFormat="1">
      <c r="H3179" s="185"/>
      <c r="I3179" s="185"/>
      <c r="J3179" s="185"/>
      <c r="K3179"/>
      <c r="L3179"/>
      <c r="M3179"/>
      <c r="N3179"/>
      <c r="O3179"/>
      <c r="P3179"/>
    </row>
    <row r="3180" spans="8:16" s="1" customFormat="1">
      <c r="H3180" s="185"/>
      <c r="I3180" s="185"/>
      <c r="J3180" s="185"/>
      <c r="K3180"/>
      <c r="L3180"/>
      <c r="M3180"/>
      <c r="N3180"/>
      <c r="O3180"/>
      <c r="P3180"/>
    </row>
    <row r="3181" spans="8:16" s="1" customFormat="1">
      <c r="H3181" s="185"/>
      <c r="I3181" s="185"/>
      <c r="J3181" s="185"/>
      <c r="K3181"/>
      <c r="L3181"/>
      <c r="M3181"/>
      <c r="N3181"/>
      <c r="O3181"/>
      <c r="P3181"/>
    </row>
    <row r="3182" spans="8:16" s="1" customFormat="1">
      <c r="H3182" s="185"/>
      <c r="I3182" s="185"/>
      <c r="J3182" s="185"/>
      <c r="K3182"/>
      <c r="L3182"/>
      <c r="M3182"/>
      <c r="N3182"/>
      <c r="O3182"/>
      <c r="P3182"/>
    </row>
    <row r="3183" spans="8:16" s="1" customFormat="1">
      <c r="H3183" s="185"/>
      <c r="I3183" s="185"/>
      <c r="J3183" s="185"/>
      <c r="K3183"/>
      <c r="L3183"/>
      <c r="M3183"/>
      <c r="N3183"/>
      <c r="O3183"/>
      <c r="P3183"/>
    </row>
    <row r="3184" spans="8:16" s="1" customFormat="1">
      <c r="H3184" s="185"/>
      <c r="I3184" s="185"/>
      <c r="J3184" s="185"/>
      <c r="K3184"/>
      <c r="L3184"/>
      <c r="M3184"/>
      <c r="N3184"/>
      <c r="O3184"/>
      <c r="P3184"/>
    </row>
    <row r="3185" spans="8:16" s="1" customFormat="1">
      <c r="H3185" s="185"/>
      <c r="I3185" s="185"/>
      <c r="J3185" s="185"/>
      <c r="K3185"/>
      <c r="L3185"/>
      <c r="M3185"/>
      <c r="N3185"/>
      <c r="O3185"/>
      <c r="P3185"/>
    </row>
    <row r="3186" spans="8:16" s="1" customFormat="1">
      <c r="H3186" s="185"/>
      <c r="I3186" s="185"/>
      <c r="J3186" s="185"/>
      <c r="K3186"/>
      <c r="L3186"/>
      <c r="M3186"/>
      <c r="N3186"/>
      <c r="O3186"/>
      <c r="P3186"/>
    </row>
    <row r="3187" spans="8:16" s="1" customFormat="1">
      <c r="H3187" s="185"/>
      <c r="I3187" s="185"/>
      <c r="J3187" s="185"/>
      <c r="K3187"/>
      <c r="L3187"/>
      <c r="M3187"/>
      <c r="N3187"/>
      <c r="O3187"/>
      <c r="P3187"/>
    </row>
    <row r="3188" spans="8:16" s="1" customFormat="1">
      <c r="H3188" s="185"/>
      <c r="I3188" s="185"/>
      <c r="J3188" s="185"/>
      <c r="K3188"/>
      <c r="L3188"/>
      <c r="M3188"/>
      <c r="N3188"/>
      <c r="O3188"/>
      <c r="P3188"/>
    </row>
    <row r="3189" spans="8:16" s="1" customFormat="1">
      <c r="H3189" s="185"/>
      <c r="I3189" s="185"/>
      <c r="J3189" s="185"/>
      <c r="K3189"/>
      <c r="L3189"/>
      <c r="M3189"/>
      <c r="N3189"/>
      <c r="O3189"/>
      <c r="P3189"/>
    </row>
    <row r="3190" spans="8:16" s="1" customFormat="1">
      <c r="H3190" s="185"/>
      <c r="I3190" s="185"/>
      <c r="J3190" s="185"/>
      <c r="K3190"/>
      <c r="L3190"/>
      <c r="M3190"/>
      <c r="N3190"/>
      <c r="O3190"/>
      <c r="P3190"/>
    </row>
    <row r="3191" spans="8:16" s="1" customFormat="1">
      <c r="H3191" s="185"/>
      <c r="I3191" s="185"/>
      <c r="J3191" s="185"/>
      <c r="K3191"/>
      <c r="L3191"/>
      <c r="M3191"/>
      <c r="N3191"/>
      <c r="O3191"/>
      <c r="P3191"/>
    </row>
    <row r="3192" spans="8:16" s="1" customFormat="1">
      <c r="H3192" s="185"/>
      <c r="I3192" s="185"/>
      <c r="J3192" s="185"/>
      <c r="K3192"/>
      <c r="L3192"/>
      <c r="M3192"/>
      <c r="N3192"/>
      <c r="O3192"/>
      <c r="P3192"/>
    </row>
    <row r="3193" spans="8:16" s="1" customFormat="1">
      <c r="H3193" s="185"/>
      <c r="I3193" s="185"/>
      <c r="J3193" s="185"/>
      <c r="K3193"/>
      <c r="L3193"/>
      <c r="M3193"/>
      <c r="N3193"/>
      <c r="O3193"/>
      <c r="P3193"/>
    </row>
    <row r="3194" spans="8:16" s="1" customFormat="1">
      <c r="H3194" s="185"/>
      <c r="I3194" s="185"/>
      <c r="J3194" s="185"/>
      <c r="K3194"/>
      <c r="L3194"/>
      <c r="M3194"/>
      <c r="N3194"/>
      <c r="O3194"/>
      <c r="P3194"/>
    </row>
    <row r="3195" spans="8:16" s="1" customFormat="1">
      <c r="H3195" s="185"/>
      <c r="I3195" s="185"/>
      <c r="J3195" s="185"/>
      <c r="K3195"/>
      <c r="L3195"/>
      <c r="M3195"/>
      <c r="N3195"/>
      <c r="O3195"/>
      <c r="P3195"/>
    </row>
    <row r="3196" spans="8:16" s="1" customFormat="1">
      <c r="H3196" s="185"/>
      <c r="I3196" s="185"/>
      <c r="J3196" s="185"/>
      <c r="K3196"/>
      <c r="L3196"/>
      <c r="M3196"/>
      <c r="N3196"/>
      <c r="O3196"/>
      <c r="P3196"/>
    </row>
    <row r="3197" spans="8:16" s="1" customFormat="1">
      <c r="H3197" s="185"/>
      <c r="I3197" s="185"/>
      <c r="J3197" s="185"/>
      <c r="K3197"/>
      <c r="L3197"/>
      <c r="M3197"/>
      <c r="N3197"/>
      <c r="O3197"/>
      <c r="P3197"/>
    </row>
    <row r="3198" spans="8:16" s="1" customFormat="1">
      <c r="H3198" s="185"/>
      <c r="I3198" s="185"/>
      <c r="J3198" s="185"/>
      <c r="K3198"/>
      <c r="L3198"/>
      <c r="M3198"/>
      <c r="N3198"/>
      <c r="O3198"/>
      <c r="P3198"/>
    </row>
    <row r="3199" spans="8:16" s="1" customFormat="1">
      <c r="H3199" s="185"/>
      <c r="I3199" s="185"/>
      <c r="J3199" s="185"/>
      <c r="K3199"/>
      <c r="L3199"/>
      <c r="M3199"/>
      <c r="N3199"/>
      <c r="O3199"/>
      <c r="P3199"/>
    </row>
    <row r="3200" spans="8:16" s="1" customFormat="1">
      <c r="H3200" s="185"/>
      <c r="I3200" s="185"/>
      <c r="J3200" s="185"/>
      <c r="K3200"/>
      <c r="L3200"/>
      <c r="M3200"/>
      <c r="N3200"/>
      <c r="O3200"/>
      <c r="P3200"/>
    </row>
    <row r="3201" spans="8:16" s="1" customFormat="1">
      <c r="H3201" s="185"/>
      <c r="I3201" s="185"/>
      <c r="J3201" s="185"/>
      <c r="K3201"/>
      <c r="L3201"/>
      <c r="M3201"/>
      <c r="N3201"/>
      <c r="O3201"/>
      <c r="P3201"/>
    </row>
    <row r="3202" spans="8:16" s="1" customFormat="1">
      <c r="H3202" s="185"/>
      <c r="I3202" s="185"/>
      <c r="J3202" s="185"/>
      <c r="K3202"/>
      <c r="L3202"/>
      <c r="M3202"/>
      <c r="N3202"/>
      <c r="O3202"/>
      <c r="P3202"/>
    </row>
    <row r="3203" spans="8:16" s="1" customFormat="1">
      <c r="H3203" s="185"/>
      <c r="I3203" s="185"/>
      <c r="J3203" s="185"/>
      <c r="K3203"/>
      <c r="L3203"/>
      <c r="M3203"/>
      <c r="N3203"/>
      <c r="O3203"/>
      <c r="P3203"/>
    </row>
    <row r="3204" spans="8:16" s="1" customFormat="1">
      <c r="H3204" s="185"/>
      <c r="I3204" s="185"/>
      <c r="J3204" s="185"/>
      <c r="K3204"/>
      <c r="L3204"/>
      <c r="M3204"/>
      <c r="N3204"/>
      <c r="O3204"/>
      <c r="P3204"/>
    </row>
    <row r="3205" spans="8:16" s="1" customFormat="1">
      <c r="H3205" s="185"/>
      <c r="I3205" s="185"/>
      <c r="J3205" s="185"/>
      <c r="K3205"/>
      <c r="L3205"/>
      <c r="M3205"/>
      <c r="N3205"/>
      <c r="O3205"/>
      <c r="P3205"/>
    </row>
    <row r="3206" spans="8:16" s="1" customFormat="1">
      <c r="H3206" s="185"/>
      <c r="I3206" s="185"/>
      <c r="J3206" s="185"/>
      <c r="K3206"/>
      <c r="L3206"/>
      <c r="M3206"/>
      <c r="N3206"/>
      <c r="O3206"/>
      <c r="P3206"/>
    </row>
    <row r="3207" spans="8:16" s="1" customFormat="1">
      <c r="H3207" s="185"/>
      <c r="I3207" s="185"/>
      <c r="J3207" s="185"/>
      <c r="K3207"/>
      <c r="L3207"/>
      <c r="M3207"/>
      <c r="N3207"/>
      <c r="O3207"/>
      <c r="P3207"/>
    </row>
    <row r="3208" spans="8:16" s="1" customFormat="1">
      <c r="H3208" s="185"/>
      <c r="I3208" s="185"/>
      <c r="J3208" s="185"/>
      <c r="K3208"/>
      <c r="L3208"/>
      <c r="M3208"/>
      <c r="N3208"/>
      <c r="O3208"/>
      <c r="P3208"/>
    </row>
    <row r="3209" spans="8:16" s="1" customFormat="1">
      <c r="H3209" s="185"/>
      <c r="I3209" s="185"/>
      <c r="J3209" s="185"/>
      <c r="K3209"/>
      <c r="L3209"/>
      <c r="M3209"/>
      <c r="N3209"/>
      <c r="O3209"/>
      <c r="P3209"/>
    </row>
    <row r="3210" spans="8:16" s="1" customFormat="1">
      <c r="H3210" s="185"/>
      <c r="I3210" s="185"/>
      <c r="J3210" s="185"/>
      <c r="K3210"/>
      <c r="L3210"/>
      <c r="M3210"/>
      <c r="N3210"/>
      <c r="O3210"/>
      <c r="P3210"/>
    </row>
    <row r="3211" spans="8:16" s="1" customFormat="1">
      <c r="H3211" s="185"/>
      <c r="I3211" s="185"/>
      <c r="J3211" s="185"/>
      <c r="K3211"/>
      <c r="L3211"/>
      <c r="M3211"/>
      <c r="N3211"/>
      <c r="O3211"/>
      <c r="P3211"/>
    </row>
    <row r="3212" spans="8:16" s="1" customFormat="1">
      <c r="H3212" s="185"/>
      <c r="I3212" s="185"/>
      <c r="J3212" s="185"/>
      <c r="K3212"/>
      <c r="L3212"/>
      <c r="M3212"/>
      <c r="N3212"/>
      <c r="O3212"/>
      <c r="P3212"/>
    </row>
    <row r="3213" spans="8:16" s="1" customFormat="1">
      <c r="H3213" s="185"/>
      <c r="I3213" s="185"/>
      <c r="J3213" s="185"/>
      <c r="K3213"/>
      <c r="L3213"/>
      <c r="M3213"/>
      <c r="N3213"/>
      <c r="O3213"/>
      <c r="P3213"/>
    </row>
    <row r="3214" spans="8:16" s="1" customFormat="1">
      <c r="H3214" s="185"/>
      <c r="I3214" s="185"/>
      <c r="J3214" s="185"/>
      <c r="K3214"/>
      <c r="L3214"/>
      <c r="M3214"/>
      <c r="N3214"/>
      <c r="O3214"/>
      <c r="P3214"/>
    </row>
    <row r="3215" spans="8:16" s="1" customFormat="1">
      <c r="H3215" s="185"/>
      <c r="I3215" s="185"/>
      <c r="J3215" s="185"/>
      <c r="K3215"/>
      <c r="L3215"/>
      <c r="M3215"/>
      <c r="N3215"/>
      <c r="O3215"/>
      <c r="P3215"/>
    </row>
    <row r="3216" spans="8:16" s="1" customFormat="1">
      <c r="H3216" s="185"/>
      <c r="I3216" s="185"/>
      <c r="J3216" s="185"/>
      <c r="K3216"/>
      <c r="L3216"/>
      <c r="M3216"/>
      <c r="N3216"/>
      <c r="O3216"/>
      <c r="P3216"/>
    </row>
    <row r="3217" spans="8:16" s="1" customFormat="1">
      <c r="H3217" s="185"/>
      <c r="I3217" s="185"/>
      <c r="J3217" s="185"/>
      <c r="K3217"/>
      <c r="L3217"/>
      <c r="M3217"/>
      <c r="N3217"/>
      <c r="O3217"/>
      <c r="P3217"/>
    </row>
    <row r="3218" spans="8:16" s="1" customFormat="1">
      <c r="H3218" s="185"/>
      <c r="I3218" s="185"/>
      <c r="J3218" s="185"/>
      <c r="K3218"/>
      <c r="L3218"/>
      <c r="M3218"/>
      <c r="N3218"/>
      <c r="O3218"/>
      <c r="P3218"/>
    </row>
    <row r="3219" spans="8:16" s="1" customFormat="1">
      <c r="H3219" s="185"/>
      <c r="I3219" s="185"/>
      <c r="J3219" s="185"/>
      <c r="K3219"/>
      <c r="L3219"/>
      <c r="M3219"/>
      <c r="N3219"/>
      <c r="O3219"/>
      <c r="P3219"/>
    </row>
    <row r="3220" spans="8:16" s="1" customFormat="1">
      <c r="H3220" s="185"/>
      <c r="I3220" s="185"/>
      <c r="J3220" s="185"/>
      <c r="K3220"/>
      <c r="L3220"/>
      <c r="M3220"/>
      <c r="N3220"/>
      <c r="O3220"/>
      <c r="P3220"/>
    </row>
    <row r="3221" spans="8:16" s="1" customFormat="1">
      <c r="H3221" s="185"/>
      <c r="I3221" s="185"/>
      <c r="J3221" s="185"/>
      <c r="K3221"/>
      <c r="L3221"/>
      <c r="M3221"/>
      <c r="N3221"/>
      <c r="O3221"/>
      <c r="P3221"/>
    </row>
    <row r="3222" spans="8:16" s="1" customFormat="1">
      <c r="H3222" s="185"/>
      <c r="I3222" s="185"/>
      <c r="J3222" s="185"/>
      <c r="K3222"/>
      <c r="L3222"/>
      <c r="M3222"/>
      <c r="N3222"/>
      <c r="O3222"/>
      <c r="P3222"/>
    </row>
    <row r="3223" spans="8:16" s="1" customFormat="1">
      <c r="H3223" s="185"/>
      <c r="I3223" s="185"/>
      <c r="J3223" s="185"/>
      <c r="K3223"/>
      <c r="L3223"/>
      <c r="M3223"/>
      <c r="N3223"/>
      <c r="O3223"/>
      <c r="P3223"/>
    </row>
    <row r="3224" spans="8:16" s="1" customFormat="1">
      <c r="H3224" s="185"/>
      <c r="I3224" s="185"/>
      <c r="J3224" s="185"/>
      <c r="K3224"/>
      <c r="L3224"/>
      <c r="M3224"/>
      <c r="N3224"/>
      <c r="O3224"/>
      <c r="P3224"/>
    </row>
    <row r="3225" spans="8:16" s="1" customFormat="1">
      <c r="H3225" s="185"/>
      <c r="I3225" s="185"/>
      <c r="J3225" s="185"/>
      <c r="K3225"/>
      <c r="L3225"/>
      <c r="M3225"/>
      <c r="N3225"/>
      <c r="O3225"/>
      <c r="P3225"/>
    </row>
    <row r="3226" spans="8:16" s="1" customFormat="1">
      <c r="H3226" s="185"/>
      <c r="I3226" s="185"/>
      <c r="J3226" s="185"/>
      <c r="K3226"/>
      <c r="L3226"/>
      <c r="M3226"/>
      <c r="N3226"/>
      <c r="O3226"/>
      <c r="P3226"/>
    </row>
    <row r="3227" spans="8:16" s="1" customFormat="1">
      <c r="H3227" s="185"/>
      <c r="I3227" s="185"/>
      <c r="J3227" s="185"/>
      <c r="K3227"/>
      <c r="L3227"/>
      <c r="M3227"/>
      <c r="N3227"/>
      <c r="O3227"/>
      <c r="P3227"/>
    </row>
    <row r="3228" spans="8:16" s="1" customFormat="1">
      <c r="H3228" s="185"/>
      <c r="I3228" s="185"/>
      <c r="J3228" s="185"/>
      <c r="K3228"/>
      <c r="L3228"/>
      <c r="M3228"/>
      <c r="N3228"/>
      <c r="O3228"/>
      <c r="P3228"/>
    </row>
    <row r="3229" spans="8:16" s="1" customFormat="1">
      <c r="H3229" s="185"/>
      <c r="I3229" s="185"/>
      <c r="J3229" s="185"/>
      <c r="K3229"/>
      <c r="L3229"/>
      <c r="M3229"/>
      <c r="N3229"/>
      <c r="O3229"/>
      <c r="P3229"/>
    </row>
    <row r="3230" spans="8:16" s="1" customFormat="1">
      <c r="H3230" s="185"/>
      <c r="I3230" s="185"/>
      <c r="J3230" s="185"/>
      <c r="K3230"/>
      <c r="L3230"/>
      <c r="M3230"/>
      <c r="N3230"/>
      <c r="O3230"/>
      <c r="P3230"/>
    </row>
    <row r="3231" spans="8:16" s="1" customFormat="1">
      <c r="H3231" s="185"/>
      <c r="I3231" s="185"/>
      <c r="J3231" s="185"/>
      <c r="K3231"/>
      <c r="L3231"/>
      <c r="M3231"/>
      <c r="N3231"/>
      <c r="O3231"/>
      <c r="P3231"/>
    </row>
    <row r="3232" spans="8:16" s="1" customFormat="1">
      <c r="H3232" s="185"/>
      <c r="I3232" s="185"/>
      <c r="J3232" s="185"/>
      <c r="K3232"/>
      <c r="L3232"/>
      <c r="M3232"/>
      <c r="N3232"/>
      <c r="O3232"/>
      <c r="P3232"/>
    </row>
    <row r="3233" spans="8:16" s="1" customFormat="1">
      <c r="H3233" s="185"/>
      <c r="I3233" s="185"/>
      <c r="J3233" s="185"/>
      <c r="K3233"/>
      <c r="L3233"/>
      <c r="M3233"/>
      <c r="N3233"/>
      <c r="O3233"/>
      <c r="P3233"/>
    </row>
    <row r="3234" spans="8:16" s="1" customFormat="1">
      <c r="H3234" s="185"/>
      <c r="I3234" s="185"/>
      <c r="J3234" s="185"/>
      <c r="K3234"/>
      <c r="L3234"/>
      <c r="M3234"/>
      <c r="N3234"/>
      <c r="O3234"/>
      <c r="P3234"/>
    </row>
    <row r="3235" spans="8:16" s="1" customFormat="1">
      <c r="H3235" s="185"/>
      <c r="I3235" s="185"/>
      <c r="J3235" s="185"/>
      <c r="K3235"/>
      <c r="L3235"/>
      <c r="M3235"/>
      <c r="N3235"/>
      <c r="O3235"/>
      <c r="P3235"/>
    </row>
    <row r="3236" spans="8:16" s="1" customFormat="1">
      <c r="H3236" s="185"/>
      <c r="I3236" s="185"/>
      <c r="J3236" s="185"/>
      <c r="K3236"/>
      <c r="L3236"/>
      <c r="M3236"/>
      <c r="N3236"/>
      <c r="O3236"/>
      <c r="P3236"/>
    </row>
    <row r="3237" spans="8:16" s="1" customFormat="1">
      <c r="H3237" s="185"/>
      <c r="I3237" s="185"/>
      <c r="J3237" s="185"/>
      <c r="K3237"/>
      <c r="L3237"/>
      <c r="M3237"/>
      <c r="N3237"/>
      <c r="O3237"/>
      <c r="P3237"/>
    </row>
    <row r="3238" spans="8:16" s="1" customFormat="1">
      <c r="H3238" s="185"/>
      <c r="I3238" s="185"/>
      <c r="J3238" s="185"/>
      <c r="K3238"/>
      <c r="L3238"/>
      <c r="M3238"/>
      <c r="N3238"/>
      <c r="O3238"/>
      <c r="P3238"/>
    </row>
    <row r="3239" spans="8:16" s="1" customFormat="1">
      <c r="H3239" s="185"/>
      <c r="I3239" s="185"/>
      <c r="J3239" s="185"/>
      <c r="K3239"/>
      <c r="L3239"/>
      <c r="M3239"/>
      <c r="N3239"/>
      <c r="O3239"/>
      <c r="P3239"/>
    </row>
    <row r="3240" spans="8:16" s="1" customFormat="1">
      <c r="H3240" s="185"/>
      <c r="I3240" s="185"/>
      <c r="J3240" s="185"/>
      <c r="K3240"/>
      <c r="L3240"/>
      <c r="M3240"/>
      <c r="N3240"/>
      <c r="O3240"/>
      <c r="P3240"/>
    </row>
    <row r="3241" spans="8:16" s="1" customFormat="1">
      <c r="H3241" s="185"/>
      <c r="I3241" s="185"/>
      <c r="J3241" s="185"/>
      <c r="K3241"/>
      <c r="L3241"/>
      <c r="M3241"/>
      <c r="N3241"/>
      <c r="O3241"/>
      <c r="P3241"/>
    </row>
    <row r="3242" spans="8:16" s="1" customFormat="1">
      <c r="H3242" s="185"/>
      <c r="I3242" s="185"/>
      <c r="J3242" s="185"/>
      <c r="K3242"/>
      <c r="L3242"/>
      <c r="M3242"/>
      <c r="N3242"/>
      <c r="O3242"/>
      <c r="P3242"/>
    </row>
    <row r="3243" spans="8:16" s="1" customFormat="1">
      <c r="H3243" s="185"/>
      <c r="I3243" s="185"/>
      <c r="J3243" s="185"/>
      <c r="K3243"/>
      <c r="L3243"/>
      <c r="M3243"/>
      <c r="N3243"/>
      <c r="O3243"/>
      <c r="P3243"/>
    </row>
    <row r="3244" spans="8:16" s="1" customFormat="1">
      <c r="H3244" s="185"/>
      <c r="I3244" s="185"/>
      <c r="J3244" s="185"/>
      <c r="K3244"/>
      <c r="L3244"/>
      <c r="M3244"/>
      <c r="N3244"/>
      <c r="O3244"/>
      <c r="P3244"/>
    </row>
    <row r="3245" spans="8:16" s="1" customFormat="1">
      <c r="H3245" s="185"/>
      <c r="I3245" s="185"/>
      <c r="J3245" s="185"/>
      <c r="K3245"/>
      <c r="L3245"/>
      <c r="M3245"/>
      <c r="N3245"/>
      <c r="O3245"/>
      <c r="P3245"/>
    </row>
    <row r="3246" spans="8:16" s="1" customFormat="1">
      <c r="H3246" s="185"/>
      <c r="I3246" s="185"/>
      <c r="J3246" s="185"/>
      <c r="K3246"/>
      <c r="L3246"/>
      <c r="M3246"/>
      <c r="N3246"/>
      <c r="O3246"/>
      <c r="P3246"/>
    </row>
    <row r="3247" spans="8:16" s="1" customFormat="1">
      <c r="H3247" s="185"/>
      <c r="I3247" s="185"/>
      <c r="J3247" s="185"/>
      <c r="K3247"/>
      <c r="L3247"/>
      <c r="M3247"/>
      <c r="N3247"/>
      <c r="O3247"/>
      <c r="P3247"/>
    </row>
    <row r="3248" spans="8:16" s="1" customFormat="1">
      <c r="H3248" s="185"/>
      <c r="I3248" s="185"/>
      <c r="J3248" s="185"/>
      <c r="K3248"/>
      <c r="L3248"/>
      <c r="M3248"/>
      <c r="N3248"/>
      <c r="O3248"/>
      <c r="P3248"/>
    </row>
    <row r="3249" spans="8:16" s="1" customFormat="1">
      <c r="H3249" s="185"/>
      <c r="I3249" s="185"/>
      <c r="J3249" s="185"/>
      <c r="K3249"/>
      <c r="L3249"/>
      <c r="M3249"/>
      <c r="N3249"/>
      <c r="O3249"/>
      <c r="P3249"/>
    </row>
    <row r="3250" spans="8:16" s="1" customFormat="1">
      <c r="H3250" s="185"/>
      <c r="I3250" s="185"/>
      <c r="J3250" s="185"/>
      <c r="K3250"/>
      <c r="L3250"/>
      <c r="M3250"/>
      <c r="N3250"/>
      <c r="O3250"/>
      <c r="P3250"/>
    </row>
    <row r="3251" spans="8:16" s="1" customFormat="1">
      <c r="H3251" s="185"/>
      <c r="I3251" s="185"/>
      <c r="J3251" s="185"/>
      <c r="K3251"/>
      <c r="L3251"/>
      <c r="M3251"/>
      <c r="N3251"/>
      <c r="O3251"/>
      <c r="P3251"/>
    </row>
    <row r="3252" spans="8:16" s="1" customFormat="1">
      <c r="H3252" s="185"/>
      <c r="I3252" s="185"/>
      <c r="J3252" s="185"/>
      <c r="K3252"/>
      <c r="L3252"/>
      <c r="M3252"/>
      <c r="N3252"/>
      <c r="O3252"/>
      <c r="P3252"/>
    </row>
    <row r="3253" spans="8:16" s="1" customFormat="1">
      <c r="H3253" s="185"/>
      <c r="I3253" s="185"/>
      <c r="J3253" s="185"/>
      <c r="K3253"/>
      <c r="L3253"/>
      <c r="M3253"/>
      <c r="N3253"/>
      <c r="O3253"/>
      <c r="P3253"/>
    </row>
    <row r="3254" spans="8:16" s="1" customFormat="1">
      <c r="H3254" s="185"/>
      <c r="I3254" s="185"/>
      <c r="J3254" s="185"/>
      <c r="K3254"/>
      <c r="L3254"/>
      <c r="M3254"/>
      <c r="N3254"/>
      <c r="O3254"/>
      <c r="P3254"/>
    </row>
    <row r="3255" spans="8:16" s="1" customFormat="1">
      <c r="H3255" s="185"/>
      <c r="I3255" s="185"/>
      <c r="J3255" s="185"/>
      <c r="K3255"/>
      <c r="L3255"/>
      <c r="M3255"/>
      <c r="N3255"/>
      <c r="O3255"/>
      <c r="P3255"/>
    </row>
    <row r="3256" spans="8:16" s="1" customFormat="1">
      <c r="H3256" s="185"/>
      <c r="I3256" s="185"/>
      <c r="J3256" s="185"/>
      <c r="K3256"/>
      <c r="L3256"/>
      <c r="M3256"/>
      <c r="N3256"/>
      <c r="O3256"/>
      <c r="P3256"/>
    </row>
    <row r="3257" spans="8:16" s="1" customFormat="1">
      <c r="H3257" s="185"/>
      <c r="I3257" s="185"/>
      <c r="J3257" s="185"/>
      <c r="K3257"/>
      <c r="L3257"/>
      <c r="M3257"/>
      <c r="N3257"/>
      <c r="O3257"/>
      <c r="P3257"/>
    </row>
    <row r="3258" spans="8:16" s="1" customFormat="1">
      <c r="H3258" s="185"/>
      <c r="I3258" s="185"/>
      <c r="J3258" s="185"/>
      <c r="K3258"/>
      <c r="L3258"/>
      <c r="M3258"/>
      <c r="N3258"/>
      <c r="O3258"/>
      <c r="P3258"/>
    </row>
    <row r="3259" spans="8:16" s="1" customFormat="1">
      <c r="H3259" s="185"/>
      <c r="I3259" s="185"/>
      <c r="J3259" s="185"/>
      <c r="K3259"/>
      <c r="L3259"/>
      <c r="M3259"/>
      <c r="N3259"/>
      <c r="O3259"/>
      <c r="P3259"/>
    </row>
    <row r="3260" spans="8:16" s="1" customFormat="1">
      <c r="H3260" s="185"/>
      <c r="I3260" s="185"/>
      <c r="J3260" s="185"/>
      <c r="K3260"/>
      <c r="L3260"/>
      <c r="M3260"/>
      <c r="N3260"/>
      <c r="O3260"/>
      <c r="P3260"/>
    </row>
    <row r="3261" spans="8:16" s="1" customFormat="1">
      <c r="H3261" s="185"/>
      <c r="I3261" s="185"/>
      <c r="J3261" s="185"/>
      <c r="K3261"/>
      <c r="L3261"/>
      <c r="M3261"/>
      <c r="N3261"/>
      <c r="O3261"/>
      <c r="P3261"/>
    </row>
    <row r="3262" spans="8:16" s="1" customFormat="1">
      <c r="H3262" s="185"/>
      <c r="I3262" s="185"/>
      <c r="J3262" s="185"/>
      <c r="K3262"/>
      <c r="L3262"/>
      <c r="M3262"/>
      <c r="N3262"/>
      <c r="O3262"/>
      <c r="P3262"/>
    </row>
    <row r="3263" spans="8:16" s="1" customFormat="1">
      <c r="H3263" s="185"/>
      <c r="I3263" s="185"/>
      <c r="J3263" s="185"/>
      <c r="K3263"/>
      <c r="L3263"/>
      <c r="M3263"/>
      <c r="N3263"/>
      <c r="O3263"/>
      <c r="P3263"/>
    </row>
    <row r="3264" spans="8:16" s="1" customFormat="1">
      <c r="H3264" s="185"/>
      <c r="I3264" s="185"/>
      <c r="J3264" s="185"/>
      <c r="K3264"/>
      <c r="L3264"/>
      <c r="M3264"/>
      <c r="N3264"/>
      <c r="O3264"/>
      <c r="P3264"/>
    </row>
    <row r="3265" spans="8:16" s="1" customFormat="1">
      <c r="H3265" s="185"/>
      <c r="I3265" s="185"/>
      <c r="J3265" s="185"/>
      <c r="K3265"/>
      <c r="L3265"/>
      <c r="M3265"/>
      <c r="N3265"/>
      <c r="O3265"/>
      <c r="P3265"/>
    </row>
    <row r="3266" spans="8:16" s="1" customFormat="1">
      <c r="H3266" s="185"/>
      <c r="I3266" s="185"/>
      <c r="J3266" s="185"/>
      <c r="K3266"/>
      <c r="L3266"/>
      <c r="M3266"/>
      <c r="N3266"/>
      <c r="O3266"/>
      <c r="P3266"/>
    </row>
    <row r="3267" spans="8:16" s="1" customFormat="1">
      <c r="H3267" s="185"/>
      <c r="I3267" s="185"/>
      <c r="J3267" s="185"/>
      <c r="K3267"/>
      <c r="L3267"/>
      <c r="M3267"/>
      <c r="N3267"/>
      <c r="O3267"/>
      <c r="P3267"/>
    </row>
    <row r="3268" spans="8:16" s="1" customFormat="1">
      <c r="H3268" s="185"/>
      <c r="I3268" s="185"/>
      <c r="J3268" s="185"/>
      <c r="K3268"/>
      <c r="L3268"/>
      <c r="M3268"/>
      <c r="N3268"/>
      <c r="O3268"/>
      <c r="P3268"/>
    </row>
    <row r="3269" spans="8:16" s="1" customFormat="1">
      <c r="H3269" s="185"/>
      <c r="I3269" s="185"/>
      <c r="J3269" s="185"/>
      <c r="K3269"/>
      <c r="L3269"/>
      <c r="M3269"/>
      <c r="N3269"/>
      <c r="O3269"/>
      <c r="P3269"/>
    </row>
    <row r="3270" spans="8:16" s="1" customFormat="1">
      <c r="H3270" s="185"/>
      <c r="I3270" s="185"/>
      <c r="J3270" s="185"/>
      <c r="K3270"/>
      <c r="L3270"/>
      <c r="M3270"/>
      <c r="N3270"/>
      <c r="O3270"/>
      <c r="P3270"/>
    </row>
    <row r="3271" spans="8:16" s="1" customFormat="1">
      <c r="H3271" s="185"/>
      <c r="I3271" s="185"/>
      <c r="J3271" s="185"/>
      <c r="K3271"/>
      <c r="L3271"/>
      <c r="M3271"/>
      <c r="N3271"/>
      <c r="O3271"/>
      <c r="P3271"/>
    </row>
    <row r="3272" spans="8:16" s="1" customFormat="1">
      <c r="H3272" s="185"/>
      <c r="I3272" s="185"/>
      <c r="J3272" s="185"/>
      <c r="K3272"/>
      <c r="L3272"/>
      <c r="M3272"/>
      <c r="N3272"/>
      <c r="O3272"/>
      <c r="P3272"/>
    </row>
    <row r="3273" spans="8:16" s="1" customFormat="1">
      <c r="H3273" s="185"/>
      <c r="I3273" s="185"/>
      <c r="J3273" s="185"/>
      <c r="K3273"/>
      <c r="L3273"/>
      <c r="M3273"/>
      <c r="N3273"/>
      <c r="O3273"/>
      <c r="P3273"/>
    </row>
    <row r="3274" spans="8:16" s="1" customFormat="1">
      <c r="H3274" s="185"/>
      <c r="I3274" s="185"/>
      <c r="J3274" s="185"/>
      <c r="K3274"/>
      <c r="L3274"/>
      <c r="M3274"/>
      <c r="N3274"/>
      <c r="O3274"/>
      <c r="P3274"/>
    </row>
    <row r="3275" spans="8:16" s="1" customFormat="1">
      <c r="H3275" s="185"/>
      <c r="I3275" s="185"/>
      <c r="J3275" s="185"/>
      <c r="K3275"/>
      <c r="L3275"/>
      <c r="M3275"/>
      <c r="N3275"/>
      <c r="O3275"/>
      <c r="P3275"/>
    </row>
    <row r="3276" spans="8:16" s="1" customFormat="1">
      <c r="H3276" s="185"/>
      <c r="I3276" s="185"/>
      <c r="J3276" s="185"/>
      <c r="K3276"/>
      <c r="L3276"/>
      <c r="M3276"/>
      <c r="N3276"/>
      <c r="O3276"/>
      <c r="P3276"/>
    </row>
    <row r="3277" spans="8:16" s="1" customFormat="1">
      <c r="H3277" s="185"/>
      <c r="I3277" s="185"/>
      <c r="J3277" s="185"/>
      <c r="K3277"/>
      <c r="L3277"/>
      <c r="M3277"/>
      <c r="N3277"/>
      <c r="O3277"/>
      <c r="P3277"/>
    </row>
    <row r="3278" spans="8:16" s="1" customFormat="1">
      <c r="H3278" s="185"/>
      <c r="I3278" s="185"/>
      <c r="J3278" s="185"/>
      <c r="K3278"/>
      <c r="L3278"/>
      <c r="M3278"/>
      <c r="N3278"/>
      <c r="O3278"/>
      <c r="P3278"/>
    </row>
    <row r="3279" spans="8:16" s="1" customFormat="1">
      <c r="H3279" s="185"/>
      <c r="I3279" s="185"/>
      <c r="J3279" s="185"/>
      <c r="K3279"/>
      <c r="L3279"/>
      <c r="M3279"/>
      <c r="N3279"/>
      <c r="O3279"/>
      <c r="P3279"/>
    </row>
    <row r="3280" spans="8:16" s="1" customFormat="1">
      <c r="H3280" s="185"/>
      <c r="I3280" s="185"/>
      <c r="J3280" s="185"/>
      <c r="K3280"/>
      <c r="L3280"/>
      <c r="M3280"/>
      <c r="N3280"/>
      <c r="O3280"/>
      <c r="P3280"/>
    </row>
    <row r="3281" spans="8:16" s="1" customFormat="1">
      <c r="H3281" s="185"/>
      <c r="I3281" s="185"/>
      <c r="J3281" s="185"/>
      <c r="K3281"/>
      <c r="L3281"/>
      <c r="M3281"/>
      <c r="N3281"/>
      <c r="O3281"/>
      <c r="P3281"/>
    </row>
    <row r="3282" spans="8:16" s="1" customFormat="1">
      <c r="H3282" s="185"/>
      <c r="I3282" s="185"/>
      <c r="J3282" s="185"/>
      <c r="K3282"/>
      <c r="L3282"/>
      <c r="M3282"/>
      <c r="N3282"/>
      <c r="O3282"/>
      <c r="P3282"/>
    </row>
    <row r="3283" spans="8:16" s="1" customFormat="1">
      <c r="H3283" s="185"/>
      <c r="I3283" s="185"/>
      <c r="J3283" s="185"/>
      <c r="K3283"/>
      <c r="L3283"/>
      <c r="M3283"/>
      <c r="N3283"/>
      <c r="O3283"/>
      <c r="P3283"/>
    </row>
    <row r="3284" spans="8:16" s="1" customFormat="1">
      <c r="H3284" s="185"/>
      <c r="I3284" s="185"/>
      <c r="J3284" s="185"/>
      <c r="K3284"/>
      <c r="L3284"/>
      <c r="M3284"/>
      <c r="N3284"/>
      <c r="O3284"/>
      <c r="P3284"/>
    </row>
    <row r="3285" spans="8:16" s="1" customFormat="1">
      <c r="H3285" s="185"/>
      <c r="I3285" s="185"/>
      <c r="J3285" s="185"/>
      <c r="K3285"/>
      <c r="L3285"/>
      <c r="M3285"/>
      <c r="N3285"/>
      <c r="O3285"/>
      <c r="P3285"/>
    </row>
    <row r="3286" spans="8:16" s="1" customFormat="1">
      <c r="H3286" s="185"/>
      <c r="I3286" s="185"/>
      <c r="J3286" s="185"/>
      <c r="K3286"/>
      <c r="L3286"/>
      <c r="M3286"/>
      <c r="N3286"/>
      <c r="O3286"/>
      <c r="P3286"/>
    </row>
    <row r="3287" spans="8:16" s="1" customFormat="1">
      <c r="H3287" s="185"/>
      <c r="I3287" s="185"/>
      <c r="J3287" s="185"/>
      <c r="K3287"/>
      <c r="L3287"/>
      <c r="M3287"/>
      <c r="N3287"/>
      <c r="O3287"/>
      <c r="P3287"/>
    </row>
    <row r="3288" spans="8:16" s="1" customFormat="1">
      <c r="H3288" s="185"/>
      <c r="I3288" s="185"/>
      <c r="J3288" s="185"/>
      <c r="K3288"/>
      <c r="L3288"/>
      <c r="M3288"/>
      <c r="N3288"/>
      <c r="O3288"/>
      <c r="P3288"/>
    </row>
    <row r="3289" spans="8:16" s="1" customFormat="1">
      <c r="H3289" s="185"/>
      <c r="I3289" s="185"/>
      <c r="J3289" s="185"/>
      <c r="K3289"/>
      <c r="L3289"/>
      <c r="M3289"/>
      <c r="N3289"/>
      <c r="O3289"/>
      <c r="P3289"/>
    </row>
    <row r="3290" spans="8:16" s="1" customFormat="1">
      <c r="H3290" s="185"/>
      <c r="I3290" s="185"/>
      <c r="J3290" s="185"/>
      <c r="K3290"/>
      <c r="L3290"/>
      <c r="M3290"/>
      <c r="N3290"/>
      <c r="O3290"/>
      <c r="P3290"/>
    </row>
    <row r="3291" spans="8:16" s="1" customFormat="1">
      <c r="H3291" s="185"/>
      <c r="I3291" s="185"/>
      <c r="J3291" s="185"/>
      <c r="K3291"/>
      <c r="L3291"/>
      <c r="M3291"/>
      <c r="N3291"/>
      <c r="O3291"/>
      <c r="P3291"/>
    </row>
    <row r="3292" spans="8:16" s="1" customFormat="1">
      <c r="H3292" s="185"/>
      <c r="I3292" s="185"/>
      <c r="J3292" s="185"/>
      <c r="K3292"/>
      <c r="L3292"/>
      <c r="M3292"/>
      <c r="N3292"/>
      <c r="O3292"/>
      <c r="P3292"/>
    </row>
    <row r="3293" spans="8:16" s="1" customFormat="1">
      <c r="H3293" s="185"/>
      <c r="I3293" s="185"/>
      <c r="J3293" s="185"/>
      <c r="K3293"/>
      <c r="L3293"/>
      <c r="M3293"/>
      <c r="N3293"/>
      <c r="O3293"/>
      <c r="P3293"/>
    </row>
    <row r="3294" spans="8:16" s="1" customFormat="1">
      <c r="H3294" s="185"/>
      <c r="I3294" s="185"/>
      <c r="J3294" s="185"/>
      <c r="K3294"/>
      <c r="L3294"/>
      <c r="M3294"/>
      <c r="N3294"/>
      <c r="O3294"/>
      <c r="P3294"/>
    </row>
    <row r="3295" spans="8:16" s="1" customFormat="1">
      <c r="H3295" s="185"/>
      <c r="I3295" s="185"/>
      <c r="J3295" s="185"/>
      <c r="K3295"/>
      <c r="L3295"/>
      <c r="M3295"/>
      <c r="N3295"/>
      <c r="O3295"/>
      <c r="P3295"/>
    </row>
    <row r="3296" spans="8:16" s="1" customFormat="1">
      <c r="H3296" s="185"/>
      <c r="I3296" s="185"/>
      <c r="J3296" s="185"/>
      <c r="K3296"/>
      <c r="L3296"/>
      <c r="M3296"/>
      <c r="N3296"/>
      <c r="O3296"/>
      <c r="P3296"/>
    </row>
    <row r="3297" spans="8:16" s="1" customFormat="1">
      <c r="H3297" s="185"/>
      <c r="I3297" s="185"/>
      <c r="J3297" s="185"/>
      <c r="K3297"/>
      <c r="L3297"/>
      <c r="M3297"/>
      <c r="N3297"/>
      <c r="O3297"/>
      <c r="P3297"/>
    </row>
    <row r="3298" spans="8:16" s="1" customFormat="1">
      <c r="H3298" s="185"/>
      <c r="I3298" s="185"/>
      <c r="J3298" s="185"/>
      <c r="K3298"/>
      <c r="L3298"/>
      <c r="M3298"/>
      <c r="N3298"/>
      <c r="O3298"/>
      <c r="P3298"/>
    </row>
    <row r="3299" spans="8:16" s="1" customFormat="1">
      <c r="H3299" s="185"/>
      <c r="I3299" s="185"/>
      <c r="J3299" s="185"/>
      <c r="K3299"/>
      <c r="L3299"/>
      <c r="M3299"/>
      <c r="N3299"/>
      <c r="O3299"/>
      <c r="P3299"/>
    </row>
    <row r="3300" spans="8:16" s="1" customFormat="1">
      <c r="H3300" s="185"/>
      <c r="I3300" s="185"/>
      <c r="J3300" s="185"/>
      <c r="K3300"/>
      <c r="L3300"/>
      <c r="M3300"/>
      <c r="N3300"/>
      <c r="O3300"/>
      <c r="P3300"/>
    </row>
    <row r="3301" spans="8:16" s="1" customFormat="1">
      <c r="H3301" s="185"/>
      <c r="I3301" s="185"/>
      <c r="J3301" s="185"/>
      <c r="K3301"/>
      <c r="L3301"/>
      <c r="M3301"/>
      <c r="N3301"/>
      <c r="O3301"/>
      <c r="P3301"/>
    </row>
    <row r="3302" spans="8:16" s="1" customFormat="1">
      <c r="H3302" s="185"/>
      <c r="I3302" s="185"/>
      <c r="J3302" s="185"/>
      <c r="K3302"/>
      <c r="L3302"/>
      <c r="M3302"/>
      <c r="N3302"/>
      <c r="O3302"/>
      <c r="P3302"/>
    </row>
    <row r="3303" spans="8:16" s="1" customFormat="1">
      <c r="H3303" s="185"/>
      <c r="I3303" s="185"/>
      <c r="J3303" s="185"/>
      <c r="K3303"/>
      <c r="L3303"/>
      <c r="M3303"/>
      <c r="N3303"/>
      <c r="O3303"/>
      <c r="P3303"/>
    </row>
    <row r="3304" spans="8:16" s="1" customFormat="1">
      <c r="H3304" s="185"/>
      <c r="I3304" s="185"/>
      <c r="J3304" s="185"/>
      <c r="K3304"/>
      <c r="L3304"/>
      <c r="M3304"/>
      <c r="N3304"/>
      <c r="O3304"/>
      <c r="P3304"/>
    </row>
    <row r="3305" spans="8:16" s="1" customFormat="1">
      <c r="H3305" s="185"/>
      <c r="I3305" s="185"/>
      <c r="J3305" s="185"/>
      <c r="K3305"/>
      <c r="L3305"/>
      <c r="M3305"/>
      <c r="N3305"/>
      <c r="O3305"/>
      <c r="P3305"/>
    </row>
    <row r="3306" spans="8:16" s="1" customFormat="1">
      <c r="H3306" s="185"/>
      <c r="I3306" s="185"/>
      <c r="J3306" s="185"/>
      <c r="K3306"/>
      <c r="L3306"/>
      <c r="M3306"/>
      <c r="N3306"/>
      <c r="O3306"/>
      <c r="P3306"/>
    </row>
    <row r="3307" spans="8:16" s="1" customFormat="1">
      <c r="H3307" s="185"/>
      <c r="I3307" s="185"/>
      <c r="J3307" s="185"/>
      <c r="K3307"/>
      <c r="L3307"/>
      <c r="M3307"/>
      <c r="N3307"/>
      <c r="O3307"/>
      <c r="P3307"/>
    </row>
    <row r="3308" spans="8:16" s="1" customFormat="1">
      <c r="H3308" s="185"/>
      <c r="I3308" s="185"/>
      <c r="J3308" s="185"/>
      <c r="K3308"/>
      <c r="L3308"/>
      <c r="M3308"/>
      <c r="N3308"/>
      <c r="O3308"/>
      <c r="P3308"/>
    </row>
    <row r="3309" spans="8:16" s="1" customFormat="1">
      <c r="H3309" s="185"/>
      <c r="I3309" s="185"/>
      <c r="J3309" s="185"/>
      <c r="K3309"/>
      <c r="L3309"/>
      <c r="M3309"/>
      <c r="N3309"/>
      <c r="O3309"/>
      <c r="P3309"/>
    </row>
    <row r="3310" spans="8:16" s="1" customFormat="1">
      <c r="H3310" s="185"/>
      <c r="I3310" s="185"/>
      <c r="J3310" s="185"/>
      <c r="K3310"/>
      <c r="L3310"/>
      <c r="M3310"/>
      <c r="N3310"/>
      <c r="O3310"/>
      <c r="P3310"/>
    </row>
    <row r="3311" spans="8:16" s="1" customFormat="1">
      <c r="H3311" s="185"/>
      <c r="I3311" s="185"/>
      <c r="J3311" s="185"/>
      <c r="K3311"/>
      <c r="L3311"/>
      <c r="M3311"/>
      <c r="N3311"/>
      <c r="O3311"/>
      <c r="P3311"/>
    </row>
    <row r="3312" spans="8:16" s="1" customFormat="1">
      <c r="H3312" s="185"/>
      <c r="I3312" s="185"/>
      <c r="J3312" s="185"/>
      <c r="K3312"/>
      <c r="L3312"/>
      <c r="M3312"/>
      <c r="N3312"/>
      <c r="O3312"/>
      <c r="P3312"/>
    </row>
    <row r="3313" spans="8:16" s="1" customFormat="1">
      <c r="H3313" s="185"/>
      <c r="I3313" s="185"/>
      <c r="J3313" s="185"/>
      <c r="K3313"/>
      <c r="L3313"/>
      <c r="M3313"/>
      <c r="N3313"/>
      <c r="O3313"/>
      <c r="P3313"/>
    </row>
    <row r="3314" spans="8:16" s="1" customFormat="1">
      <c r="H3314" s="185"/>
      <c r="I3314" s="185"/>
      <c r="J3314" s="185"/>
      <c r="K3314"/>
      <c r="L3314"/>
      <c r="M3314"/>
      <c r="N3314"/>
      <c r="O3314"/>
      <c r="P3314"/>
    </row>
    <row r="3315" spans="8:16" s="1" customFormat="1">
      <c r="H3315" s="185"/>
      <c r="I3315" s="185"/>
      <c r="J3315" s="185"/>
      <c r="K3315"/>
      <c r="L3315"/>
      <c r="M3315"/>
      <c r="N3315"/>
      <c r="O3315"/>
      <c r="P3315"/>
    </row>
    <row r="3316" spans="8:16" s="1" customFormat="1">
      <c r="H3316" s="185"/>
      <c r="I3316" s="185"/>
      <c r="J3316" s="185"/>
      <c r="K3316"/>
      <c r="L3316"/>
      <c r="M3316"/>
      <c r="N3316"/>
      <c r="O3316"/>
      <c r="P3316"/>
    </row>
    <row r="3317" spans="8:16" s="1" customFormat="1">
      <c r="H3317" s="185"/>
      <c r="I3317" s="185"/>
      <c r="J3317" s="185"/>
      <c r="K3317"/>
      <c r="L3317"/>
      <c r="M3317"/>
      <c r="N3317"/>
      <c r="O3317"/>
      <c r="P3317"/>
    </row>
    <row r="3318" spans="8:16" s="1" customFormat="1">
      <c r="H3318" s="185"/>
      <c r="I3318" s="185"/>
      <c r="J3318" s="185"/>
      <c r="K3318"/>
      <c r="L3318"/>
      <c r="M3318"/>
      <c r="N3318"/>
      <c r="O3318"/>
      <c r="P3318"/>
    </row>
    <row r="3319" spans="8:16" s="1" customFormat="1">
      <c r="H3319" s="185"/>
      <c r="I3319" s="185"/>
      <c r="J3319" s="185"/>
      <c r="K3319"/>
      <c r="L3319"/>
      <c r="M3319"/>
      <c r="N3319"/>
      <c r="O3319"/>
      <c r="P3319"/>
    </row>
    <row r="3320" spans="8:16" s="1" customFormat="1">
      <c r="H3320" s="185"/>
      <c r="I3320" s="185"/>
      <c r="J3320" s="185"/>
      <c r="K3320"/>
      <c r="L3320"/>
      <c r="M3320"/>
      <c r="N3320"/>
      <c r="O3320"/>
      <c r="P3320"/>
    </row>
    <row r="3321" spans="8:16" s="1" customFormat="1">
      <c r="H3321" s="185"/>
      <c r="I3321" s="185"/>
      <c r="J3321" s="185"/>
      <c r="K3321"/>
      <c r="L3321"/>
      <c r="M3321"/>
      <c r="N3321"/>
      <c r="O3321"/>
      <c r="P3321"/>
    </row>
    <row r="3322" spans="8:16" s="1" customFormat="1">
      <c r="H3322" s="185"/>
      <c r="I3322" s="185"/>
      <c r="J3322" s="185"/>
      <c r="K3322"/>
      <c r="L3322"/>
      <c r="M3322"/>
      <c r="N3322"/>
      <c r="O3322"/>
      <c r="P3322"/>
    </row>
    <row r="3323" spans="8:16" s="1" customFormat="1">
      <c r="H3323" s="185"/>
      <c r="I3323" s="185"/>
      <c r="J3323" s="185"/>
      <c r="K3323"/>
      <c r="L3323"/>
      <c r="M3323"/>
      <c r="N3323"/>
      <c r="O3323"/>
      <c r="P3323"/>
    </row>
    <row r="3324" spans="8:16" s="1" customFormat="1">
      <c r="H3324" s="185"/>
      <c r="I3324" s="185"/>
      <c r="J3324" s="185"/>
      <c r="K3324"/>
      <c r="L3324"/>
      <c r="M3324"/>
      <c r="N3324"/>
      <c r="O3324"/>
      <c r="P3324"/>
    </row>
    <row r="3325" spans="8:16" s="1" customFormat="1">
      <c r="H3325" s="185"/>
      <c r="I3325" s="185"/>
      <c r="J3325" s="185"/>
      <c r="K3325"/>
      <c r="L3325"/>
      <c r="M3325"/>
      <c r="N3325"/>
      <c r="O3325"/>
      <c r="P3325"/>
    </row>
    <row r="3326" spans="8:16" s="1" customFormat="1">
      <c r="H3326" s="185"/>
      <c r="I3326" s="185"/>
      <c r="J3326" s="185"/>
      <c r="K3326"/>
      <c r="L3326"/>
      <c r="M3326"/>
      <c r="N3326"/>
      <c r="O3326"/>
      <c r="P3326"/>
    </row>
    <row r="3327" spans="8:16" s="1" customFormat="1">
      <c r="H3327" s="185"/>
      <c r="I3327" s="185"/>
      <c r="J3327" s="185"/>
      <c r="K3327"/>
      <c r="L3327"/>
      <c r="M3327"/>
      <c r="N3327"/>
      <c r="O3327"/>
      <c r="P3327"/>
    </row>
    <row r="3328" spans="8:16" s="1" customFormat="1">
      <c r="H3328" s="185"/>
      <c r="I3328" s="185"/>
      <c r="J3328" s="185"/>
      <c r="K3328"/>
      <c r="L3328"/>
      <c r="M3328"/>
      <c r="N3328"/>
      <c r="O3328"/>
      <c r="P3328"/>
    </row>
    <row r="3329" spans="8:16" s="1" customFormat="1">
      <c r="H3329" s="185"/>
      <c r="I3329" s="185"/>
      <c r="J3329" s="185"/>
      <c r="K3329"/>
      <c r="L3329"/>
      <c r="M3329"/>
      <c r="N3329"/>
      <c r="O3329"/>
      <c r="P3329"/>
    </row>
    <row r="3330" spans="8:16" s="1" customFormat="1">
      <c r="H3330" s="185"/>
      <c r="I3330" s="185"/>
      <c r="J3330" s="185"/>
      <c r="K3330"/>
      <c r="L3330"/>
      <c r="M3330"/>
      <c r="N3330"/>
      <c r="O3330"/>
      <c r="P3330"/>
    </row>
    <row r="3331" spans="8:16" s="1" customFormat="1">
      <c r="H3331" s="185"/>
      <c r="I3331" s="185"/>
      <c r="J3331" s="185"/>
      <c r="K3331"/>
      <c r="L3331"/>
      <c r="M3331"/>
      <c r="N3331"/>
      <c r="O3331"/>
      <c r="P3331"/>
    </row>
    <row r="3332" spans="8:16" s="1" customFormat="1">
      <c r="H3332" s="185"/>
      <c r="I3332" s="185"/>
      <c r="J3332" s="185"/>
      <c r="K3332"/>
      <c r="L3332"/>
      <c r="M3332"/>
      <c r="N3332"/>
      <c r="O3332"/>
      <c r="P3332"/>
    </row>
    <row r="3333" spans="8:16" s="1" customFormat="1">
      <c r="H3333" s="185"/>
      <c r="I3333" s="185"/>
      <c r="J3333" s="185"/>
      <c r="K3333"/>
      <c r="L3333"/>
      <c r="M3333"/>
      <c r="N3333"/>
      <c r="O3333"/>
      <c r="P3333"/>
    </row>
    <row r="3334" spans="8:16" s="1" customFormat="1">
      <c r="H3334" s="185"/>
      <c r="I3334" s="185"/>
      <c r="J3334" s="185"/>
      <c r="K3334"/>
      <c r="L3334"/>
      <c r="M3334"/>
      <c r="N3334"/>
      <c r="O3334"/>
      <c r="P3334"/>
    </row>
    <row r="3335" spans="8:16" s="1" customFormat="1">
      <c r="H3335" s="185"/>
      <c r="I3335" s="185"/>
      <c r="J3335" s="185"/>
      <c r="K3335"/>
      <c r="L3335"/>
      <c r="M3335"/>
      <c r="N3335"/>
      <c r="O3335"/>
      <c r="P3335"/>
    </row>
    <row r="3336" spans="8:16" s="1" customFormat="1">
      <c r="H3336" s="185"/>
      <c r="I3336" s="185"/>
      <c r="J3336" s="185"/>
      <c r="K3336"/>
      <c r="L3336"/>
      <c r="M3336"/>
      <c r="N3336"/>
      <c r="O3336"/>
      <c r="P3336"/>
    </row>
    <row r="3337" spans="8:16" s="1" customFormat="1">
      <c r="H3337" s="185"/>
      <c r="I3337" s="185"/>
      <c r="J3337" s="185"/>
      <c r="K3337"/>
      <c r="L3337"/>
      <c r="M3337"/>
      <c r="N3337"/>
      <c r="O3337"/>
      <c r="P3337"/>
    </row>
    <row r="3338" spans="8:16" s="1" customFormat="1">
      <c r="H3338" s="185"/>
      <c r="I3338" s="185"/>
      <c r="J3338" s="185"/>
      <c r="K3338"/>
      <c r="L3338"/>
      <c r="M3338"/>
      <c r="N3338"/>
      <c r="O3338"/>
      <c r="P3338"/>
    </row>
    <row r="3339" spans="8:16" s="1" customFormat="1">
      <c r="H3339" s="185"/>
      <c r="I3339" s="185"/>
      <c r="J3339" s="185"/>
      <c r="K3339"/>
      <c r="L3339"/>
      <c r="M3339"/>
      <c r="N3339"/>
      <c r="O3339"/>
      <c r="P3339"/>
    </row>
    <row r="3340" spans="8:16" s="1" customFormat="1">
      <c r="H3340" s="185"/>
      <c r="I3340" s="185"/>
      <c r="J3340" s="185"/>
      <c r="K3340"/>
      <c r="L3340"/>
      <c r="M3340"/>
      <c r="N3340"/>
      <c r="O3340"/>
      <c r="P3340"/>
    </row>
    <row r="3341" spans="8:16" s="1" customFormat="1">
      <c r="H3341" s="185"/>
      <c r="I3341" s="185"/>
      <c r="J3341" s="185"/>
      <c r="K3341"/>
      <c r="L3341"/>
      <c r="M3341"/>
      <c r="N3341"/>
      <c r="O3341"/>
      <c r="P3341"/>
    </row>
    <row r="3342" spans="8:16" s="1" customFormat="1">
      <c r="H3342" s="185"/>
      <c r="I3342" s="185"/>
      <c r="J3342" s="185"/>
      <c r="K3342"/>
      <c r="L3342"/>
      <c r="M3342"/>
      <c r="N3342"/>
      <c r="O3342"/>
      <c r="P3342"/>
    </row>
    <row r="3343" spans="8:16" s="1" customFormat="1">
      <c r="H3343" s="185"/>
      <c r="I3343" s="185"/>
      <c r="J3343" s="185"/>
      <c r="K3343"/>
      <c r="L3343"/>
      <c r="M3343"/>
      <c r="N3343"/>
      <c r="O3343"/>
      <c r="P3343"/>
    </row>
    <row r="3344" spans="8:16" s="1" customFormat="1">
      <c r="H3344" s="185"/>
      <c r="I3344" s="185"/>
      <c r="J3344" s="185"/>
      <c r="K3344"/>
      <c r="L3344"/>
      <c r="M3344"/>
      <c r="N3344"/>
      <c r="O3344"/>
      <c r="P3344"/>
    </row>
    <row r="3345" spans="8:16" s="1" customFormat="1">
      <c r="H3345" s="185"/>
      <c r="I3345" s="185"/>
      <c r="J3345" s="185"/>
      <c r="K3345"/>
      <c r="L3345"/>
      <c r="M3345"/>
      <c r="N3345"/>
      <c r="O3345"/>
      <c r="P3345"/>
    </row>
    <row r="3346" spans="8:16" s="1" customFormat="1">
      <c r="H3346" s="185"/>
      <c r="I3346" s="185"/>
      <c r="J3346" s="185"/>
      <c r="K3346"/>
      <c r="L3346"/>
      <c r="M3346"/>
      <c r="N3346"/>
      <c r="O3346"/>
      <c r="P3346"/>
    </row>
    <row r="3347" spans="8:16" s="1" customFormat="1">
      <c r="H3347" s="185"/>
      <c r="I3347" s="185"/>
      <c r="J3347" s="185"/>
      <c r="K3347"/>
      <c r="L3347"/>
      <c r="M3347"/>
      <c r="N3347"/>
      <c r="O3347"/>
      <c r="P3347"/>
    </row>
    <row r="3348" spans="8:16" s="1" customFormat="1">
      <c r="H3348" s="185"/>
      <c r="I3348" s="185"/>
      <c r="J3348" s="185"/>
      <c r="K3348"/>
      <c r="L3348"/>
      <c r="M3348"/>
      <c r="N3348"/>
      <c r="O3348"/>
      <c r="P3348"/>
    </row>
    <row r="3349" spans="8:16" s="1" customFormat="1">
      <c r="H3349" s="185"/>
      <c r="I3349" s="185"/>
      <c r="J3349" s="185"/>
      <c r="K3349"/>
      <c r="L3349"/>
      <c r="M3349"/>
      <c r="N3349"/>
      <c r="O3349"/>
      <c r="P3349"/>
    </row>
    <row r="3350" spans="8:16" s="1" customFormat="1">
      <c r="H3350" s="185"/>
      <c r="I3350" s="185"/>
      <c r="J3350" s="185"/>
      <c r="K3350"/>
      <c r="L3350"/>
      <c r="M3350"/>
      <c r="N3350"/>
      <c r="O3350"/>
      <c r="P3350"/>
    </row>
    <row r="3351" spans="8:16" s="1" customFormat="1">
      <c r="H3351" s="185"/>
      <c r="I3351" s="185"/>
      <c r="J3351" s="185"/>
      <c r="K3351"/>
      <c r="L3351"/>
      <c r="M3351"/>
      <c r="N3351"/>
      <c r="O3351"/>
      <c r="P3351"/>
    </row>
    <row r="3352" spans="8:16" s="1" customFormat="1">
      <c r="H3352" s="185"/>
      <c r="I3352" s="185"/>
      <c r="J3352" s="185"/>
      <c r="K3352"/>
      <c r="L3352"/>
      <c r="M3352"/>
      <c r="N3352"/>
      <c r="O3352"/>
      <c r="P3352"/>
    </row>
    <row r="3353" spans="8:16" s="1" customFormat="1">
      <c r="H3353" s="185"/>
      <c r="I3353" s="185"/>
      <c r="J3353" s="185"/>
      <c r="K3353"/>
      <c r="L3353"/>
      <c r="M3353"/>
      <c r="N3353"/>
      <c r="O3353"/>
      <c r="P3353"/>
    </row>
    <row r="3354" spans="8:16" s="1" customFormat="1">
      <c r="H3354" s="185"/>
      <c r="I3354" s="185"/>
      <c r="J3354" s="185"/>
      <c r="K3354"/>
      <c r="L3354"/>
      <c r="M3354"/>
      <c r="N3354"/>
      <c r="O3354"/>
      <c r="P3354"/>
    </row>
    <row r="3355" spans="8:16" s="1" customFormat="1">
      <c r="H3355" s="185"/>
      <c r="I3355" s="185"/>
      <c r="J3355" s="185"/>
      <c r="K3355"/>
      <c r="L3355"/>
      <c r="M3355"/>
      <c r="N3355"/>
      <c r="O3355"/>
      <c r="P3355"/>
    </row>
    <row r="3356" spans="8:16" s="1" customFormat="1">
      <c r="H3356" s="185"/>
      <c r="I3356" s="185"/>
      <c r="J3356" s="185"/>
      <c r="K3356"/>
      <c r="L3356"/>
      <c r="M3356"/>
      <c r="N3356"/>
      <c r="O3356"/>
      <c r="P3356"/>
    </row>
    <row r="3357" spans="8:16" s="1" customFormat="1">
      <c r="H3357" s="185"/>
      <c r="I3357" s="185"/>
      <c r="J3357" s="185"/>
      <c r="K3357"/>
      <c r="L3357"/>
      <c r="M3357"/>
      <c r="N3357"/>
      <c r="O3357"/>
      <c r="P3357"/>
    </row>
    <row r="3358" spans="8:16" s="1" customFormat="1">
      <c r="H3358" s="185"/>
      <c r="I3358" s="185"/>
      <c r="J3358" s="185"/>
      <c r="K3358"/>
      <c r="L3358"/>
      <c r="M3358"/>
      <c r="N3358"/>
      <c r="O3358"/>
      <c r="P3358"/>
    </row>
    <row r="3359" spans="8:16" s="1" customFormat="1">
      <c r="H3359" s="185"/>
      <c r="I3359" s="185"/>
      <c r="J3359" s="185"/>
      <c r="K3359"/>
      <c r="L3359"/>
      <c r="M3359"/>
      <c r="N3359"/>
      <c r="O3359"/>
      <c r="P3359"/>
    </row>
    <row r="3360" spans="8:16" s="1" customFormat="1">
      <c r="H3360" s="185"/>
      <c r="I3360" s="185"/>
      <c r="J3360" s="185"/>
      <c r="K3360"/>
      <c r="L3360"/>
      <c r="M3360"/>
      <c r="N3360"/>
      <c r="O3360"/>
      <c r="P3360"/>
    </row>
    <row r="3361" spans="8:16" s="1" customFormat="1">
      <c r="H3361" s="185"/>
      <c r="I3361" s="185"/>
      <c r="J3361" s="185"/>
      <c r="K3361"/>
      <c r="L3361"/>
      <c r="M3361"/>
      <c r="N3361"/>
      <c r="O3361"/>
      <c r="P3361"/>
    </row>
    <row r="3362" spans="8:16" s="1" customFormat="1">
      <c r="H3362" s="185"/>
      <c r="I3362" s="185"/>
      <c r="J3362" s="185"/>
      <c r="K3362"/>
      <c r="L3362"/>
      <c r="M3362"/>
      <c r="N3362"/>
      <c r="O3362"/>
      <c r="P3362"/>
    </row>
    <row r="3363" spans="8:16" s="1" customFormat="1">
      <c r="H3363" s="185"/>
      <c r="I3363" s="185"/>
      <c r="J3363" s="185"/>
      <c r="K3363"/>
      <c r="L3363"/>
      <c r="M3363"/>
      <c r="N3363"/>
      <c r="O3363"/>
      <c r="P3363"/>
    </row>
    <row r="3364" spans="8:16" s="1" customFormat="1">
      <c r="H3364" s="185"/>
      <c r="I3364" s="185"/>
      <c r="J3364" s="185"/>
      <c r="K3364"/>
      <c r="L3364"/>
      <c r="M3364"/>
      <c r="N3364"/>
      <c r="O3364"/>
      <c r="P3364"/>
    </row>
    <row r="3365" spans="8:16" s="1" customFormat="1">
      <c r="H3365" s="185"/>
      <c r="I3365" s="185"/>
      <c r="J3365" s="185"/>
      <c r="K3365"/>
      <c r="L3365"/>
      <c r="M3365"/>
      <c r="N3365"/>
      <c r="O3365"/>
      <c r="P3365"/>
    </row>
    <row r="3366" spans="8:16" s="1" customFormat="1">
      <c r="H3366" s="185"/>
      <c r="I3366" s="185"/>
      <c r="J3366" s="185"/>
      <c r="K3366"/>
      <c r="L3366"/>
      <c r="M3366"/>
      <c r="N3366"/>
      <c r="O3366"/>
      <c r="P3366"/>
    </row>
    <row r="3367" spans="8:16" s="1" customFormat="1">
      <c r="H3367" s="185"/>
      <c r="I3367" s="185"/>
      <c r="J3367" s="185"/>
      <c r="K3367"/>
      <c r="L3367"/>
      <c r="M3367"/>
      <c r="N3367"/>
      <c r="O3367"/>
      <c r="P3367"/>
    </row>
    <row r="3368" spans="8:16" s="1" customFormat="1">
      <c r="H3368" s="185"/>
      <c r="I3368" s="185"/>
      <c r="J3368" s="185"/>
      <c r="K3368"/>
      <c r="L3368"/>
      <c r="M3368"/>
      <c r="N3368"/>
      <c r="O3368"/>
      <c r="P3368"/>
    </row>
    <row r="3369" spans="8:16" s="1" customFormat="1">
      <c r="H3369" s="185"/>
      <c r="I3369" s="185"/>
      <c r="J3369" s="185"/>
      <c r="K3369"/>
      <c r="L3369"/>
      <c r="M3369"/>
      <c r="N3369"/>
      <c r="O3369"/>
      <c r="P3369"/>
    </row>
    <row r="3370" spans="8:16" s="1" customFormat="1">
      <c r="H3370" s="185"/>
      <c r="I3370" s="185"/>
      <c r="J3370" s="185"/>
      <c r="K3370"/>
      <c r="L3370"/>
      <c r="M3370"/>
      <c r="N3370"/>
      <c r="O3370"/>
      <c r="P3370"/>
    </row>
    <row r="3371" spans="8:16" s="1" customFormat="1">
      <c r="H3371" s="185"/>
      <c r="I3371" s="185"/>
      <c r="J3371" s="185"/>
      <c r="K3371"/>
      <c r="L3371"/>
      <c r="M3371"/>
      <c r="N3371"/>
      <c r="O3371"/>
      <c r="P3371"/>
    </row>
    <row r="3372" spans="8:16" s="1" customFormat="1">
      <c r="H3372" s="185"/>
      <c r="I3372" s="185"/>
      <c r="J3372" s="185"/>
      <c r="K3372"/>
      <c r="L3372"/>
      <c r="M3372"/>
      <c r="N3372"/>
      <c r="O3372"/>
      <c r="P3372"/>
    </row>
    <row r="3373" spans="8:16" s="1" customFormat="1">
      <c r="H3373" s="185"/>
      <c r="I3373" s="185"/>
      <c r="J3373" s="185"/>
      <c r="K3373"/>
      <c r="L3373"/>
      <c r="M3373"/>
      <c r="N3373"/>
      <c r="O3373"/>
      <c r="P3373"/>
    </row>
    <row r="3374" spans="8:16" s="1" customFormat="1">
      <c r="H3374" s="185"/>
      <c r="I3374" s="185"/>
      <c r="J3374" s="185"/>
      <c r="K3374"/>
      <c r="L3374"/>
      <c r="M3374"/>
      <c r="N3374"/>
      <c r="O3374"/>
      <c r="P3374"/>
    </row>
    <row r="3375" spans="8:16" s="1" customFormat="1">
      <c r="H3375" s="185"/>
      <c r="I3375" s="185"/>
      <c r="J3375" s="185"/>
      <c r="K3375"/>
      <c r="L3375"/>
      <c r="M3375"/>
      <c r="N3375"/>
      <c r="O3375"/>
      <c r="P3375"/>
    </row>
    <row r="3376" spans="8:16" s="1" customFormat="1">
      <c r="H3376" s="185"/>
      <c r="I3376" s="185"/>
      <c r="J3376" s="185"/>
      <c r="K3376"/>
      <c r="L3376"/>
      <c r="M3376"/>
      <c r="N3376"/>
      <c r="O3376"/>
      <c r="P3376"/>
    </row>
    <row r="3377" spans="8:16" s="1" customFormat="1">
      <c r="H3377" s="185"/>
      <c r="I3377" s="185"/>
      <c r="J3377" s="185"/>
      <c r="K3377"/>
      <c r="L3377"/>
      <c r="M3377"/>
      <c r="N3377"/>
      <c r="O3377"/>
      <c r="P3377"/>
    </row>
    <row r="3378" spans="8:16" s="1" customFormat="1">
      <c r="H3378" s="185"/>
      <c r="I3378" s="185"/>
      <c r="J3378" s="185"/>
      <c r="K3378"/>
      <c r="L3378"/>
      <c r="M3378"/>
      <c r="N3378"/>
      <c r="O3378"/>
      <c r="P3378"/>
    </row>
    <row r="3379" spans="8:16" s="1" customFormat="1">
      <c r="H3379" s="185"/>
      <c r="I3379" s="185"/>
      <c r="J3379" s="185"/>
      <c r="K3379"/>
      <c r="L3379"/>
      <c r="M3379"/>
      <c r="N3379"/>
      <c r="O3379"/>
      <c r="P3379"/>
    </row>
    <row r="3380" spans="8:16" s="1" customFormat="1">
      <c r="H3380" s="185"/>
      <c r="I3380" s="185"/>
      <c r="J3380" s="185"/>
      <c r="K3380"/>
      <c r="L3380"/>
      <c r="M3380"/>
      <c r="N3380"/>
      <c r="O3380"/>
      <c r="P3380"/>
    </row>
    <row r="3381" spans="8:16" s="1" customFormat="1">
      <c r="H3381" s="185"/>
      <c r="I3381" s="185"/>
      <c r="J3381" s="185"/>
      <c r="K3381"/>
      <c r="L3381"/>
      <c r="M3381"/>
      <c r="N3381"/>
      <c r="O3381"/>
      <c r="P3381"/>
    </row>
    <row r="3382" spans="8:16" s="1" customFormat="1">
      <c r="H3382" s="185"/>
      <c r="I3382" s="185"/>
      <c r="J3382" s="185"/>
      <c r="K3382"/>
      <c r="L3382"/>
      <c r="M3382"/>
      <c r="N3382"/>
      <c r="O3382"/>
      <c r="P3382"/>
    </row>
    <row r="3383" spans="8:16" s="1" customFormat="1">
      <c r="H3383" s="185"/>
      <c r="I3383" s="185"/>
      <c r="J3383" s="185"/>
      <c r="K3383"/>
      <c r="L3383"/>
      <c r="M3383"/>
      <c r="N3383"/>
      <c r="O3383"/>
      <c r="P3383"/>
    </row>
    <row r="3384" spans="8:16" s="1" customFormat="1">
      <c r="H3384" s="185"/>
      <c r="I3384" s="185"/>
      <c r="J3384" s="185"/>
      <c r="K3384"/>
      <c r="L3384"/>
      <c r="M3384"/>
      <c r="N3384"/>
      <c r="O3384"/>
      <c r="P3384"/>
    </row>
    <row r="3385" spans="8:16" s="1" customFormat="1">
      <c r="H3385" s="185"/>
      <c r="I3385" s="185"/>
      <c r="J3385" s="185"/>
      <c r="K3385"/>
      <c r="L3385"/>
      <c r="M3385"/>
      <c r="N3385"/>
      <c r="O3385"/>
      <c r="P3385"/>
    </row>
    <row r="3386" spans="8:16" s="1" customFormat="1">
      <c r="H3386" s="185"/>
      <c r="I3386" s="185"/>
      <c r="J3386" s="185"/>
      <c r="K3386"/>
      <c r="L3386"/>
      <c r="M3386"/>
      <c r="N3386"/>
      <c r="O3386"/>
      <c r="P3386"/>
    </row>
    <row r="3387" spans="8:16" s="1" customFormat="1">
      <c r="H3387" s="185"/>
      <c r="I3387" s="185"/>
      <c r="J3387" s="185"/>
      <c r="K3387"/>
      <c r="L3387"/>
      <c r="M3387"/>
      <c r="N3387"/>
      <c r="O3387"/>
      <c r="P3387"/>
    </row>
    <row r="3388" spans="8:16" s="1" customFormat="1">
      <c r="H3388" s="185"/>
      <c r="I3388" s="185"/>
      <c r="J3388" s="185"/>
      <c r="K3388"/>
      <c r="L3388"/>
      <c r="M3388"/>
      <c r="N3388"/>
      <c r="O3388"/>
      <c r="P3388"/>
    </row>
    <row r="3389" spans="8:16" s="1" customFormat="1">
      <c r="H3389" s="185"/>
      <c r="I3389" s="185"/>
      <c r="J3389" s="185"/>
      <c r="K3389"/>
      <c r="L3389"/>
      <c r="M3389"/>
      <c r="N3389"/>
      <c r="O3389"/>
      <c r="P3389"/>
    </row>
    <row r="3390" spans="8:16" s="1" customFormat="1">
      <c r="H3390" s="185"/>
      <c r="I3390" s="185"/>
      <c r="J3390" s="185"/>
      <c r="K3390"/>
      <c r="L3390"/>
      <c r="M3390"/>
      <c r="N3390"/>
      <c r="O3390"/>
      <c r="P3390"/>
    </row>
    <row r="3391" spans="8:16" s="1" customFormat="1">
      <c r="H3391" s="185"/>
      <c r="I3391" s="185"/>
      <c r="J3391" s="185"/>
      <c r="K3391"/>
      <c r="L3391"/>
      <c r="M3391"/>
      <c r="N3391"/>
      <c r="O3391"/>
      <c r="P3391"/>
    </row>
    <row r="3392" spans="8:16" s="1" customFormat="1">
      <c r="H3392" s="185"/>
      <c r="I3392" s="185"/>
      <c r="J3392" s="185"/>
      <c r="K3392"/>
      <c r="L3392"/>
      <c r="M3392"/>
      <c r="N3392"/>
      <c r="O3392"/>
      <c r="P3392"/>
    </row>
    <row r="3393" spans="8:16" s="1" customFormat="1">
      <c r="H3393" s="185"/>
      <c r="I3393" s="185"/>
      <c r="J3393" s="185"/>
      <c r="K3393"/>
      <c r="L3393"/>
      <c r="M3393"/>
      <c r="N3393"/>
      <c r="O3393"/>
      <c r="P3393"/>
    </row>
    <row r="3394" spans="8:16" s="1" customFormat="1">
      <c r="H3394" s="185"/>
      <c r="I3394" s="185"/>
      <c r="J3394" s="185"/>
      <c r="K3394"/>
      <c r="L3394"/>
      <c r="M3394"/>
      <c r="N3394"/>
      <c r="O3394"/>
      <c r="P3394"/>
    </row>
    <row r="3395" spans="8:16" s="1" customFormat="1">
      <c r="H3395" s="185"/>
      <c r="I3395" s="185"/>
      <c r="J3395" s="185"/>
      <c r="K3395"/>
      <c r="L3395"/>
      <c r="M3395"/>
      <c r="N3395"/>
      <c r="O3395"/>
      <c r="P3395"/>
    </row>
    <row r="3396" spans="8:16" s="1" customFormat="1">
      <c r="H3396" s="185"/>
      <c r="I3396" s="185"/>
      <c r="J3396" s="185"/>
      <c r="K3396"/>
      <c r="L3396"/>
      <c r="M3396"/>
      <c r="N3396"/>
      <c r="O3396"/>
      <c r="P3396"/>
    </row>
    <row r="3397" spans="8:16" s="1" customFormat="1">
      <c r="H3397" s="185"/>
      <c r="I3397" s="185"/>
      <c r="J3397" s="185"/>
      <c r="K3397"/>
      <c r="L3397"/>
      <c r="M3397"/>
      <c r="N3397"/>
      <c r="O3397"/>
      <c r="P3397"/>
    </row>
    <row r="3398" spans="8:16" s="1" customFormat="1">
      <c r="H3398" s="185"/>
      <c r="I3398" s="185"/>
      <c r="J3398" s="185"/>
      <c r="K3398"/>
      <c r="L3398"/>
      <c r="M3398"/>
      <c r="N3398"/>
      <c r="O3398"/>
      <c r="P3398"/>
    </row>
    <row r="3399" spans="8:16" s="1" customFormat="1">
      <c r="H3399" s="185"/>
      <c r="I3399" s="185"/>
      <c r="J3399" s="185"/>
      <c r="K3399"/>
      <c r="L3399"/>
      <c r="M3399"/>
      <c r="N3399"/>
      <c r="O3399"/>
      <c r="P3399"/>
    </row>
    <row r="3400" spans="8:16" s="1" customFormat="1">
      <c r="H3400" s="185"/>
      <c r="I3400" s="185"/>
      <c r="J3400" s="185"/>
      <c r="K3400"/>
      <c r="L3400"/>
      <c r="M3400"/>
      <c r="N3400"/>
      <c r="O3400"/>
      <c r="P3400"/>
    </row>
    <row r="3401" spans="8:16" s="1" customFormat="1">
      <c r="H3401" s="185"/>
      <c r="I3401" s="185"/>
      <c r="J3401" s="185"/>
      <c r="K3401"/>
      <c r="L3401"/>
      <c r="M3401"/>
      <c r="N3401"/>
      <c r="O3401"/>
      <c r="P3401"/>
    </row>
    <row r="3402" spans="8:16" s="1" customFormat="1">
      <c r="H3402" s="185"/>
      <c r="I3402" s="185"/>
      <c r="J3402" s="185"/>
      <c r="K3402"/>
      <c r="L3402"/>
      <c r="M3402"/>
      <c r="N3402"/>
      <c r="O3402"/>
      <c r="P3402"/>
    </row>
    <row r="3403" spans="8:16" s="1" customFormat="1">
      <c r="H3403" s="185"/>
      <c r="I3403" s="185"/>
      <c r="J3403" s="185"/>
      <c r="K3403"/>
      <c r="L3403"/>
      <c r="M3403"/>
      <c r="N3403"/>
      <c r="O3403"/>
      <c r="P3403"/>
    </row>
    <row r="3404" spans="8:16" s="1" customFormat="1">
      <c r="H3404" s="185"/>
      <c r="I3404" s="185"/>
      <c r="J3404" s="185"/>
      <c r="K3404"/>
      <c r="L3404"/>
      <c r="M3404"/>
      <c r="N3404"/>
      <c r="O3404"/>
      <c r="P3404"/>
    </row>
    <row r="3405" spans="8:16" s="1" customFormat="1">
      <c r="H3405" s="185"/>
      <c r="I3405" s="185"/>
      <c r="J3405" s="185"/>
      <c r="K3405"/>
      <c r="L3405"/>
      <c r="M3405"/>
      <c r="N3405"/>
      <c r="O3405"/>
      <c r="P3405"/>
    </row>
    <row r="3406" spans="8:16" s="1" customFormat="1">
      <c r="H3406" s="185"/>
      <c r="I3406" s="185"/>
      <c r="J3406" s="185"/>
      <c r="K3406"/>
      <c r="L3406"/>
      <c r="M3406"/>
      <c r="N3406"/>
      <c r="O3406"/>
      <c r="P3406"/>
    </row>
    <row r="3407" spans="8:16" s="1" customFormat="1">
      <c r="H3407" s="185"/>
      <c r="I3407" s="185"/>
      <c r="J3407" s="185"/>
      <c r="K3407"/>
      <c r="L3407"/>
      <c r="M3407"/>
      <c r="N3407"/>
      <c r="O3407"/>
      <c r="P3407"/>
    </row>
    <row r="3408" spans="8:16" s="1" customFormat="1">
      <c r="H3408" s="185"/>
      <c r="I3408" s="185"/>
      <c r="J3408" s="185"/>
      <c r="K3408"/>
      <c r="L3408"/>
      <c r="M3408"/>
      <c r="N3408"/>
      <c r="O3408"/>
      <c r="P3408"/>
    </row>
    <row r="3409" spans="8:16" s="1" customFormat="1">
      <c r="H3409" s="185"/>
      <c r="I3409" s="185"/>
      <c r="J3409" s="185"/>
      <c r="K3409"/>
      <c r="L3409"/>
      <c r="M3409"/>
      <c r="N3409"/>
      <c r="O3409"/>
      <c r="P3409"/>
    </row>
    <row r="3410" spans="8:16" s="1" customFormat="1">
      <c r="H3410" s="185"/>
      <c r="I3410" s="185"/>
      <c r="J3410" s="185"/>
      <c r="K3410"/>
      <c r="L3410"/>
      <c r="M3410"/>
      <c r="N3410"/>
      <c r="O3410"/>
      <c r="P3410"/>
    </row>
    <row r="3411" spans="8:16" s="1" customFormat="1">
      <c r="H3411" s="185"/>
      <c r="I3411" s="185"/>
      <c r="J3411" s="185"/>
      <c r="K3411"/>
      <c r="L3411"/>
      <c r="M3411"/>
      <c r="N3411"/>
      <c r="O3411"/>
      <c r="P3411"/>
    </row>
    <row r="3412" spans="8:16" s="1" customFormat="1">
      <c r="H3412" s="185"/>
      <c r="I3412" s="185"/>
      <c r="J3412" s="185"/>
      <c r="K3412"/>
      <c r="L3412"/>
      <c r="M3412"/>
      <c r="N3412"/>
      <c r="O3412"/>
      <c r="P3412"/>
    </row>
    <row r="3413" spans="8:16" s="1" customFormat="1">
      <c r="H3413" s="185"/>
      <c r="I3413" s="185"/>
      <c r="J3413" s="185"/>
      <c r="K3413"/>
      <c r="L3413"/>
      <c r="M3413"/>
      <c r="N3413"/>
      <c r="O3413"/>
      <c r="P3413"/>
    </row>
    <row r="3414" spans="8:16" s="1" customFormat="1">
      <c r="H3414" s="185"/>
      <c r="I3414" s="185"/>
      <c r="J3414" s="185"/>
      <c r="K3414"/>
      <c r="L3414"/>
      <c r="M3414"/>
      <c r="N3414"/>
      <c r="O3414"/>
      <c r="P3414"/>
    </row>
    <row r="3415" spans="8:16" s="1" customFormat="1">
      <c r="H3415" s="185"/>
      <c r="I3415" s="185"/>
      <c r="J3415" s="185"/>
      <c r="K3415"/>
      <c r="L3415"/>
      <c r="M3415"/>
      <c r="N3415"/>
      <c r="O3415"/>
      <c r="P3415"/>
    </row>
    <row r="3416" spans="8:16" s="1" customFormat="1">
      <c r="H3416" s="185"/>
      <c r="I3416" s="185"/>
      <c r="J3416" s="185"/>
      <c r="K3416"/>
      <c r="L3416"/>
      <c r="M3416"/>
      <c r="N3416"/>
      <c r="O3416"/>
      <c r="P3416"/>
    </row>
    <row r="3417" spans="8:16" s="1" customFormat="1">
      <c r="H3417" s="185"/>
      <c r="I3417" s="185"/>
      <c r="J3417" s="185"/>
      <c r="K3417"/>
      <c r="L3417"/>
      <c r="M3417"/>
      <c r="N3417"/>
      <c r="O3417"/>
      <c r="P3417"/>
    </row>
    <row r="3418" spans="8:16" s="1" customFormat="1">
      <c r="H3418" s="185"/>
      <c r="I3418" s="185"/>
      <c r="J3418" s="185"/>
      <c r="K3418"/>
      <c r="L3418"/>
      <c r="M3418"/>
      <c r="N3418"/>
      <c r="O3418"/>
      <c r="P3418"/>
    </row>
    <row r="3419" spans="8:16" s="1" customFormat="1">
      <c r="H3419" s="185"/>
      <c r="I3419" s="185"/>
      <c r="J3419" s="185"/>
      <c r="K3419"/>
      <c r="L3419"/>
      <c r="M3419"/>
      <c r="N3419"/>
      <c r="O3419"/>
      <c r="P3419"/>
    </row>
    <row r="3420" spans="8:16" s="1" customFormat="1">
      <c r="H3420" s="185"/>
      <c r="I3420" s="185"/>
      <c r="J3420" s="185"/>
      <c r="K3420"/>
      <c r="L3420"/>
      <c r="M3420"/>
      <c r="N3420"/>
      <c r="O3420"/>
      <c r="P3420"/>
    </row>
    <row r="3421" spans="8:16" s="1" customFormat="1">
      <c r="H3421" s="185"/>
      <c r="I3421" s="185"/>
      <c r="J3421" s="185"/>
      <c r="K3421"/>
      <c r="L3421"/>
      <c r="M3421"/>
      <c r="N3421"/>
      <c r="O3421"/>
      <c r="P3421"/>
    </row>
    <row r="3422" spans="8:16" s="1" customFormat="1">
      <c r="H3422" s="185"/>
      <c r="I3422" s="185"/>
      <c r="J3422" s="185"/>
      <c r="K3422"/>
      <c r="L3422"/>
      <c r="M3422"/>
      <c r="N3422"/>
      <c r="O3422"/>
      <c r="P3422"/>
    </row>
    <row r="3423" spans="8:16" s="1" customFormat="1">
      <c r="H3423" s="185"/>
      <c r="I3423" s="185"/>
      <c r="J3423" s="185"/>
      <c r="K3423"/>
      <c r="L3423"/>
      <c r="M3423"/>
      <c r="N3423"/>
      <c r="O3423"/>
      <c r="P3423"/>
    </row>
    <row r="3424" spans="8:16" s="1" customFormat="1">
      <c r="H3424" s="185"/>
      <c r="I3424" s="185"/>
      <c r="J3424" s="185"/>
      <c r="K3424"/>
      <c r="L3424"/>
      <c r="M3424"/>
      <c r="N3424"/>
      <c r="O3424"/>
      <c r="P3424"/>
    </row>
    <row r="3425" spans="8:16" s="1" customFormat="1">
      <c r="H3425" s="185"/>
      <c r="I3425" s="185"/>
      <c r="J3425" s="185"/>
      <c r="K3425"/>
      <c r="L3425"/>
      <c r="M3425"/>
      <c r="N3425"/>
      <c r="O3425"/>
      <c r="P3425"/>
    </row>
    <row r="3426" spans="8:16" s="1" customFormat="1">
      <c r="H3426" s="185"/>
      <c r="I3426" s="185"/>
      <c r="J3426" s="185"/>
      <c r="K3426"/>
      <c r="L3426"/>
      <c r="M3426"/>
      <c r="N3426"/>
      <c r="O3426"/>
      <c r="P3426"/>
    </row>
    <row r="3427" spans="8:16" s="1" customFormat="1">
      <c r="H3427" s="185"/>
      <c r="I3427" s="185"/>
      <c r="J3427" s="185"/>
      <c r="K3427"/>
      <c r="L3427"/>
      <c r="M3427"/>
      <c r="N3427"/>
      <c r="O3427"/>
      <c r="P3427"/>
    </row>
    <row r="3428" spans="8:16" s="1" customFormat="1">
      <c r="H3428" s="185"/>
      <c r="I3428" s="185"/>
      <c r="J3428" s="185"/>
      <c r="K3428"/>
      <c r="L3428"/>
      <c r="M3428"/>
      <c r="N3428"/>
      <c r="O3428"/>
      <c r="P3428"/>
    </row>
    <row r="3429" spans="8:16" s="1" customFormat="1">
      <c r="H3429" s="185"/>
      <c r="I3429" s="185"/>
      <c r="J3429" s="185"/>
      <c r="K3429"/>
      <c r="L3429"/>
      <c r="M3429"/>
      <c r="N3429"/>
      <c r="O3429"/>
      <c r="P3429"/>
    </row>
    <row r="3430" spans="8:16" s="1" customFormat="1">
      <c r="H3430" s="185"/>
      <c r="I3430" s="185"/>
      <c r="J3430" s="185"/>
      <c r="K3430"/>
      <c r="L3430"/>
      <c r="M3430"/>
      <c r="N3430"/>
      <c r="O3430"/>
      <c r="P3430"/>
    </row>
    <row r="3431" spans="8:16" s="1" customFormat="1">
      <c r="H3431" s="185"/>
      <c r="I3431" s="185"/>
      <c r="J3431" s="185"/>
      <c r="K3431"/>
      <c r="L3431"/>
      <c r="M3431"/>
      <c r="N3431"/>
      <c r="O3431"/>
      <c r="P3431"/>
    </row>
    <row r="3432" spans="8:16" s="1" customFormat="1">
      <c r="H3432" s="185"/>
      <c r="I3432" s="185"/>
      <c r="J3432" s="185"/>
      <c r="K3432"/>
      <c r="L3432"/>
      <c r="M3432"/>
      <c r="N3432"/>
      <c r="O3432"/>
      <c r="P3432"/>
    </row>
    <row r="3433" spans="8:16" s="1" customFormat="1">
      <c r="H3433" s="185"/>
      <c r="I3433" s="185"/>
      <c r="J3433" s="185"/>
      <c r="K3433"/>
      <c r="L3433"/>
      <c r="M3433"/>
      <c r="N3433"/>
      <c r="O3433"/>
      <c r="P3433"/>
    </row>
    <row r="3434" spans="8:16" s="1" customFormat="1">
      <c r="H3434" s="185"/>
      <c r="I3434" s="185"/>
      <c r="J3434" s="185"/>
      <c r="K3434"/>
      <c r="L3434"/>
      <c r="M3434"/>
      <c r="N3434"/>
      <c r="O3434"/>
      <c r="P3434"/>
    </row>
    <row r="3435" spans="8:16" s="1" customFormat="1">
      <c r="H3435" s="185"/>
      <c r="I3435" s="185"/>
      <c r="J3435" s="185"/>
      <c r="K3435"/>
      <c r="L3435"/>
      <c r="M3435"/>
      <c r="N3435"/>
      <c r="O3435"/>
      <c r="P3435"/>
    </row>
    <row r="3436" spans="8:16" s="1" customFormat="1">
      <c r="H3436" s="185"/>
      <c r="I3436" s="185"/>
      <c r="J3436" s="185"/>
      <c r="K3436"/>
      <c r="L3436"/>
      <c r="M3436"/>
      <c r="N3436"/>
      <c r="O3436"/>
      <c r="P3436"/>
    </row>
    <row r="3437" spans="8:16" s="1" customFormat="1">
      <c r="H3437" s="185"/>
      <c r="I3437" s="185"/>
      <c r="J3437" s="185"/>
      <c r="K3437"/>
      <c r="L3437"/>
      <c r="M3437"/>
      <c r="N3437"/>
      <c r="O3437"/>
      <c r="P3437"/>
    </row>
    <row r="3438" spans="8:16" s="1" customFormat="1">
      <c r="H3438" s="185"/>
      <c r="I3438" s="185"/>
      <c r="J3438" s="185"/>
      <c r="K3438"/>
      <c r="L3438"/>
      <c r="M3438"/>
      <c r="N3438"/>
      <c r="O3438"/>
      <c r="P3438"/>
    </row>
    <row r="3439" spans="8:16" s="1" customFormat="1">
      <c r="H3439" s="185"/>
      <c r="I3439" s="185"/>
      <c r="J3439" s="185"/>
      <c r="K3439"/>
      <c r="L3439"/>
      <c r="M3439"/>
      <c r="N3439"/>
      <c r="O3439"/>
      <c r="P3439"/>
    </row>
    <row r="3440" spans="8:16" s="1" customFormat="1">
      <c r="H3440" s="185"/>
      <c r="I3440" s="185"/>
      <c r="J3440" s="185"/>
      <c r="K3440"/>
      <c r="L3440"/>
      <c r="M3440"/>
      <c r="N3440"/>
      <c r="O3440"/>
      <c r="P3440"/>
    </row>
    <row r="3441" spans="8:16" s="1" customFormat="1">
      <c r="H3441" s="185"/>
      <c r="I3441" s="185"/>
      <c r="J3441" s="185"/>
      <c r="K3441"/>
      <c r="L3441"/>
      <c r="M3441"/>
      <c r="N3441"/>
      <c r="O3441"/>
      <c r="P3441"/>
    </row>
    <row r="3442" spans="8:16" s="1" customFormat="1">
      <c r="H3442" s="185"/>
      <c r="I3442" s="185"/>
      <c r="J3442" s="185"/>
      <c r="K3442"/>
      <c r="L3442"/>
      <c r="M3442"/>
      <c r="N3442"/>
      <c r="O3442"/>
      <c r="P3442"/>
    </row>
    <row r="3443" spans="8:16" s="1" customFormat="1">
      <c r="H3443" s="185"/>
      <c r="I3443" s="185"/>
      <c r="J3443" s="185"/>
      <c r="K3443"/>
      <c r="L3443"/>
      <c r="M3443"/>
      <c r="N3443"/>
      <c r="O3443"/>
      <c r="P3443"/>
    </row>
    <row r="3444" spans="8:16" s="1" customFormat="1">
      <c r="H3444" s="185"/>
      <c r="I3444" s="185"/>
      <c r="J3444" s="185"/>
      <c r="K3444"/>
      <c r="L3444"/>
      <c r="M3444"/>
      <c r="N3444"/>
      <c r="O3444"/>
      <c r="P3444"/>
    </row>
    <row r="3445" spans="8:16" s="1" customFormat="1">
      <c r="H3445" s="185"/>
      <c r="I3445" s="185"/>
      <c r="J3445" s="185"/>
      <c r="K3445"/>
      <c r="L3445"/>
      <c r="M3445"/>
      <c r="N3445"/>
      <c r="O3445"/>
      <c r="P3445"/>
    </row>
    <row r="3446" spans="8:16" s="1" customFormat="1">
      <c r="H3446" s="185"/>
      <c r="I3446" s="185"/>
      <c r="J3446" s="185"/>
      <c r="K3446"/>
      <c r="L3446"/>
      <c r="M3446"/>
      <c r="N3446"/>
      <c r="O3446"/>
      <c r="P3446"/>
    </row>
    <row r="3447" spans="8:16" s="1" customFormat="1">
      <c r="H3447" s="185"/>
      <c r="I3447" s="185"/>
      <c r="J3447" s="185"/>
      <c r="K3447"/>
      <c r="L3447"/>
      <c r="M3447"/>
      <c r="N3447"/>
      <c r="O3447"/>
      <c r="P3447"/>
    </row>
    <row r="3448" spans="8:16" s="1" customFormat="1">
      <c r="H3448" s="185"/>
      <c r="I3448" s="185"/>
      <c r="J3448" s="185"/>
      <c r="K3448"/>
      <c r="L3448"/>
      <c r="M3448"/>
      <c r="N3448"/>
      <c r="O3448"/>
      <c r="P3448"/>
    </row>
    <row r="3449" spans="8:16" s="1" customFormat="1">
      <c r="H3449" s="185"/>
      <c r="I3449" s="185"/>
      <c r="J3449" s="185"/>
      <c r="K3449"/>
      <c r="L3449"/>
      <c r="M3449"/>
      <c r="N3449"/>
      <c r="O3449"/>
      <c r="P3449"/>
    </row>
    <row r="3450" spans="8:16" s="1" customFormat="1">
      <c r="H3450" s="185"/>
      <c r="I3450" s="185"/>
      <c r="J3450" s="185"/>
      <c r="K3450"/>
      <c r="L3450"/>
      <c r="M3450"/>
      <c r="N3450"/>
      <c r="O3450"/>
      <c r="P3450"/>
    </row>
    <row r="3451" spans="8:16" s="1" customFormat="1">
      <c r="H3451" s="185"/>
      <c r="I3451" s="185"/>
      <c r="J3451" s="185"/>
      <c r="K3451"/>
      <c r="L3451"/>
      <c r="M3451"/>
      <c r="N3451"/>
      <c r="O3451"/>
      <c r="P3451"/>
    </row>
    <row r="3452" spans="8:16" s="1" customFormat="1">
      <c r="H3452" s="185"/>
      <c r="I3452" s="185"/>
      <c r="J3452" s="185"/>
      <c r="K3452"/>
      <c r="L3452"/>
      <c r="M3452"/>
      <c r="N3452"/>
      <c r="O3452"/>
      <c r="P3452"/>
    </row>
    <row r="3453" spans="8:16" s="1" customFormat="1">
      <c r="H3453" s="185"/>
      <c r="I3453" s="185"/>
      <c r="J3453" s="185"/>
      <c r="K3453"/>
      <c r="L3453"/>
      <c r="M3453"/>
      <c r="N3453"/>
      <c r="O3453"/>
      <c r="P3453"/>
    </row>
    <row r="3454" spans="8:16" s="1" customFormat="1">
      <c r="H3454" s="185"/>
      <c r="I3454" s="185"/>
      <c r="J3454" s="185"/>
      <c r="K3454"/>
      <c r="L3454"/>
      <c r="M3454"/>
      <c r="N3454"/>
      <c r="O3454"/>
      <c r="P3454"/>
    </row>
    <row r="3455" spans="8:16" s="1" customFormat="1">
      <c r="H3455" s="185"/>
      <c r="I3455" s="185"/>
      <c r="J3455" s="185"/>
      <c r="K3455"/>
      <c r="L3455"/>
      <c r="M3455"/>
      <c r="N3455"/>
      <c r="O3455"/>
      <c r="P3455"/>
    </row>
    <row r="3456" spans="8:16" s="1" customFormat="1">
      <c r="H3456" s="185"/>
      <c r="I3456" s="185"/>
      <c r="J3456" s="185"/>
      <c r="K3456"/>
      <c r="L3456"/>
      <c r="M3456"/>
      <c r="N3456"/>
      <c r="O3456"/>
      <c r="P3456"/>
    </row>
    <row r="3457" spans="8:16" s="1" customFormat="1">
      <c r="H3457" s="185"/>
      <c r="I3457" s="185"/>
      <c r="J3457" s="185"/>
      <c r="K3457"/>
      <c r="L3457"/>
      <c r="M3457"/>
      <c r="N3457"/>
      <c r="O3457"/>
      <c r="P3457"/>
    </row>
    <row r="3458" spans="8:16" s="1" customFormat="1">
      <c r="H3458" s="185"/>
      <c r="I3458" s="185"/>
      <c r="J3458" s="185"/>
      <c r="K3458"/>
      <c r="L3458"/>
      <c r="M3458"/>
      <c r="N3458"/>
      <c r="O3458"/>
      <c r="P3458"/>
    </row>
    <row r="3459" spans="8:16" s="1" customFormat="1">
      <c r="H3459" s="185"/>
      <c r="I3459" s="185"/>
      <c r="J3459" s="185"/>
      <c r="K3459"/>
      <c r="L3459"/>
      <c r="M3459"/>
      <c r="N3459"/>
      <c r="O3459"/>
      <c r="P3459"/>
    </row>
    <row r="3460" spans="8:16" s="1" customFormat="1">
      <c r="H3460" s="185"/>
      <c r="I3460" s="185"/>
      <c r="J3460" s="185"/>
      <c r="K3460"/>
      <c r="L3460"/>
      <c r="M3460"/>
      <c r="N3460"/>
      <c r="O3460"/>
      <c r="P3460"/>
    </row>
    <row r="3461" spans="8:16" s="1" customFormat="1">
      <c r="H3461" s="185"/>
      <c r="I3461" s="185"/>
      <c r="J3461" s="185"/>
      <c r="K3461"/>
      <c r="L3461"/>
      <c r="M3461"/>
      <c r="N3461"/>
      <c r="O3461"/>
      <c r="P3461"/>
    </row>
    <row r="3462" spans="8:16" s="1" customFormat="1">
      <c r="H3462" s="185"/>
      <c r="I3462" s="185"/>
      <c r="J3462" s="185"/>
      <c r="K3462"/>
      <c r="L3462"/>
      <c r="M3462"/>
      <c r="N3462"/>
      <c r="O3462"/>
      <c r="P3462"/>
    </row>
    <row r="3463" spans="8:16" s="1" customFormat="1">
      <c r="H3463" s="185"/>
      <c r="I3463" s="185"/>
      <c r="J3463" s="185"/>
      <c r="K3463"/>
      <c r="L3463"/>
      <c r="M3463"/>
      <c r="N3463"/>
      <c r="O3463"/>
      <c r="P3463"/>
    </row>
    <row r="3464" spans="8:16" s="1" customFormat="1">
      <c r="H3464" s="185"/>
      <c r="I3464" s="185"/>
      <c r="J3464" s="185"/>
      <c r="K3464"/>
      <c r="L3464"/>
      <c r="M3464"/>
      <c r="N3464"/>
      <c r="O3464"/>
      <c r="P3464"/>
    </row>
    <row r="3465" spans="8:16" s="1" customFormat="1">
      <c r="H3465" s="185"/>
      <c r="I3465" s="185"/>
      <c r="J3465" s="185"/>
      <c r="K3465"/>
      <c r="L3465"/>
      <c r="M3465"/>
      <c r="N3465"/>
      <c r="O3465"/>
      <c r="P3465"/>
    </row>
    <row r="3466" spans="8:16" s="1" customFormat="1">
      <c r="H3466" s="185"/>
      <c r="I3466" s="185"/>
      <c r="J3466" s="185"/>
      <c r="K3466"/>
      <c r="L3466"/>
      <c r="M3466"/>
      <c r="N3466"/>
      <c r="O3466"/>
      <c r="P3466"/>
    </row>
    <row r="3467" spans="8:16" s="1" customFormat="1">
      <c r="H3467" s="185"/>
      <c r="I3467" s="185"/>
      <c r="J3467" s="185"/>
      <c r="K3467"/>
      <c r="L3467"/>
      <c r="M3467"/>
      <c r="N3467"/>
      <c r="O3467"/>
      <c r="P3467"/>
    </row>
    <row r="3468" spans="8:16" s="1" customFormat="1">
      <c r="H3468" s="185"/>
      <c r="I3468" s="185"/>
      <c r="J3468" s="185"/>
      <c r="K3468"/>
      <c r="L3468"/>
      <c r="M3468"/>
      <c r="N3468"/>
      <c r="O3468"/>
      <c r="P3468"/>
    </row>
    <row r="3469" spans="8:16" s="1" customFormat="1">
      <c r="H3469" s="185"/>
      <c r="I3469" s="185"/>
      <c r="J3469" s="185"/>
      <c r="K3469"/>
      <c r="L3469"/>
      <c r="M3469"/>
      <c r="N3469"/>
      <c r="O3469"/>
      <c r="P3469"/>
    </row>
    <row r="3470" spans="8:16" s="1" customFormat="1">
      <c r="H3470" s="185"/>
      <c r="I3470" s="185"/>
      <c r="J3470" s="185"/>
      <c r="K3470"/>
      <c r="L3470"/>
      <c r="M3470"/>
      <c r="N3470"/>
      <c r="O3470"/>
      <c r="P3470"/>
    </row>
    <row r="3471" spans="8:16" s="1" customFormat="1">
      <c r="H3471" s="185"/>
      <c r="I3471" s="185"/>
      <c r="J3471" s="185"/>
      <c r="K3471"/>
      <c r="L3471"/>
      <c r="M3471"/>
      <c r="N3471"/>
      <c r="O3471"/>
      <c r="P3471"/>
    </row>
    <row r="3472" spans="8:16" s="1" customFormat="1">
      <c r="H3472" s="185"/>
      <c r="I3472" s="185"/>
      <c r="J3472" s="185"/>
      <c r="K3472"/>
      <c r="L3472"/>
      <c r="M3472"/>
      <c r="N3472"/>
      <c r="O3472"/>
      <c r="P3472"/>
    </row>
    <row r="3473" spans="8:16" s="1" customFormat="1">
      <c r="H3473" s="185"/>
      <c r="I3473" s="185"/>
      <c r="J3473" s="185"/>
      <c r="K3473"/>
      <c r="L3473"/>
      <c r="M3473"/>
      <c r="N3473"/>
      <c r="O3473"/>
      <c r="P3473"/>
    </row>
    <row r="3474" spans="8:16" s="1" customFormat="1">
      <c r="H3474" s="185"/>
      <c r="I3474" s="185"/>
      <c r="J3474" s="185"/>
      <c r="K3474"/>
      <c r="L3474"/>
      <c r="M3474"/>
      <c r="N3474"/>
      <c r="O3474"/>
      <c r="P3474"/>
    </row>
    <row r="3475" spans="8:16" s="1" customFormat="1">
      <c r="H3475" s="185"/>
      <c r="I3475" s="185"/>
      <c r="J3475" s="185"/>
      <c r="K3475"/>
      <c r="L3475"/>
      <c r="M3475"/>
      <c r="N3475"/>
      <c r="O3475"/>
      <c r="P3475"/>
    </row>
    <row r="3476" spans="8:16" s="1" customFormat="1">
      <c r="H3476" s="185"/>
      <c r="I3476" s="185"/>
      <c r="J3476" s="185"/>
      <c r="K3476"/>
      <c r="L3476"/>
      <c r="M3476"/>
      <c r="N3476"/>
      <c r="O3476"/>
      <c r="P3476"/>
    </row>
    <row r="3477" spans="8:16" s="1" customFormat="1">
      <c r="H3477" s="185"/>
      <c r="I3477" s="185"/>
      <c r="J3477" s="185"/>
      <c r="K3477"/>
      <c r="L3477"/>
      <c r="M3477"/>
      <c r="N3477"/>
      <c r="O3477"/>
      <c r="P3477"/>
    </row>
    <row r="3478" spans="8:16" s="1" customFormat="1">
      <c r="H3478" s="185"/>
      <c r="I3478" s="185"/>
      <c r="J3478" s="185"/>
      <c r="K3478"/>
      <c r="L3478"/>
      <c r="M3478"/>
      <c r="N3478"/>
      <c r="O3478"/>
      <c r="P3478"/>
    </row>
    <row r="3479" spans="8:16" s="1" customFormat="1">
      <c r="H3479" s="185"/>
      <c r="I3479" s="185"/>
      <c r="J3479" s="185"/>
      <c r="K3479"/>
      <c r="L3479"/>
      <c r="M3479"/>
      <c r="N3479"/>
      <c r="O3479"/>
      <c r="P3479"/>
    </row>
    <row r="3480" spans="8:16" s="1" customFormat="1">
      <c r="H3480" s="185"/>
      <c r="I3480" s="185"/>
      <c r="J3480" s="185"/>
      <c r="K3480"/>
      <c r="L3480"/>
      <c r="M3480"/>
      <c r="N3480"/>
      <c r="O3480"/>
      <c r="P3480"/>
    </row>
    <row r="3481" spans="8:16" s="1" customFormat="1">
      <c r="H3481" s="185"/>
      <c r="I3481" s="185"/>
      <c r="J3481" s="185"/>
      <c r="K3481"/>
      <c r="L3481"/>
      <c r="M3481"/>
      <c r="N3481"/>
      <c r="O3481"/>
      <c r="P3481"/>
    </row>
    <row r="3482" spans="8:16" s="1" customFormat="1">
      <c r="H3482" s="185"/>
      <c r="I3482" s="185"/>
      <c r="J3482" s="185"/>
      <c r="K3482"/>
      <c r="L3482"/>
      <c r="M3482"/>
      <c r="N3482"/>
      <c r="O3482"/>
      <c r="P3482"/>
    </row>
    <row r="3483" spans="8:16" s="1" customFormat="1">
      <c r="H3483" s="185"/>
      <c r="I3483" s="185"/>
      <c r="J3483" s="185"/>
      <c r="K3483"/>
      <c r="L3483"/>
      <c r="M3483"/>
      <c r="N3483"/>
      <c r="O3483"/>
      <c r="P3483"/>
    </row>
    <row r="3484" spans="8:16" s="1" customFormat="1">
      <c r="H3484" s="185"/>
      <c r="I3484" s="185"/>
      <c r="J3484" s="185"/>
      <c r="K3484"/>
      <c r="L3484"/>
      <c r="M3484"/>
      <c r="N3484"/>
      <c r="O3484"/>
      <c r="P3484"/>
    </row>
    <row r="3485" spans="8:16" s="1" customFormat="1">
      <c r="H3485" s="185"/>
      <c r="I3485" s="185"/>
      <c r="J3485" s="185"/>
      <c r="K3485"/>
      <c r="L3485"/>
      <c r="M3485"/>
      <c r="N3485"/>
      <c r="O3485"/>
      <c r="P3485"/>
    </row>
    <row r="3486" spans="8:16" s="1" customFormat="1">
      <c r="H3486" s="185"/>
      <c r="I3486" s="185"/>
      <c r="J3486" s="185"/>
      <c r="K3486"/>
      <c r="L3486"/>
      <c r="M3486"/>
      <c r="N3486"/>
      <c r="O3486"/>
      <c r="P3486"/>
    </row>
    <row r="3487" spans="8:16" s="1" customFormat="1">
      <c r="H3487" s="185"/>
      <c r="I3487" s="185"/>
      <c r="J3487" s="185"/>
      <c r="K3487"/>
      <c r="L3487"/>
      <c r="M3487"/>
      <c r="N3487"/>
      <c r="O3487"/>
      <c r="P3487"/>
    </row>
    <row r="3488" spans="8:16" s="1" customFormat="1">
      <c r="H3488" s="185"/>
      <c r="I3488" s="185"/>
      <c r="J3488" s="185"/>
      <c r="K3488"/>
      <c r="L3488"/>
      <c r="M3488"/>
      <c r="N3488"/>
      <c r="O3488"/>
      <c r="P3488"/>
    </row>
    <row r="3489" spans="8:16" s="1" customFormat="1">
      <c r="H3489" s="185"/>
      <c r="I3489" s="185"/>
      <c r="J3489" s="185"/>
      <c r="K3489"/>
      <c r="L3489"/>
      <c r="M3489"/>
      <c r="N3489"/>
      <c r="O3489"/>
      <c r="P3489"/>
    </row>
    <row r="3490" spans="8:16" s="1" customFormat="1">
      <c r="H3490" s="185"/>
      <c r="I3490" s="185"/>
      <c r="J3490" s="185"/>
      <c r="K3490"/>
      <c r="L3490"/>
      <c r="M3490"/>
      <c r="N3490"/>
      <c r="O3490"/>
      <c r="P3490"/>
    </row>
    <row r="3491" spans="8:16" s="1" customFormat="1">
      <c r="H3491" s="185"/>
      <c r="I3491" s="185"/>
      <c r="J3491" s="185"/>
      <c r="K3491"/>
      <c r="L3491"/>
      <c r="M3491"/>
      <c r="N3491"/>
      <c r="O3491"/>
      <c r="P3491"/>
    </row>
    <row r="3492" spans="8:16" s="1" customFormat="1">
      <c r="H3492" s="185"/>
      <c r="I3492" s="185"/>
      <c r="J3492" s="185"/>
      <c r="K3492"/>
      <c r="L3492"/>
      <c r="M3492"/>
      <c r="N3492"/>
      <c r="O3492"/>
      <c r="P3492"/>
    </row>
    <row r="3493" spans="8:16" s="1" customFormat="1">
      <c r="H3493" s="185"/>
      <c r="I3493" s="185"/>
      <c r="J3493" s="185"/>
      <c r="K3493"/>
      <c r="L3493"/>
      <c r="M3493"/>
      <c r="N3493"/>
      <c r="O3493"/>
      <c r="P3493"/>
    </row>
    <row r="3494" spans="8:16" s="1" customFormat="1">
      <c r="H3494" s="185"/>
      <c r="I3494" s="185"/>
      <c r="J3494" s="185"/>
      <c r="K3494"/>
      <c r="L3494"/>
      <c r="M3494"/>
      <c r="N3494"/>
      <c r="O3494"/>
      <c r="P3494"/>
    </row>
    <row r="3495" spans="8:16" s="1" customFormat="1">
      <c r="H3495" s="185"/>
      <c r="I3495" s="185"/>
      <c r="J3495" s="185"/>
      <c r="K3495"/>
      <c r="L3495"/>
      <c r="M3495"/>
      <c r="N3495"/>
      <c r="O3495"/>
      <c r="P3495"/>
    </row>
    <row r="3496" spans="8:16" s="1" customFormat="1">
      <c r="H3496" s="185"/>
      <c r="I3496" s="185"/>
      <c r="J3496" s="185"/>
      <c r="K3496"/>
      <c r="L3496"/>
      <c r="M3496"/>
      <c r="N3496"/>
      <c r="O3496"/>
      <c r="P3496"/>
    </row>
    <row r="3497" spans="8:16" s="1" customFormat="1">
      <c r="H3497" s="185"/>
      <c r="I3497" s="185"/>
      <c r="J3497" s="185"/>
      <c r="K3497"/>
      <c r="L3497"/>
      <c r="M3497"/>
      <c r="N3497"/>
      <c r="O3497"/>
      <c r="P3497"/>
    </row>
    <row r="3498" spans="8:16" s="1" customFormat="1">
      <c r="H3498" s="185"/>
      <c r="I3498" s="185"/>
      <c r="J3498" s="185"/>
      <c r="K3498"/>
      <c r="L3498"/>
      <c r="M3498"/>
      <c r="N3498"/>
      <c r="O3498"/>
      <c r="P3498"/>
    </row>
    <row r="3499" spans="8:16" s="1" customFormat="1">
      <c r="H3499" s="185"/>
      <c r="I3499" s="185"/>
      <c r="J3499" s="185"/>
      <c r="K3499"/>
      <c r="L3499"/>
      <c r="M3499"/>
      <c r="N3499"/>
      <c r="O3499"/>
      <c r="P3499"/>
    </row>
    <row r="3500" spans="8:16" s="1" customFormat="1">
      <c r="H3500" s="185"/>
      <c r="I3500" s="185"/>
      <c r="J3500" s="185"/>
      <c r="K3500"/>
      <c r="L3500"/>
      <c r="M3500"/>
      <c r="N3500"/>
      <c r="O3500"/>
      <c r="P3500"/>
    </row>
    <row r="3501" spans="8:16" s="1" customFormat="1">
      <c r="H3501" s="185"/>
      <c r="I3501" s="185"/>
      <c r="J3501" s="185"/>
      <c r="K3501"/>
      <c r="L3501"/>
      <c r="M3501"/>
      <c r="N3501"/>
      <c r="O3501"/>
      <c r="P3501"/>
    </row>
    <row r="3502" spans="8:16" s="1" customFormat="1">
      <c r="H3502" s="185"/>
      <c r="I3502" s="185"/>
      <c r="J3502" s="185"/>
      <c r="K3502"/>
      <c r="L3502"/>
      <c r="M3502"/>
      <c r="N3502"/>
      <c r="O3502"/>
      <c r="P3502"/>
    </row>
    <row r="3503" spans="8:16" s="1" customFormat="1">
      <c r="H3503" s="185"/>
      <c r="I3503" s="185"/>
      <c r="J3503" s="185"/>
      <c r="K3503"/>
      <c r="L3503"/>
      <c r="M3503"/>
      <c r="N3503"/>
      <c r="O3503"/>
      <c r="P3503"/>
    </row>
    <row r="3504" spans="8:16" s="1" customFormat="1">
      <c r="H3504" s="185"/>
      <c r="I3504" s="185"/>
      <c r="J3504" s="185"/>
      <c r="K3504"/>
      <c r="L3504"/>
      <c r="M3504"/>
      <c r="N3504"/>
      <c r="O3504"/>
      <c r="P3504"/>
    </row>
    <row r="3505" spans="8:16" s="1" customFormat="1">
      <c r="H3505" s="185"/>
      <c r="I3505" s="185"/>
      <c r="J3505" s="185"/>
      <c r="K3505"/>
      <c r="L3505"/>
      <c r="M3505"/>
      <c r="N3505"/>
      <c r="O3505"/>
      <c r="P3505"/>
    </row>
    <row r="3506" spans="8:16" s="1" customFormat="1">
      <c r="H3506" s="185"/>
      <c r="I3506" s="185"/>
      <c r="J3506" s="185"/>
      <c r="K3506"/>
      <c r="L3506"/>
      <c r="M3506"/>
      <c r="N3506"/>
      <c r="O3506"/>
      <c r="P3506"/>
    </row>
    <row r="3507" spans="8:16" s="1" customFormat="1">
      <c r="H3507" s="185"/>
      <c r="I3507" s="185"/>
      <c r="J3507" s="185"/>
      <c r="K3507"/>
      <c r="L3507"/>
      <c r="M3507"/>
      <c r="N3507"/>
      <c r="O3507"/>
      <c r="P3507"/>
    </row>
    <row r="3508" spans="8:16" s="1" customFormat="1">
      <c r="H3508" s="185"/>
      <c r="I3508" s="185"/>
      <c r="J3508" s="185"/>
      <c r="K3508"/>
      <c r="L3508"/>
      <c r="M3508"/>
      <c r="N3508"/>
      <c r="O3508"/>
      <c r="P3508"/>
    </row>
    <row r="3509" spans="8:16" s="1" customFormat="1">
      <c r="H3509" s="185"/>
      <c r="I3509" s="185"/>
      <c r="J3509" s="185"/>
      <c r="K3509"/>
      <c r="L3509"/>
      <c r="M3509"/>
      <c r="N3509"/>
      <c r="O3509"/>
      <c r="P3509"/>
    </row>
    <row r="3510" spans="8:16" s="1" customFormat="1">
      <c r="H3510" s="185"/>
      <c r="I3510" s="185"/>
      <c r="J3510" s="185"/>
      <c r="K3510"/>
      <c r="L3510"/>
      <c r="M3510"/>
      <c r="N3510"/>
      <c r="O3510"/>
      <c r="P3510"/>
    </row>
    <row r="3511" spans="8:16" s="1" customFormat="1">
      <c r="H3511" s="185"/>
      <c r="I3511" s="185"/>
      <c r="J3511" s="185"/>
      <c r="K3511"/>
      <c r="L3511"/>
      <c r="M3511"/>
      <c r="N3511"/>
      <c r="O3511"/>
      <c r="P3511"/>
    </row>
    <row r="3512" spans="8:16" s="1" customFormat="1">
      <c r="H3512" s="185"/>
      <c r="I3512" s="185"/>
      <c r="J3512" s="185"/>
      <c r="K3512"/>
      <c r="L3512"/>
      <c r="M3512"/>
      <c r="N3512"/>
      <c r="O3512"/>
      <c r="P3512"/>
    </row>
    <row r="3513" spans="8:16" s="1" customFormat="1">
      <c r="H3513" s="185"/>
      <c r="I3513" s="185"/>
      <c r="J3513" s="185"/>
      <c r="K3513"/>
      <c r="L3513"/>
      <c r="M3513"/>
      <c r="N3513"/>
      <c r="O3513"/>
      <c r="P3513"/>
    </row>
  </sheetData>
  <autoFilter ref="A4:P24">
    <sortState ref="A5:P24">
      <sortCondition ref="P4:P24"/>
    </sortState>
  </autoFilter>
  <mergeCells count="2">
    <mergeCell ref="F2:P2"/>
    <mergeCell ref="C2:E2"/>
  </mergeCells>
  <conditionalFormatting sqref="M5:M24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{9BE6BB68-66A1-42C0-9DAE-C1F67F687070}</x14:id>
        </ext>
      </extLst>
    </cfRule>
    <cfRule type="top10" dxfId="12" priority="90" rank="10"/>
  </conditionalFormatting>
  <pageMargins left="0.88" right="0" top="0.39370078740157483" bottom="0.39370078740157483" header="0.39370078740157483" footer="0.39370078740157483"/>
  <pageSetup paperSize="256" scale="70" fitToWidth="0" fitToHeight="0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E6BB68-66A1-42C0-9DAE-C1F67F6870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M5:M24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zoomScaleNormal="100" workbookViewId="0">
      <pane xSplit="2" ySplit="7" topLeftCell="C8" activePane="bottomRight" state="frozen"/>
      <selection pane="topRight" activeCell="C1" sqref="C1"/>
      <selection pane="bottomLeft" activeCell="A4" sqref="A4"/>
      <selection pane="bottomRight" activeCell="R2" sqref="R2"/>
    </sheetView>
  </sheetViews>
  <sheetFormatPr defaultColWidth="8.7265625" defaultRowHeight="14.5"/>
  <cols>
    <col min="1" max="1" width="2" style="249" customWidth="1"/>
    <col min="2" max="2" width="21.26953125" style="249" customWidth="1"/>
    <col min="3" max="3" width="7.6328125" style="249" customWidth="1"/>
    <col min="4" max="4" width="11.26953125" style="249" hidden="1" customWidth="1"/>
    <col min="5" max="5" width="7.6328125" style="249" customWidth="1"/>
    <col min="6" max="6" width="12.453125" style="249" hidden="1" customWidth="1"/>
    <col min="7" max="7" width="8.7265625" style="249"/>
    <col min="8" max="8" width="12.81640625" style="249" customWidth="1"/>
    <col min="9" max="9" width="12.36328125" style="249" customWidth="1"/>
    <col min="10" max="10" width="12.90625" style="249" customWidth="1"/>
    <col min="11" max="11" width="21.26953125" style="249" customWidth="1"/>
    <col min="12" max="12" width="7.6328125" style="249" customWidth="1"/>
    <col min="13" max="13" width="8.7265625" style="249" hidden="1" customWidth="1"/>
    <col min="14" max="14" width="7.6328125" style="249" customWidth="1"/>
    <col min="15" max="15" width="8.7265625" style="249"/>
    <col min="16" max="16" width="11.7265625" style="249" customWidth="1"/>
    <col min="17" max="17" width="13.453125" style="249" customWidth="1"/>
    <col min="18" max="18" width="8.7265625" style="249"/>
    <col min="19" max="19" width="14.81640625" style="249" customWidth="1"/>
    <col min="20" max="20" width="6.453125" style="249" customWidth="1"/>
    <col min="21" max="16384" width="8.7265625" style="249"/>
  </cols>
  <sheetData>
    <row r="1" spans="2:17" ht="27" customHeight="1">
      <c r="B1" s="346" t="s">
        <v>5162</v>
      </c>
      <c r="C1" s="511" t="s">
        <v>5140</v>
      </c>
      <c r="D1" s="511"/>
      <c r="E1" s="511"/>
      <c r="F1" s="511"/>
      <c r="G1" s="511"/>
      <c r="H1" s="518" t="s">
        <v>5164</v>
      </c>
      <c r="I1" s="519"/>
      <c r="J1" s="519"/>
      <c r="K1" s="520"/>
      <c r="L1" s="511" t="s">
        <v>5140</v>
      </c>
      <c r="M1" s="511"/>
      <c r="N1" s="511"/>
      <c r="O1" s="511"/>
      <c r="P1" s="511"/>
    </row>
    <row r="2" spans="2:17">
      <c r="B2" s="346" t="s">
        <v>5163</v>
      </c>
      <c r="C2" s="512" t="s">
        <v>5052</v>
      </c>
      <c r="D2" s="512"/>
      <c r="E2" s="512"/>
      <c r="G2" s="386">
        <f>COUNTIF('Data Pengawas Madrasah'!$G$5:$G$82,'PETA-PENGAWAS'!C2)</f>
        <v>0</v>
      </c>
      <c r="H2" s="390" t="s">
        <v>5155</v>
      </c>
      <c r="I2" s="391"/>
      <c r="J2" s="391" t="s">
        <v>5154</v>
      </c>
      <c r="K2" s="392"/>
      <c r="L2" s="513" t="s">
        <v>601</v>
      </c>
      <c r="M2" s="514"/>
      <c r="N2" s="514"/>
      <c r="O2" s="250">
        <f>COUNTIF('Data Pengawas Madrasah'!$G$5:$G$82,'PETA-PENGAWAS'!L2)</f>
        <v>9</v>
      </c>
      <c r="P2" s="515">
        <f>SUM(O2:O4)</f>
        <v>20</v>
      </c>
    </row>
    <row r="3" spans="2:17">
      <c r="B3" s="503">
        <f>SUM(C34,E34,L34,N34)</f>
        <v>1189</v>
      </c>
      <c r="C3" s="514" t="s">
        <v>5053</v>
      </c>
      <c r="D3" s="514"/>
      <c r="E3" s="514"/>
      <c r="G3" s="387">
        <f>COUNTIF('Data Pengawas Madrasah'!$G$5:$G$82,'PETA-PENGAWAS'!C3)</f>
        <v>0</v>
      </c>
      <c r="H3" s="393"/>
      <c r="I3" s="394"/>
      <c r="J3" s="394" t="s">
        <v>5156</v>
      </c>
      <c r="K3" s="395"/>
      <c r="L3" s="513" t="s">
        <v>602</v>
      </c>
      <c r="M3" s="514"/>
      <c r="N3" s="514"/>
      <c r="O3" s="250">
        <f>COUNTIF('Data Pengawas Madrasah'!$G$5:$G$82,'PETA-PENGAWAS'!L3)</f>
        <v>7</v>
      </c>
      <c r="P3" s="516"/>
    </row>
    <row r="4" spans="2:17" ht="14.5" customHeight="1">
      <c r="B4" s="503"/>
      <c r="C4" s="517" t="s">
        <v>316</v>
      </c>
      <c r="D4" s="517"/>
      <c r="E4" s="517"/>
      <c r="G4" s="388">
        <f>COUNTIF('Data Pengawas Madrasah'!$G$5:$G$82,'PETA-PENGAWAS'!C4)</f>
        <v>58</v>
      </c>
      <c r="H4" s="393" t="s">
        <v>5157</v>
      </c>
      <c r="I4" s="394"/>
      <c r="J4" s="394" t="s">
        <v>5159</v>
      </c>
      <c r="K4" s="395"/>
      <c r="L4" s="504" t="s">
        <v>347</v>
      </c>
      <c r="M4" s="505"/>
      <c r="N4" s="505"/>
      <c r="O4" s="282">
        <f>COUNTIF('Data Pengawas Madrasah'!$G$5:$G$82,'PETA-PENGAWAS'!L4)</f>
        <v>4</v>
      </c>
      <c r="P4" s="512"/>
    </row>
    <row r="5" spans="2:17" ht="18.5" customHeight="1">
      <c r="H5" s="396"/>
      <c r="I5" s="397"/>
      <c r="J5" s="397" t="s">
        <v>5158</v>
      </c>
      <c r="K5" s="398"/>
    </row>
    <row r="6" spans="2:17" ht="14.5" customHeight="1">
      <c r="B6" s="521" t="s">
        <v>5054</v>
      </c>
      <c r="C6" s="522" t="s">
        <v>5056</v>
      </c>
      <c r="D6" s="522"/>
      <c r="E6" s="522"/>
      <c r="F6" s="522"/>
      <c r="G6" s="522"/>
      <c r="H6" s="389" t="s">
        <v>5124</v>
      </c>
      <c r="I6" s="389" t="s">
        <v>5139</v>
      </c>
      <c r="K6" s="523" t="s">
        <v>5110</v>
      </c>
      <c r="L6" s="524" t="s">
        <v>5056</v>
      </c>
      <c r="M6" s="524"/>
      <c r="N6" s="524"/>
      <c r="O6" s="524"/>
      <c r="P6" s="309" t="s">
        <v>5124</v>
      </c>
      <c r="Q6" s="309" t="s">
        <v>5139</v>
      </c>
    </row>
    <row r="7" spans="2:17" ht="29">
      <c r="B7" s="521"/>
      <c r="C7" s="283" t="s">
        <v>5052</v>
      </c>
      <c r="D7" s="283" t="s">
        <v>5057</v>
      </c>
      <c r="E7" s="283" t="s">
        <v>5053</v>
      </c>
      <c r="F7" s="283" t="s">
        <v>5057</v>
      </c>
      <c r="G7" s="348" t="s">
        <v>316</v>
      </c>
      <c r="H7" s="283" t="s">
        <v>5125</v>
      </c>
      <c r="I7" s="284" t="s">
        <v>5138</v>
      </c>
      <c r="K7" s="524"/>
      <c r="L7" s="280" t="s">
        <v>601</v>
      </c>
      <c r="M7" s="279" t="s">
        <v>5057</v>
      </c>
      <c r="N7" s="278" t="s">
        <v>347</v>
      </c>
      <c r="O7" s="348" t="s">
        <v>602</v>
      </c>
      <c r="P7" s="309" t="s">
        <v>5125</v>
      </c>
      <c r="Q7" s="308" t="s">
        <v>5138</v>
      </c>
    </row>
    <row r="8" spans="2:17">
      <c r="B8" s="303" t="s">
        <v>1897</v>
      </c>
      <c r="C8" s="286">
        <f>COUNTIF('RA DATA'!$J$3:$J$421,'PETA-PENGAWAS'!B8)</f>
        <v>1</v>
      </c>
      <c r="D8" s="286"/>
      <c r="E8" s="286">
        <f>COUNTIF('MI DATA'!$I$3:$I$417,'PETA-PENGAWAS'!B8)</f>
        <v>0</v>
      </c>
      <c r="F8" s="286"/>
      <c r="G8" s="286">
        <f t="shared" ref="G8:G29" si="0">SUM(C8,E8)</f>
        <v>1</v>
      </c>
      <c r="H8" s="508">
        <v>1</v>
      </c>
      <c r="I8" s="508"/>
      <c r="K8" s="303" t="s">
        <v>1897</v>
      </c>
      <c r="L8" s="286">
        <f>COUNTIF('MTs DATA'!$I$3:$I$224,'PETA-PENGAWAS'!K8)</f>
        <v>0</v>
      </c>
      <c r="M8" s="286"/>
      <c r="N8" s="286">
        <f>COUNTIF('MA DATA'!$I$3:$I$136,'PETA-PENGAWAS'!K8)</f>
        <v>0</v>
      </c>
      <c r="O8" s="286">
        <f t="shared" ref="O8:O15" si="1">SUM(L8:N8)</f>
        <v>0</v>
      </c>
      <c r="P8" s="508">
        <v>1</v>
      </c>
      <c r="Q8" s="508"/>
    </row>
    <row r="9" spans="2:17">
      <c r="B9" s="303" t="s">
        <v>1889</v>
      </c>
      <c r="C9" s="286">
        <f>COUNTIF('RA DATA'!$J$3:$J$421,'PETA-PENGAWAS'!B9)</f>
        <v>2</v>
      </c>
      <c r="D9" s="286"/>
      <c r="E9" s="286">
        <f>COUNTIF('MI DATA'!$I$3:$I$417,'PETA-PENGAWAS'!B9)</f>
        <v>0</v>
      </c>
      <c r="F9" s="286"/>
      <c r="G9" s="286">
        <f>SUM(C9,E9)</f>
        <v>2</v>
      </c>
      <c r="H9" s="509"/>
      <c r="I9" s="509"/>
      <c r="K9" s="303" t="s">
        <v>1889</v>
      </c>
      <c r="L9" s="286">
        <f>COUNTIF('MTs DATA'!$I$3:$I$224,'PETA-PENGAWAS'!K9)</f>
        <v>0</v>
      </c>
      <c r="M9" s="286"/>
      <c r="N9" s="286">
        <f>COUNTIF('MA DATA'!$I$3:$I$136,'PETA-PENGAWAS'!K9)</f>
        <v>0</v>
      </c>
      <c r="O9" s="286">
        <f t="shared" si="1"/>
        <v>0</v>
      </c>
      <c r="P9" s="509"/>
      <c r="Q9" s="509"/>
    </row>
    <row r="10" spans="2:17">
      <c r="B10" s="303" t="s">
        <v>1561</v>
      </c>
      <c r="C10" s="286">
        <f>COUNTIF('RA DATA'!$J$3:$J$421,'PETA-PENGAWAS'!B10)</f>
        <v>7</v>
      </c>
      <c r="D10" s="286"/>
      <c r="E10" s="286">
        <f>COUNTIF('MI DATA'!$I$3:$I$417,'PETA-PENGAWAS'!B10)</f>
        <v>6</v>
      </c>
      <c r="F10" s="286"/>
      <c r="G10" s="286">
        <f t="shared" si="0"/>
        <v>13</v>
      </c>
      <c r="H10" s="510"/>
      <c r="I10" s="510"/>
      <c r="K10" s="303" t="s">
        <v>1561</v>
      </c>
      <c r="L10" s="286">
        <f>COUNTIF('MTs DATA'!$I$3:$I$224,'PETA-PENGAWAS'!K10)</f>
        <v>4</v>
      </c>
      <c r="M10" s="286"/>
      <c r="N10" s="286">
        <f>COUNTIF('MA DATA'!$I$3:$I$136,'PETA-PENGAWAS'!K10)</f>
        <v>3</v>
      </c>
      <c r="O10" s="286">
        <f t="shared" si="1"/>
        <v>7</v>
      </c>
      <c r="P10" s="509"/>
      <c r="Q10" s="509"/>
    </row>
    <row r="11" spans="2:17">
      <c r="B11" s="134" t="s">
        <v>2133</v>
      </c>
      <c r="C11" s="250">
        <f>COUNTIF('RA DATA'!$J$3:$J$421,'PETA-PENGAWAS'!B11)</f>
        <v>22</v>
      </c>
      <c r="D11" s="250"/>
      <c r="E11" s="250">
        <f>COUNTIF('MI DATA'!$I$3:$I$417,'PETA-PENGAWAS'!B11)</f>
        <v>12</v>
      </c>
      <c r="F11" s="250"/>
      <c r="G11" s="250">
        <f t="shared" si="0"/>
        <v>34</v>
      </c>
      <c r="H11" s="250">
        <v>2</v>
      </c>
      <c r="I11" s="250"/>
      <c r="K11" s="134" t="s">
        <v>2133</v>
      </c>
      <c r="L11" s="250">
        <f>COUNTIF('MTs DATA'!$I$3:$I$224,'PETA-PENGAWAS'!K11)</f>
        <v>4</v>
      </c>
      <c r="M11" s="250"/>
      <c r="N11" s="250">
        <f>COUNTIF('MA DATA'!$I$3:$I$136,'PETA-PENGAWAS'!K11)</f>
        <v>2</v>
      </c>
      <c r="O11" s="250">
        <f t="shared" si="1"/>
        <v>6</v>
      </c>
      <c r="P11" s="510"/>
      <c r="Q11" s="510"/>
    </row>
    <row r="12" spans="2:17">
      <c r="B12" s="303" t="s">
        <v>2211</v>
      </c>
      <c r="C12" s="286">
        <f>COUNTIF('RA DATA'!$J$3:$J$421,'PETA-PENGAWAS'!B12)</f>
        <v>7</v>
      </c>
      <c r="D12" s="286"/>
      <c r="E12" s="286">
        <f>COUNTIF('MI DATA'!$I$3:$I$417,'PETA-PENGAWAS'!B12)</f>
        <v>11</v>
      </c>
      <c r="F12" s="286"/>
      <c r="G12" s="286">
        <f t="shared" ref="G12:G21" si="2">SUM(C12,E12)</f>
        <v>18</v>
      </c>
      <c r="H12" s="286">
        <v>1</v>
      </c>
      <c r="I12" s="286"/>
      <c r="K12" s="303" t="s">
        <v>2211</v>
      </c>
      <c r="L12" s="286">
        <f>COUNTIF('MTs DATA'!$I$3:$I$224,'PETA-PENGAWAS'!K12)</f>
        <v>6</v>
      </c>
      <c r="M12" s="286"/>
      <c r="N12" s="286">
        <f>COUNTIF('MA DATA'!$I$3:$I$136,'PETA-PENGAWAS'!K12)</f>
        <v>2</v>
      </c>
      <c r="O12" s="286">
        <f t="shared" si="1"/>
        <v>8</v>
      </c>
      <c r="P12" s="508">
        <v>1</v>
      </c>
      <c r="Q12" s="508"/>
    </row>
    <row r="13" spans="2:17">
      <c r="B13" s="134" t="s">
        <v>1471</v>
      </c>
      <c r="C13" s="250">
        <f>COUNTIF('RA DATA'!$J$3:$J$421,'PETA-PENGAWAS'!B13)</f>
        <v>6</v>
      </c>
      <c r="D13" s="250"/>
      <c r="E13" s="250">
        <f>COUNTIF('MI DATA'!$I$3:$I$417,'PETA-PENGAWAS'!B13)</f>
        <v>9</v>
      </c>
      <c r="F13" s="250"/>
      <c r="G13" s="250">
        <f t="shared" si="2"/>
        <v>15</v>
      </c>
      <c r="H13" s="250">
        <v>1</v>
      </c>
      <c r="I13" s="250"/>
      <c r="K13" s="134" t="s">
        <v>1471</v>
      </c>
      <c r="L13" s="250">
        <f>COUNTIF('MTs DATA'!$I$3:$I$224,'PETA-PENGAWAS'!K13)</f>
        <v>4</v>
      </c>
      <c r="M13" s="250"/>
      <c r="N13" s="250">
        <f>COUNTIF('MA DATA'!$I$3:$I$136,'PETA-PENGAWAS'!K13)</f>
        <v>1</v>
      </c>
      <c r="O13" s="250">
        <f t="shared" si="1"/>
        <v>5</v>
      </c>
      <c r="P13" s="510"/>
      <c r="Q13" s="510"/>
    </row>
    <row r="14" spans="2:17">
      <c r="B14" s="303" t="s">
        <v>683</v>
      </c>
      <c r="C14" s="286">
        <f>COUNTIF('RA DATA'!$J$3:$J$421,'PETA-PENGAWAS'!B14)</f>
        <v>13</v>
      </c>
      <c r="D14" s="286"/>
      <c r="E14" s="286">
        <f>COUNTIF('MI DATA'!$I$3:$I$417,'PETA-PENGAWAS'!B14)</f>
        <v>18</v>
      </c>
      <c r="F14" s="286"/>
      <c r="G14" s="286">
        <f t="shared" si="2"/>
        <v>31</v>
      </c>
      <c r="H14" s="286">
        <v>2</v>
      </c>
      <c r="I14" s="286"/>
      <c r="J14" s="304"/>
      <c r="K14" s="303" t="s">
        <v>683</v>
      </c>
      <c r="L14" s="286">
        <f>COUNTIF('MTs DATA'!$I$3:$I$224,'PETA-PENGAWAS'!K14)</f>
        <v>13</v>
      </c>
      <c r="M14" s="286"/>
      <c r="N14" s="286">
        <f>COUNTIF('MA DATA'!$I$3:$I$136,'PETA-PENGAWAS'!K14)</f>
        <v>7</v>
      </c>
      <c r="O14" s="286">
        <f t="shared" si="1"/>
        <v>20</v>
      </c>
      <c r="P14" s="286">
        <v>1</v>
      </c>
      <c r="Q14" s="286"/>
    </row>
    <row r="15" spans="2:17">
      <c r="B15" s="134" t="s">
        <v>1902</v>
      </c>
      <c r="C15" s="250">
        <f>COUNTIF('RA DATA'!$J$3:$J$421,'PETA-PENGAWAS'!B15)</f>
        <v>16</v>
      </c>
      <c r="D15" s="250"/>
      <c r="E15" s="250">
        <f>COUNTIF('MI DATA'!$I$3:$I$417,'PETA-PENGAWAS'!B15)</f>
        <v>8</v>
      </c>
      <c r="F15" s="250"/>
      <c r="G15" s="250">
        <f t="shared" si="2"/>
        <v>24</v>
      </c>
      <c r="H15" s="250">
        <v>1</v>
      </c>
      <c r="I15" s="250"/>
      <c r="K15" s="134" t="s">
        <v>1902</v>
      </c>
      <c r="L15" s="250">
        <f>COUNTIF('MTs DATA'!$I$3:$I$224,'PETA-PENGAWAS'!K15)</f>
        <v>8</v>
      </c>
      <c r="M15" s="250"/>
      <c r="N15" s="250">
        <f>COUNTIF('MA DATA'!$I$3:$I$136,'PETA-PENGAWAS'!K15)</f>
        <v>4</v>
      </c>
      <c r="O15" s="250">
        <f t="shared" si="1"/>
        <v>12</v>
      </c>
      <c r="P15" s="250">
        <v>1</v>
      </c>
      <c r="Q15" s="250"/>
    </row>
    <row r="16" spans="2:17" ht="14.15" customHeight="1">
      <c r="B16" s="303" t="s">
        <v>1055</v>
      </c>
      <c r="C16" s="286">
        <f>COUNTIF('RA DATA'!$J$3:$J$421,'PETA-PENGAWAS'!B16)</f>
        <v>15</v>
      </c>
      <c r="D16" s="286"/>
      <c r="E16" s="286">
        <f>COUNTIF('MI DATA'!$I$3:$I$417,'PETA-PENGAWAS'!B16)</f>
        <v>12</v>
      </c>
      <c r="F16" s="288"/>
      <c r="G16" s="286">
        <f t="shared" si="2"/>
        <v>27</v>
      </c>
      <c r="H16" s="288">
        <v>2</v>
      </c>
      <c r="I16" s="288"/>
      <c r="J16" s="304"/>
      <c r="K16" s="303" t="s">
        <v>1055</v>
      </c>
      <c r="L16" s="286">
        <f>COUNTIF('MTs DATA'!$I$3:$I$224,'PETA-PENGAWAS'!K16)</f>
        <v>12</v>
      </c>
      <c r="M16" s="286"/>
      <c r="N16" s="286">
        <f>COUNTIF('MA DATA'!$I$3:$I$136,'PETA-PENGAWAS'!K16)</f>
        <v>7</v>
      </c>
      <c r="O16" s="286">
        <f t="shared" ref="O16:O31" si="3">SUM(L16:N16)</f>
        <v>19</v>
      </c>
      <c r="P16" s="286">
        <v>2</v>
      </c>
      <c r="Q16" s="286"/>
    </row>
    <row r="17" spans="2:17">
      <c r="B17" s="303" t="s">
        <v>917</v>
      </c>
      <c r="C17" s="286">
        <f>COUNTIF('RA DATA'!$J$3:$J$421,'PETA-PENGAWAS'!B17)</f>
        <v>2</v>
      </c>
      <c r="D17" s="286"/>
      <c r="E17" s="286">
        <f>COUNTIF('MI DATA'!$I$3:$I$417,'PETA-PENGAWAS'!B17)</f>
        <v>4</v>
      </c>
      <c r="F17" s="288"/>
      <c r="G17" s="286">
        <f t="shared" si="2"/>
        <v>6</v>
      </c>
      <c r="H17" s="288">
        <v>1</v>
      </c>
      <c r="I17" s="288" t="s">
        <v>5135</v>
      </c>
      <c r="J17" s="304"/>
      <c r="K17" s="303" t="s">
        <v>917</v>
      </c>
      <c r="L17" s="286">
        <f>COUNTIF('MTs DATA'!$I$3:$I$224,'PETA-PENGAWAS'!K17)</f>
        <v>4</v>
      </c>
      <c r="M17" s="286"/>
      <c r="N17" s="286">
        <f>COUNTIF('MA DATA'!$I$3:$I$136,'PETA-PENGAWAS'!K17)</f>
        <v>2</v>
      </c>
      <c r="O17" s="286">
        <f>SUM(L17:N17)</f>
        <v>6</v>
      </c>
      <c r="P17" s="286">
        <v>1</v>
      </c>
      <c r="Q17" s="286"/>
    </row>
    <row r="18" spans="2:17">
      <c r="B18" s="134" t="s">
        <v>1493</v>
      </c>
      <c r="C18" s="250">
        <f>COUNTIF('RA DATA'!$J$3:$J$421,'PETA-PENGAWAS'!B18)</f>
        <v>19</v>
      </c>
      <c r="D18" s="250"/>
      <c r="E18" s="250">
        <f>COUNTIF('MI DATA'!$I$3:$I$417,'PETA-PENGAWAS'!B18)</f>
        <v>17</v>
      </c>
      <c r="F18" s="250"/>
      <c r="G18" s="250">
        <f t="shared" si="2"/>
        <v>36</v>
      </c>
      <c r="H18" s="250">
        <v>3</v>
      </c>
      <c r="I18" s="250"/>
      <c r="K18" s="134" t="s">
        <v>1493</v>
      </c>
      <c r="L18" s="250">
        <f>COUNTIF('MTs DATA'!$I$3:$I$224,'PETA-PENGAWAS'!K18)</f>
        <v>14</v>
      </c>
      <c r="M18" s="250"/>
      <c r="N18" s="250">
        <f>COUNTIF('MA DATA'!$I$3:$I$136,'PETA-PENGAWAS'!K18)</f>
        <v>7</v>
      </c>
      <c r="O18" s="250">
        <f>SUM(L18:N18)</f>
        <v>21</v>
      </c>
      <c r="P18" s="344">
        <v>2</v>
      </c>
      <c r="Q18" s="344"/>
    </row>
    <row r="19" spans="2:17">
      <c r="B19" s="303" t="s">
        <v>1962</v>
      </c>
      <c r="C19" s="286">
        <f>COUNTIF('RA DATA'!$J$3:$J$421,'PETA-PENGAWAS'!B19)</f>
        <v>11</v>
      </c>
      <c r="D19" s="286"/>
      <c r="E19" s="286">
        <f>COUNTIF('MI DATA'!$I$3:$I$417,'PETA-PENGAWAS'!B19)</f>
        <v>13</v>
      </c>
      <c r="F19" s="286"/>
      <c r="G19" s="286">
        <f t="shared" si="2"/>
        <v>24</v>
      </c>
      <c r="H19" s="286">
        <v>2</v>
      </c>
      <c r="I19" s="286"/>
      <c r="J19" s="304"/>
      <c r="K19" s="303" t="s">
        <v>1962</v>
      </c>
      <c r="L19" s="286">
        <f>COUNTIF('MTs DATA'!$I$3:$I$224,'PETA-PENGAWAS'!K19)</f>
        <v>9</v>
      </c>
      <c r="M19" s="286"/>
      <c r="N19" s="286">
        <f>COUNTIF('MA DATA'!$I$3:$I$136,'PETA-PENGAWAS'!K19)</f>
        <v>6</v>
      </c>
      <c r="O19" s="286">
        <f>SUM(L19:N19)</f>
        <v>15</v>
      </c>
      <c r="P19" s="286">
        <v>1</v>
      </c>
      <c r="Q19" s="286"/>
    </row>
    <row r="20" spans="2:17">
      <c r="B20" s="134" t="s">
        <v>736</v>
      </c>
      <c r="C20" s="250">
        <f>COUNTIF('RA DATA'!$J$3:$J$421,'PETA-PENGAWAS'!B20)</f>
        <v>31</v>
      </c>
      <c r="D20" s="250"/>
      <c r="E20" s="250">
        <f>COUNTIF('MI DATA'!$I$3:$I$417,'PETA-PENGAWAS'!B20)</f>
        <v>29</v>
      </c>
      <c r="F20" s="250"/>
      <c r="G20" s="250">
        <f t="shared" si="2"/>
        <v>60</v>
      </c>
      <c r="H20" s="250">
        <v>4</v>
      </c>
      <c r="I20" s="250"/>
      <c r="K20" s="134" t="s">
        <v>736</v>
      </c>
      <c r="L20" s="250">
        <f>COUNTIF('MTs DATA'!$I$3:$I$224,'PETA-PENGAWAS'!K20)</f>
        <v>11</v>
      </c>
      <c r="M20" s="250"/>
      <c r="N20" s="250">
        <f>COUNTIF('MA DATA'!$I$3:$I$136,'PETA-PENGAWAS'!K20)</f>
        <v>8</v>
      </c>
      <c r="O20" s="250">
        <f t="shared" si="3"/>
        <v>19</v>
      </c>
      <c r="P20" s="250">
        <v>2</v>
      </c>
      <c r="Q20" s="250"/>
    </row>
    <row r="21" spans="2:17">
      <c r="B21" s="303" t="s">
        <v>1588</v>
      </c>
      <c r="C21" s="286">
        <f>COUNTIF('RA DATA'!$J$3:$J$421,'PETA-PENGAWAS'!B21)</f>
        <v>27</v>
      </c>
      <c r="D21" s="286"/>
      <c r="E21" s="286">
        <f>COUNTIF('MI DATA'!$I$3:$I$417,'PETA-PENGAWAS'!B21)</f>
        <v>25</v>
      </c>
      <c r="F21" s="286"/>
      <c r="G21" s="286">
        <f t="shared" si="2"/>
        <v>52</v>
      </c>
      <c r="H21" s="286">
        <v>4</v>
      </c>
      <c r="I21" s="286"/>
      <c r="J21" s="304"/>
      <c r="K21" s="303" t="s">
        <v>1588</v>
      </c>
      <c r="L21" s="286">
        <f>COUNTIF('MTs DATA'!$I$3:$I$224,'PETA-PENGAWAS'!K21)</f>
        <v>13</v>
      </c>
      <c r="M21" s="286"/>
      <c r="N21" s="286">
        <f>COUNTIF('MA DATA'!$I$3:$I$136,'PETA-PENGAWAS'!K21)</f>
        <v>8</v>
      </c>
      <c r="O21" s="286">
        <f t="shared" si="3"/>
        <v>21</v>
      </c>
      <c r="P21" s="286">
        <v>2</v>
      </c>
      <c r="Q21" s="286"/>
    </row>
    <row r="22" spans="2:17">
      <c r="B22" s="134" t="s">
        <v>926</v>
      </c>
      <c r="C22" s="250">
        <f>COUNTIF('RA DATA'!$J$3:$J$421,'PETA-PENGAWAS'!B22)</f>
        <v>34</v>
      </c>
      <c r="D22" s="250"/>
      <c r="E22" s="250">
        <f>COUNTIF('MI DATA'!$I$3:$I$417,'PETA-PENGAWAS'!B22)</f>
        <v>34</v>
      </c>
      <c r="F22" s="250"/>
      <c r="G22" s="250">
        <f t="shared" si="0"/>
        <v>68</v>
      </c>
      <c r="H22" s="250">
        <v>4</v>
      </c>
      <c r="I22" s="250"/>
      <c r="K22" s="134" t="s">
        <v>926</v>
      </c>
      <c r="L22" s="250">
        <f>COUNTIF('MTs DATA'!$I$3:$I$224,'PETA-PENGAWAS'!K22)</f>
        <v>15</v>
      </c>
      <c r="M22" s="250"/>
      <c r="N22" s="250">
        <f>COUNTIF('MA DATA'!$I$3:$I$136,'PETA-PENGAWAS'!K22)</f>
        <v>7</v>
      </c>
      <c r="O22" s="250">
        <f t="shared" si="3"/>
        <v>22</v>
      </c>
      <c r="P22" s="250">
        <v>1</v>
      </c>
      <c r="Q22" s="250"/>
    </row>
    <row r="23" spans="2:17">
      <c r="B23" s="255" t="s">
        <v>1999</v>
      </c>
      <c r="C23" s="265">
        <f>COUNTIF('RA DATA'!$J$3:$J$421,'PETA-PENGAWAS'!B23)</f>
        <v>0</v>
      </c>
      <c r="D23" s="265"/>
      <c r="E23" s="265">
        <f>COUNTIF('MI DATA'!$I$3:$I$417,'PETA-PENGAWAS'!B23)</f>
        <v>0</v>
      </c>
      <c r="F23" s="265"/>
      <c r="G23" s="265">
        <f t="shared" si="0"/>
        <v>0</v>
      </c>
      <c r="H23" s="265"/>
      <c r="I23" s="265"/>
      <c r="K23" s="305" t="s">
        <v>1999</v>
      </c>
      <c r="L23" s="286">
        <f>COUNTIF('MTs DATA'!$I$3:$I$224,'PETA-PENGAWAS'!K23)</f>
        <v>17</v>
      </c>
      <c r="M23" s="286"/>
      <c r="N23" s="286">
        <f>COUNTIF('MA DATA'!$I$3:$I$136,'PETA-PENGAWAS'!K23)</f>
        <v>9</v>
      </c>
      <c r="O23" s="286">
        <f t="shared" si="3"/>
        <v>26</v>
      </c>
      <c r="P23" s="286">
        <v>1</v>
      </c>
      <c r="Q23" s="286"/>
    </row>
    <row r="24" spans="2:17">
      <c r="B24" s="305" t="s">
        <v>2234</v>
      </c>
      <c r="C24" s="286">
        <f>COUNTIF('RA DATA'!$J$3:$J$421,'PETA-PENGAWAS'!B24)</f>
        <v>24</v>
      </c>
      <c r="D24" s="286"/>
      <c r="E24" s="286">
        <f>COUNTIF('MI DATA'!$I$3:$I$417,'PETA-PENGAWAS'!B24)</f>
        <v>26</v>
      </c>
      <c r="F24" s="286"/>
      <c r="G24" s="286">
        <f t="shared" si="0"/>
        <v>50</v>
      </c>
      <c r="H24" s="286">
        <v>3</v>
      </c>
      <c r="I24" s="286"/>
      <c r="K24" s="285" t="s">
        <v>2234</v>
      </c>
      <c r="L24" s="265">
        <f>COUNTIF('MTs DATA'!$I$3:$I$224,'PETA-PENGAWAS'!K24)</f>
        <v>0</v>
      </c>
      <c r="M24" s="265"/>
      <c r="N24" s="265">
        <f>COUNTIF('MA DATA'!$I$3:$I$136,'PETA-PENGAWAS'!K24)</f>
        <v>0</v>
      </c>
      <c r="O24" s="265">
        <f t="shared" si="3"/>
        <v>0</v>
      </c>
      <c r="P24" s="265"/>
      <c r="Q24" s="265"/>
    </row>
    <row r="25" spans="2:17">
      <c r="B25" s="255" t="s">
        <v>2235</v>
      </c>
      <c r="C25" s="250">
        <f>COUNTIF('RA DATA'!$J$3:$J$421,'PETA-PENGAWAS'!B25)</f>
        <v>16</v>
      </c>
      <c r="D25" s="250"/>
      <c r="E25" s="250">
        <f>COUNTIF('MI DATA'!$I$3:$I$417,'PETA-PENGAWAS'!B25)</f>
        <v>25</v>
      </c>
      <c r="F25" s="250"/>
      <c r="G25" s="250">
        <f t="shared" si="0"/>
        <v>41</v>
      </c>
      <c r="H25" s="250">
        <v>3</v>
      </c>
      <c r="I25" s="250"/>
      <c r="K25" s="285" t="s">
        <v>2235</v>
      </c>
      <c r="L25" s="265">
        <f>COUNTIF('MTs DATA'!$I$3:$I$224,'PETA-PENGAWAS'!K25)</f>
        <v>0</v>
      </c>
      <c r="M25" s="265"/>
      <c r="N25" s="265">
        <f>COUNTIF('MA DATA'!$I$3:$I$136,'PETA-PENGAWAS'!K25)</f>
        <v>0</v>
      </c>
      <c r="O25" s="265">
        <f t="shared" si="3"/>
        <v>0</v>
      </c>
      <c r="P25" s="265"/>
      <c r="Q25" s="265"/>
    </row>
    <row r="26" spans="2:17">
      <c r="B26" s="303" t="s">
        <v>1346</v>
      </c>
      <c r="C26" s="286">
        <f>COUNTIF('RA DATA'!$J$3:$J$421,'PETA-PENGAWAS'!B26)</f>
        <v>35</v>
      </c>
      <c r="D26" s="286"/>
      <c r="E26" s="286">
        <f>COUNTIF('MI DATA'!$I$3:$I$417,'PETA-PENGAWAS'!B26)</f>
        <v>35</v>
      </c>
      <c r="F26" s="286"/>
      <c r="G26" s="286">
        <f t="shared" si="0"/>
        <v>70</v>
      </c>
      <c r="H26" s="286">
        <v>4</v>
      </c>
      <c r="I26" s="286"/>
      <c r="K26" s="303" t="s">
        <v>1346</v>
      </c>
      <c r="L26" s="286">
        <f>COUNTIF('MTs DATA'!$I$3:$I$224,'PETA-PENGAWAS'!K26)</f>
        <v>17</v>
      </c>
      <c r="M26" s="286"/>
      <c r="N26" s="286">
        <f>COUNTIF('MA DATA'!$I$3:$I$136,'PETA-PENGAWAS'!K26)</f>
        <v>10</v>
      </c>
      <c r="O26" s="286">
        <f t="shared" si="3"/>
        <v>27</v>
      </c>
      <c r="P26" s="286">
        <v>1</v>
      </c>
      <c r="Q26" s="286"/>
    </row>
    <row r="27" spans="2:17">
      <c r="B27" s="134" t="s">
        <v>1764</v>
      </c>
      <c r="C27" s="250">
        <f>COUNTIF('RA DATA'!$J$3:$J$421,'PETA-PENGAWAS'!B27)</f>
        <v>9</v>
      </c>
      <c r="D27" s="250"/>
      <c r="E27" s="250">
        <f>COUNTIF('MI DATA'!$I$3:$I$417,'PETA-PENGAWAS'!B27)</f>
        <v>10</v>
      </c>
      <c r="F27" s="250"/>
      <c r="G27" s="250">
        <f t="shared" si="0"/>
        <v>19</v>
      </c>
      <c r="H27" s="250">
        <v>1</v>
      </c>
      <c r="I27" s="250"/>
      <c r="K27" s="134" t="s">
        <v>1764</v>
      </c>
      <c r="L27" s="250">
        <f>COUNTIF('MTs DATA'!$I$3:$I$224,'PETA-PENGAWAS'!K27)</f>
        <v>6</v>
      </c>
      <c r="M27" s="250"/>
      <c r="N27" s="250">
        <f>COUNTIF('MA DATA'!$I$3:$I$136,'PETA-PENGAWAS'!K27)</f>
        <v>6</v>
      </c>
      <c r="O27" s="250">
        <f t="shared" si="3"/>
        <v>12</v>
      </c>
      <c r="P27" s="250">
        <v>1</v>
      </c>
      <c r="Q27" s="250"/>
    </row>
    <row r="28" spans="2:17">
      <c r="B28" s="303" t="s">
        <v>1245</v>
      </c>
      <c r="C28" s="286">
        <f>COUNTIF('RA DATA'!$J$3:$J$421,'PETA-PENGAWAS'!B28)</f>
        <v>27</v>
      </c>
      <c r="D28" s="286"/>
      <c r="E28" s="286">
        <f>COUNTIF('MI DATA'!$I$3:$I$417,'PETA-PENGAWAS'!B28)</f>
        <v>26</v>
      </c>
      <c r="F28" s="286"/>
      <c r="G28" s="286">
        <f t="shared" si="0"/>
        <v>53</v>
      </c>
      <c r="H28" s="286">
        <v>4</v>
      </c>
      <c r="I28" s="286"/>
      <c r="K28" s="303" t="s">
        <v>1245</v>
      </c>
      <c r="L28" s="286">
        <f>COUNTIF('MTs DATA'!$I$3:$I$224,'PETA-PENGAWAS'!K28)</f>
        <v>12</v>
      </c>
      <c r="M28" s="286"/>
      <c r="N28" s="286">
        <f>COUNTIF('MA DATA'!$I$3:$I$136,'PETA-PENGAWAS'!K28)</f>
        <v>10</v>
      </c>
      <c r="O28" s="286">
        <f t="shared" si="3"/>
        <v>22</v>
      </c>
      <c r="P28" s="286">
        <v>1</v>
      </c>
      <c r="Q28" s="286"/>
    </row>
    <row r="29" spans="2:17">
      <c r="B29" s="134" t="s">
        <v>1168</v>
      </c>
      <c r="C29" s="250">
        <f>COUNTIF('RA DATA'!$J$3:$J$421,'PETA-PENGAWAS'!B29)</f>
        <v>20</v>
      </c>
      <c r="D29" s="250"/>
      <c r="E29" s="250">
        <f>COUNTIF('MI DATA'!$I$3:$I$417,'PETA-PENGAWAS'!B29)</f>
        <v>17</v>
      </c>
      <c r="F29" s="250"/>
      <c r="G29" s="250">
        <f t="shared" si="0"/>
        <v>37</v>
      </c>
      <c r="H29" s="250">
        <v>3</v>
      </c>
      <c r="I29" s="250"/>
      <c r="K29" s="134" t="s">
        <v>1168</v>
      </c>
      <c r="L29" s="250">
        <f>COUNTIF('MTs DATA'!$I$3:$I$224,'PETA-PENGAWAS'!K29)</f>
        <v>14</v>
      </c>
      <c r="M29" s="250"/>
      <c r="N29" s="250">
        <f>COUNTIF('MA DATA'!$I$3:$I$136,'PETA-PENGAWAS'!K29)</f>
        <v>11</v>
      </c>
      <c r="O29" s="250">
        <f t="shared" si="3"/>
        <v>25</v>
      </c>
      <c r="P29" s="250">
        <v>2</v>
      </c>
      <c r="Q29" s="250"/>
    </row>
    <row r="30" spans="2:17">
      <c r="B30" s="303" t="s">
        <v>853</v>
      </c>
      <c r="C30" s="286">
        <f>COUNTIF('RA DATA'!$J$3:$J$421,'PETA-PENGAWAS'!B30)</f>
        <v>16</v>
      </c>
      <c r="D30" s="286"/>
      <c r="E30" s="286">
        <f>COUNTIF('MI DATA'!$I$3:$I$417,'PETA-PENGAWAS'!B30)</f>
        <v>16</v>
      </c>
      <c r="F30" s="286"/>
      <c r="G30" s="286">
        <f>SUM(C30,E30)</f>
        <v>32</v>
      </c>
      <c r="H30" s="286">
        <v>3</v>
      </c>
      <c r="I30" s="286"/>
      <c r="K30" s="303" t="s">
        <v>853</v>
      </c>
      <c r="L30" s="286">
        <f>COUNTIF('MTs DATA'!$I$3:$I$224,'PETA-PENGAWAS'!K30)</f>
        <v>4</v>
      </c>
      <c r="M30" s="286"/>
      <c r="N30" s="286">
        <f>COUNTIF('MA DATA'!$I$3:$I$136,'PETA-PENGAWAS'!K30)</f>
        <v>3</v>
      </c>
      <c r="O30" s="286">
        <f t="shared" si="3"/>
        <v>7</v>
      </c>
      <c r="P30" s="286">
        <v>1</v>
      </c>
      <c r="Q30" s="286"/>
    </row>
    <row r="31" spans="2:17">
      <c r="B31" s="134" t="s">
        <v>1109</v>
      </c>
      <c r="C31" s="250">
        <f>COUNTIF('RA DATA'!$J$3:$J$421,'PETA-PENGAWAS'!B31)</f>
        <v>15</v>
      </c>
      <c r="D31" s="250"/>
      <c r="E31" s="250">
        <f>COUNTIF('MI DATA'!$I$3:$I$417,'PETA-PENGAWAS'!B31)</f>
        <v>14</v>
      </c>
      <c r="F31" s="250"/>
      <c r="G31" s="250">
        <f>SUM(C31,E31)</f>
        <v>29</v>
      </c>
      <c r="H31" s="250">
        <v>2</v>
      </c>
      <c r="I31" s="250"/>
      <c r="K31" s="134" t="s">
        <v>1109</v>
      </c>
      <c r="L31" s="250">
        <f>COUNTIF('MTs DATA'!$I$3:$I$224,'PETA-PENGAWAS'!K31)</f>
        <v>6</v>
      </c>
      <c r="M31" s="250"/>
      <c r="N31" s="250">
        <f>COUNTIF('MA DATA'!$I$3:$I$136,'PETA-PENGAWAS'!K31)</f>
        <v>4</v>
      </c>
      <c r="O31" s="250">
        <f t="shared" si="3"/>
        <v>10</v>
      </c>
      <c r="P31" s="506">
        <v>1</v>
      </c>
      <c r="Q31" s="250"/>
    </row>
    <row r="32" spans="2:17">
      <c r="B32" s="303" t="s">
        <v>1798</v>
      </c>
      <c r="C32" s="286">
        <f>COUNTIF('RA DATA'!$J$3:$J$421,'PETA-PENGAWAS'!B32)</f>
        <v>25</v>
      </c>
      <c r="D32" s="286"/>
      <c r="E32" s="286">
        <f>COUNTIF('MI DATA'!$I$3:$I$417,'PETA-PENGAWAS'!B32)</f>
        <v>25</v>
      </c>
      <c r="F32" s="286"/>
      <c r="G32" s="286">
        <f>SUM(C32,E32)</f>
        <v>50</v>
      </c>
      <c r="H32" s="286">
        <v>4</v>
      </c>
      <c r="I32" s="286"/>
      <c r="K32" s="303" t="s">
        <v>1798</v>
      </c>
      <c r="L32" s="286">
        <f>COUNTIF('MTs DATA'!$I$3:$I$224,'PETA-PENGAWAS'!K32)</f>
        <v>12</v>
      </c>
      <c r="M32" s="286"/>
      <c r="N32" s="286">
        <f>COUNTIF('MA DATA'!$I$3:$I$136,'PETA-PENGAWAS'!K32)</f>
        <v>5</v>
      </c>
      <c r="O32" s="286">
        <f>SUM(L32:N32)</f>
        <v>17</v>
      </c>
      <c r="P32" s="507"/>
      <c r="Q32" s="286"/>
    </row>
    <row r="33" spans="2:17">
      <c r="B33" s="134" t="s">
        <v>1689</v>
      </c>
      <c r="C33" s="250">
        <f>COUNTIF('RA DATA'!$J$3:$J$421,'PETA-PENGAWAS'!B33)</f>
        <v>19</v>
      </c>
      <c r="D33" s="250"/>
      <c r="E33" s="250">
        <f>COUNTIF('MI DATA'!$I$3:$I$417,'PETA-PENGAWAS'!B33)</f>
        <v>23</v>
      </c>
      <c r="F33" s="250"/>
      <c r="G33" s="250">
        <f>SUM(C33,E33)</f>
        <v>42</v>
      </c>
      <c r="H33" s="250">
        <v>4</v>
      </c>
      <c r="I33" s="250"/>
      <c r="K33" s="134" t="s">
        <v>1689</v>
      </c>
      <c r="L33" s="250">
        <f>COUNTIF('MTs DATA'!$I$3:$I$224,'PETA-PENGAWAS'!K33)</f>
        <v>17</v>
      </c>
      <c r="M33" s="250"/>
      <c r="N33" s="250">
        <f>COUNTIF('MA DATA'!$I$3:$I$136,'PETA-PENGAWAS'!K33)</f>
        <v>11</v>
      </c>
      <c r="O33" s="250">
        <f>SUM(L33:N33)</f>
        <v>28</v>
      </c>
      <c r="P33" s="250">
        <v>1</v>
      </c>
      <c r="Q33" s="250"/>
    </row>
    <row r="34" spans="2:17">
      <c r="C34" s="258">
        <f>SUM($C$8:$C$33)</f>
        <v>419</v>
      </c>
      <c r="D34" s="258">
        <f>SUM(D8:D33)</f>
        <v>0</v>
      </c>
      <c r="E34" s="258">
        <f>SUM($E$8:$E$33)</f>
        <v>415</v>
      </c>
      <c r="F34" s="258">
        <f>SUM(F8:F33)</f>
        <v>0</v>
      </c>
      <c r="G34" s="258">
        <f>SUM($G$8:$G$33)</f>
        <v>834</v>
      </c>
      <c r="H34" s="258">
        <f>SUM(H8:H33)</f>
        <v>59</v>
      </c>
      <c r="I34" s="258">
        <f>SUM(I8:I33)</f>
        <v>0</v>
      </c>
      <c r="L34" s="259">
        <f>SUM($L$8:$L$33)</f>
        <v>222</v>
      </c>
      <c r="M34" s="259">
        <f>SUM(M8:M33)</f>
        <v>0</v>
      </c>
      <c r="N34" s="259">
        <f>SUM($N$8:$N$33)</f>
        <v>133</v>
      </c>
      <c r="O34" s="259">
        <f>SUM($O$8:$O$33)</f>
        <v>355</v>
      </c>
      <c r="P34" s="259">
        <f>SUM(P8:P33)</f>
        <v>24</v>
      </c>
    </row>
  </sheetData>
  <mergeCells count="22">
    <mergeCell ref="C1:G1"/>
    <mergeCell ref="L1:P1"/>
    <mergeCell ref="P12:P13"/>
    <mergeCell ref="C2:E2"/>
    <mergeCell ref="L2:N2"/>
    <mergeCell ref="P2:P4"/>
    <mergeCell ref="C3:E3"/>
    <mergeCell ref="L3:N3"/>
    <mergeCell ref="C4:E4"/>
    <mergeCell ref="H1:K1"/>
    <mergeCell ref="H8:H10"/>
    <mergeCell ref="I8:I10"/>
    <mergeCell ref="C6:G6"/>
    <mergeCell ref="K6:K7"/>
    <mergeCell ref="L6:O6"/>
    <mergeCell ref="P8:P11"/>
    <mergeCell ref="B3:B4"/>
    <mergeCell ref="L4:N4"/>
    <mergeCell ref="P31:P32"/>
    <mergeCell ref="Q8:Q11"/>
    <mergeCell ref="Q12:Q13"/>
    <mergeCell ref="B6:B7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W67"/>
  <sheetViews>
    <sheetView tabSelected="1" zoomScale="70" zoomScaleNormal="7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J2" sqref="J2"/>
    </sheetView>
  </sheetViews>
  <sheetFormatPr defaultColWidth="8.7265625" defaultRowHeight="14.5"/>
  <cols>
    <col min="1" max="1" width="1.1796875" style="249" customWidth="1"/>
    <col min="2" max="2" width="16.81640625" style="249" customWidth="1"/>
    <col min="3" max="3" width="8.26953125" style="249" customWidth="1"/>
    <col min="4" max="4" width="11.26953125" style="249" hidden="1" customWidth="1"/>
    <col min="5" max="5" width="8.6328125" style="249" customWidth="1"/>
    <col min="6" max="6" width="12.453125" style="249" hidden="1" customWidth="1"/>
    <col min="7" max="7" width="7.7265625" style="249" customWidth="1"/>
    <col min="8" max="8" width="11.453125" style="249" customWidth="1"/>
    <col min="9" max="9" width="11.81640625" style="249" customWidth="1"/>
    <col min="10" max="10" width="3.54296875" style="249" customWidth="1"/>
    <col min="11" max="11" width="25.1796875" style="249" customWidth="1"/>
    <col min="12" max="12" width="8.6328125" style="249" customWidth="1"/>
    <col min="13" max="13" width="19.7265625" style="249" customWidth="1"/>
    <col min="14" max="14" width="23.453125" style="249" customWidth="1"/>
    <col min="15" max="15" width="18.453125" style="249" customWidth="1"/>
    <col min="16" max="16" width="22.1796875" style="249" customWidth="1"/>
    <col min="17" max="17" width="13.54296875" style="249" customWidth="1"/>
    <col min="18" max="19" width="6.453125" style="249" customWidth="1"/>
    <col min="20" max="20" width="32.26953125" style="249" customWidth="1"/>
    <col min="21" max="21" width="20.81640625" style="249" customWidth="1"/>
    <col min="22" max="22" width="8.7265625" style="249"/>
    <col min="23" max="23" width="48.7265625" style="249" customWidth="1"/>
    <col min="24" max="24" width="25.1796875" style="249" customWidth="1"/>
    <col min="25" max="25" width="15.453125" style="249" customWidth="1"/>
    <col min="26" max="16384" width="8.7265625" style="249"/>
  </cols>
  <sheetData>
    <row r="1" spans="2:23" ht="46.5" customHeight="1" thickBot="1">
      <c r="B1" s="572" t="s">
        <v>5151</v>
      </c>
      <c r="C1" s="572"/>
      <c r="D1" s="572"/>
      <c r="E1" s="572"/>
      <c r="F1" s="572"/>
      <c r="G1" s="572"/>
      <c r="H1" s="572"/>
      <c r="I1" s="572"/>
      <c r="K1" s="573" t="s">
        <v>5153</v>
      </c>
      <c r="L1" s="573"/>
      <c r="M1" s="573"/>
      <c r="N1" s="573"/>
      <c r="O1" s="573"/>
      <c r="P1" s="573"/>
      <c r="Q1" s="573"/>
    </row>
    <row r="2" spans="2:23" ht="15" thickBot="1">
      <c r="B2" s="310" t="s">
        <v>5122</v>
      </c>
      <c r="C2" s="300"/>
      <c r="D2" s="300"/>
      <c r="E2" s="301"/>
      <c r="G2" s="302">
        <f>'PETA-PENGAWAS'!G4</f>
        <v>58</v>
      </c>
    </row>
    <row r="3" spans="2:23" ht="3" customHeight="1"/>
    <row r="4" spans="2:23" ht="14.5" customHeight="1">
      <c r="B4" s="553" t="s">
        <v>5054</v>
      </c>
      <c r="C4" s="553" t="s">
        <v>5056</v>
      </c>
      <c r="D4" s="553"/>
      <c r="E4" s="553"/>
      <c r="F4" s="553"/>
      <c r="G4" s="553"/>
      <c r="H4" s="553" t="s">
        <v>5118</v>
      </c>
      <c r="I4" s="554" t="s">
        <v>5136</v>
      </c>
      <c r="J4" s="565" t="s">
        <v>5120</v>
      </c>
      <c r="K4" s="553" t="s">
        <v>307</v>
      </c>
      <c r="L4" s="554" t="s">
        <v>5123</v>
      </c>
      <c r="M4" s="553" t="s">
        <v>5119</v>
      </c>
      <c r="N4" s="553" t="s">
        <v>5107</v>
      </c>
      <c r="O4" s="554" t="s">
        <v>5137</v>
      </c>
      <c r="P4" s="553" t="s">
        <v>5108</v>
      </c>
      <c r="Q4" s="553" t="s">
        <v>5111</v>
      </c>
    </row>
    <row r="5" spans="2:23" ht="29">
      <c r="B5" s="553"/>
      <c r="C5" s="329" t="s">
        <v>5052</v>
      </c>
      <c r="D5" s="329" t="s">
        <v>5057</v>
      </c>
      <c r="E5" s="329" t="s">
        <v>5053</v>
      </c>
      <c r="F5" s="329" t="s">
        <v>5057</v>
      </c>
      <c r="G5" s="329" t="s">
        <v>316</v>
      </c>
      <c r="H5" s="553"/>
      <c r="I5" s="555"/>
      <c r="J5" s="565"/>
      <c r="K5" s="553"/>
      <c r="L5" s="555"/>
      <c r="M5" s="553"/>
      <c r="N5" s="553"/>
      <c r="O5" s="555"/>
      <c r="P5" s="553"/>
      <c r="Q5" s="553"/>
    </row>
    <row r="6" spans="2:23" ht="29">
      <c r="B6" s="373" t="s">
        <v>1897</v>
      </c>
      <c r="C6" s="321">
        <f>COUNTIF('RA DATA'!$J$3:$J$421,'PETA_WAS_RA-MI'!B6)</f>
        <v>1</v>
      </c>
      <c r="D6" s="322"/>
      <c r="E6" s="321">
        <f>COUNTIF('MI DATA'!$I$3:$I$417,'PETA_WAS_RA-MI'!B6)</f>
        <v>0</v>
      </c>
      <c r="F6" s="322"/>
      <c r="G6" s="321">
        <f t="shared" ref="G6:G50" si="0">SUM(C6,E6)</f>
        <v>1</v>
      </c>
      <c r="H6" s="527">
        <f>'PETA-PENGAWAS'!H8</f>
        <v>1</v>
      </c>
      <c r="I6" s="569" t="s">
        <v>5101</v>
      </c>
      <c r="J6" s="559">
        <f>IF(K6="","",1)</f>
        <v>1</v>
      </c>
      <c r="K6" s="566" t="s">
        <v>256</v>
      </c>
      <c r="L6" s="532" t="str">
        <f>IFERROR(IF(K6="","",VLOOKUP(K6,CHOOSE({1,2},'Data Pengawas RA-MI'!$Q$5:$Q$62,'Data Pengawas RA-MI'!$D$5:$D$62),2,0)),"")</f>
        <v>L</v>
      </c>
      <c r="M6" s="556" t="str">
        <f>IF(K6="","",VLOOKUP(K6,CHOOSE({1,2},'Data Pengawas RA-MI'!$Q$5:$Q$62,'Data Pengawas RA-MI'!$N$5:$N$62),2,0))</f>
        <v>17 Juli 2031</v>
      </c>
      <c r="N6" s="562" t="str">
        <f>IF(K6="","",VLOOKUP(K6,CHOOSE({1,2},'Data Pengawas RA-MI'!$Q$5:$Q$62,'Data Pengawas RA-MI'!$I$5:$I$62),2,0))</f>
        <v>Pengawas RA,MI Kec. Lumbang, Sukapura</v>
      </c>
      <c r="O6" s="562" t="str">
        <f>TEXT(IF(K6="","",VLOOKUP(K6,CHOOSE({1,2},'Data Pengawas RA-MI'!$Q$5:$Q$62,'Data Pengawas RA-MI'!$G$5:$G$62),2,0)),"DD MMMM YYYY")</f>
        <v>01 April 2022</v>
      </c>
      <c r="P6" s="562" t="str">
        <f>IF(K6="","",W6)</f>
        <v>Pengawas RA,MI Sumber, Sukapura dan Lumbang</v>
      </c>
      <c r="Q6" s="556" t="str">
        <f>IF(K6="","",VLOOKUP(K6,CHOOSE({1,2},'Data Pengawas RA-MI'!$Q$5:$Q$62,'Data Pengawas RA-MI'!$P$5:$P$62),2,0))</f>
        <v>Wonomerto</v>
      </c>
      <c r="U6" s="298" t="s">
        <v>5116</v>
      </c>
      <c r="W6" s="249" t="str">
        <f>"Pengawas RA,MI "&amp;U6</f>
        <v>Pengawas RA,MI Sumber, Sukapura dan Lumbang</v>
      </c>
    </row>
    <row r="7" spans="2:23">
      <c r="B7" s="373" t="s">
        <v>1889</v>
      </c>
      <c r="C7" s="321">
        <f>COUNTIF('RA DATA'!$J$3:$J$421,'PETA_WAS_RA-MI'!B7)</f>
        <v>2</v>
      </c>
      <c r="D7" s="322"/>
      <c r="E7" s="321">
        <f>COUNTIF('MI DATA'!$I$3:$I$417,'PETA_WAS_RA-MI'!B7)</f>
        <v>0</v>
      </c>
      <c r="F7" s="322"/>
      <c r="G7" s="321">
        <f>SUM(C7,E7)</f>
        <v>2</v>
      </c>
      <c r="H7" s="531"/>
      <c r="I7" s="570"/>
      <c r="J7" s="560"/>
      <c r="K7" s="567"/>
      <c r="L7" s="533"/>
      <c r="M7" s="557"/>
      <c r="N7" s="563"/>
      <c r="O7" s="563"/>
      <c r="P7" s="563"/>
      <c r="Q7" s="557"/>
      <c r="U7" s="298"/>
    </row>
    <row r="8" spans="2:23">
      <c r="B8" s="373" t="s">
        <v>1561</v>
      </c>
      <c r="C8" s="321">
        <f>COUNTIF('RA DATA'!$J$3:$J$421,'PETA_WAS_RA-MI'!B8)</f>
        <v>7</v>
      </c>
      <c r="D8" s="322"/>
      <c r="E8" s="321">
        <f>COUNTIF('MI DATA'!$I$3:$I$417,'PETA_WAS_RA-MI'!B8)</f>
        <v>6</v>
      </c>
      <c r="F8" s="322"/>
      <c r="G8" s="321">
        <f t="shared" si="0"/>
        <v>13</v>
      </c>
      <c r="H8" s="528"/>
      <c r="I8" s="571"/>
      <c r="J8" s="561"/>
      <c r="K8" s="568"/>
      <c r="L8" s="534"/>
      <c r="M8" s="558"/>
      <c r="N8" s="564"/>
      <c r="O8" s="564"/>
      <c r="P8" s="564"/>
      <c r="Q8" s="558"/>
      <c r="U8" s="299"/>
    </row>
    <row r="9" spans="2:23" ht="29">
      <c r="B9" s="373" t="s">
        <v>2211</v>
      </c>
      <c r="C9" s="321">
        <f>COUNTIF('RA DATA'!$J$3:$J$421,'PETA_WAS_RA-MI'!B9)</f>
        <v>7</v>
      </c>
      <c r="D9" s="322"/>
      <c r="E9" s="321">
        <f>COUNTIF('MI DATA'!$I$3:$I$417,'PETA_WAS_RA-MI'!B9)</f>
        <v>11</v>
      </c>
      <c r="F9" s="322"/>
      <c r="G9" s="321">
        <f>SUM(C9,E9)</f>
        <v>18</v>
      </c>
      <c r="H9" s="321">
        <f>'PETA-PENGAWAS'!H12</f>
        <v>1</v>
      </c>
      <c r="I9" s="321"/>
      <c r="J9" s="330">
        <f>IF(K9="","",J11+1)</f>
        <v>4</v>
      </c>
      <c r="K9" s="382" t="s">
        <v>234</v>
      </c>
      <c r="L9" s="321" t="str">
        <f>IFERROR(IF(K9="","",VLOOKUP(K9,CHOOSE({1,2},'Data Pengawas RA-MI'!$Q$5:$Q$62,'Data Pengawas RA-MI'!$D$5:$D$62),2,0)),"")</f>
        <v>P</v>
      </c>
      <c r="M9" s="324" t="str">
        <f>IFERROR(IF(K9="","",VLOOKUP(K9,CHOOSE({1,2},'Data Pengawas RA-MI'!$Q$5:$Q$62,'Data Pengawas RA-MI'!$N$5:$N$62),2,0)),"")</f>
        <v>10 Maret 2030</v>
      </c>
      <c r="N9" s="325" t="str">
        <f>IFERROR(IF(K9="","",VLOOKUP(K9,CHOOSE({1,2},'Data Pengawas RA-MI'!$Q$5:$Q$62,'Data Pengawas RA-MI'!$I$5:$I$62),2,0)),"")</f>
        <v>Pengawas RA,MI Kec. Onomerto</v>
      </c>
      <c r="O9" s="325" t="str">
        <f>IFERROR(TEXT(IF(K9="","",VLOOKUP(K9,CHOOSE({1,2},'Data Pengawas RA-MI'!$Q$5:$Q$62,'Data Pengawas RA-MI'!$G$5:$G$62),2,0)),"DD MMMM YYYY"),"")</f>
        <v>01 Juli 2024</v>
      </c>
      <c r="P9" s="325" t="str">
        <f>IFERROR(IF(K9="x","",W9),"")</f>
        <v>Pengawas RA,MI Kec. Wonomerto</v>
      </c>
      <c r="Q9" s="326" t="str">
        <f>IFERROR(IF(K9="","",VLOOKUP(K9,CHOOSE({1,2},'Data Pengawas RA-MI'!$Q$5:$Q$62,'Data Pengawas RA-MI'!$P$5:$P$62),2,0)),"")</f>
        <v>Kanigaran</v>
      </c>
      <c r="U9" s="291" t="s">
        <v>5101</v>
      </c>
      <c r="W9" s="249" t="str">
        <f>"Pengawas RA,MI Kec. "&amp;U9</f>
        <v>Pengawas RA,MI Kec. Wonomerto</v>
      </c>
    </row>
    <row r="10" spans="2:23" ht="29">
      <c r="B10" s="529" t="s">
        <v>2133</v>
      </c>
      <c r="C10" s="535">
        <f>COUNTIF('RA DATA'!$J$3:$J$421,'PETA_WAS_RA-MI'!B10)</f>
        <v>22</v>
      </c>
      <c r="D10" s="311"/>
      <c r="E10" s="535">
        <f>COUNTIF('MI DATA'!$I$3:$I$417,'PETA_WAS_RA-MI'!B10)</f>
        <v>12</v>
      </c>
      <c r="F10" s="311"/>
      <c r="G10" s="535">
        <f t="shared" si="0"/>
        <v>34</v>
      </c>
      <c r="H10" s="541">
        <f>'PETA-PENGAWAS'!H11</f>
        <v>2</v>
      </c>
      <c r="I10" s="319"/>
      <c r="J10" s="330">
        <f>IF(K10="","",2)</f>
        <v>2</v>
      </c>
      <c r="K10" s="383" t="s">
        <v>251</v>
      </c>
      <c r="L10" s="317" t="str">
        <f>IFERROR(IF(K10="","",VLOOKUP(K10,CHOOSE({1,2},'Data Pengawas RA-MI'!$Q$5:$Q$62,'Data Pengawas RA-MI'!$D$5:$D$62),2,0)),"")</f>
        <v>P</v>
      </c>
      <c r="M10" s="314" t="str">
        <f>IFERROR(IF(K10="","",VLOOKUP(K10,CHOOSE({1,2},'Data Pengawas RA-MI'!$Q$5:$Q$62,'Data Pengawas RA-MI'!$N$5:$N$62),2,0)),"")</f>
        <v>25 Juni 2034</v>
      </c>
      <c r="N10" s="315" t="str">
        <f>IFERROR(IF(K10="","",VLOOKUP(K10,CHOOSE({1,2},'Data Pengawas RA-MI'!$Q$5:$Q$62,'Data Pengawas RA-MI'!$I$5:$I$62),2,0)),"")</f>
        <v>Pengawas RA,MI Kec. Tongas</v>
      </c>
      <c r="O10" s="315" t="str">
        <f>IFERROR(TEXT(IF(K10="","",VLOOKUP(K10,CHOOSE({1,2},'Data Pengawas RA-MI'!$Q$5:$Q$62,'Data Pengawas RA-MI'!$G$5:$G$62),2,0)),"DD MMMM YYYY"),"")</f>
        <v>03 November 2022</v>
      </c>
      <c r="P10" s="315" t="str">
        <f t="shared" ref="P10:P40" si="1">IFERROR(IF(K10="x","",W10),"")</f>
        <v>Pengawas RA,MI Kec. Tongas</v>
      </c>
      <c r="Q10" s="316" t="str">
        <f>IFERROR(IF(K10="","",VLOOKUP(K10,CHOOSE({1,2},'Data Pengawas RA-MI'!$Q$5:$Q$62,'Data Pengawas RA-MI'!$P$5:$P$62),2,0)),"")</f>
        <v>Kademangan</v>
      </c>
      <c r="U10" s="289" t="s">
        <v>5113</v>
      </c>
      <c r="W10" s="249" t="str">
        <f>"Pengawas RA,MI Kec. "&amp;U10</f>
        <v>Pengawas RA,MI Kec. Tongas</v>
      </c>
    </row>
    <row r="11" spans="2:23" ht="29">
      <c r="B11" s="530"/>
      <c r="C11" s="537"/>
      <c r="D11" s="311"/>
      <c r="E11" s="537"/>
      <c r="F11" s="311"/>
      <c r="G11" s="537"/>
      <c r="H11" s="543"/>
      <c r="I11" s="339"/>
      <c r="J11" s="330">
        <f>IF(K11="","",J10+1)</f>
        <v>3</v>
      </c>
      <c r="K11" s="383" t="s">
        <v>240</v>
      </c>
      <c r="L11" s="317" t="str">
        <f>IFERROR(IF(K11="","",VLOOKUP(K11,CHOOSE({1,2},'Data Pengawas RA-MI'!$Q$5:$Q$62,'Data Pengawas RA-MI'!$D$5:$D$62),2,0)),"")</f>
        <v>P</v>
      </c>
      <c r="M11" s="314" t="str">
        <f>IFERROR(IF(K11="","",VLOOKUP(K11,CHOOSE({1,2},'Data Pengawas RA-MI'!$Q$5:$Q$62,'Data Pengawas RA-MI'!$N$5:$N$62),2,0)),"")</f>
        <v>12 Juni 2029</v>
      </c>
      <c r="N11" s="315" t="str">
        <f>IFERROR(IF(K11="","",VLOOKUP(K11,CHOOSE({1,2},'Data Pengawas RA-MI'!$Q$5:$Q$62,'Data Pengawas RA-MI'!$I$5:$I$62),2,0)),"")</f>
        <v>Pengawas RA,MI Kec. Tongas</v>
      </c>
      <c r="O11" s="315" t="str">
        <f>IFERROR(TEXT(IF(K11="","",VLOOKUP(K11,CHOOSE({1,2},'Data Pengawas RA-MI'!$Q$5:$Q$62,'Data Pengawas RA-MI'!$G$5:$G$62),2,0)),"DD MMMM YYYY"),"")</f>
        <v>01 Januari 2021</v>
      </c>
      <c r="P11" s="315" t="str">
        <f t="shared" si="1"/>
        <v>Pengawas RA,MI Kec. Tongas</v>
      </c>
      <c r="Q11" s="316" t="str">
        <f>IFERROR(IF(K11="","",VLOOKUP(K11,CHOOSE({1,2},'Data Pengawas RA-MI'!$Q$5:$Q$62,'Data Pengawas RA-MI'!$P$5:$P$62),2,0)),"")</f>
        <v>Sumberasih</v>
      </c>
      <c r="U11" s="289" t="s">
        <v>5113</v>
      </c>
      <c r="W11" s="249" t="str">
        <f t="shared" ref="W11:W65" si="2">"Pengawas RA,MI Kec. "&amp;U11</f>
        <v>Pengawas RA,MI Kec. Tongas</v>
      </c>
    </row>
    <row r="12" spans="2:23" ht="29">
      <c r="B12" s="372" t="s">
        <v>1471</v>
      </c>
      <c r="C12" s="317">
        <f>COUNTIF('RA DATA'!$J$3:$J$421,'PETA_WAS_RA-MI'!B12)</f>
        <v>6</v>
      </c>
      <c r="D12" s="311"/>
      <c r="E12" s="317">
        <f>COUNTIF('MI DATA'!$I$3:$I$417,'PETA_WAS_RA-MI'!B12)</f>
        <v>9</v>
      </c>
      <c r="F12" s="311"/>
      <c r="G12" s="317">
        <f>SUM(C12,E12)</f>
        <v>15</v>
      </c>
      <c r="H12" s="317">
        <f>'PETA-PENGAWAS'!H13</f>
        <v>1</v>
      </c>
      <c r="I12" s="317"/>
      <c r="J12" s="330">
        <f>IF(K12="","",J11+1)</f>
        <v>4</v>
      </c>
      <c r="K12" s="383" t="s">
        <v>271</v>
      </c>
      <c r="L12" s="317" t="str">
        <f>IFERROR(IF(K12="","",VLOOKUP(K12,CHOOSE({1,2},'Data Pengawas RA-MI'!$Q$5:$Q$62,'Data Pengawas RA-MI'!$D$5:$D$62),2,0)),"")</f>
        <v>L</v>
      </c>
      <c r="M12" s="314" t="str">
        <f>IFERROR(IF(K12="","",VLOOKUP(K12,CHOOSE({1,2},'Data Pengawas RA-MI'!$Q$5:$Q$62,'Data Pengawas RA-MI'!$N$5:$N$62),2,0)),"")</f>
        <v>09 November 2032</v>
      </c>
      <c r="N12" s="315" t="str">
        <f>IFERROR(IF(K12="","",VLOOKUP(K12,CHOOSE({1,2},'Data Pengawas RA-MI'!$Q$5:$Q$62,'Data Pengawas RA-MI'!$I$5:$I$62),2,0)),"")</f>
        <v>Pengawas RA,MI Kec. Tegalsiwalan, kuripan</v>
      </c>
      <c r="O12" s="315" t="str">
        <f>IFERROR(TEXT(IF(K12="","",VLOOKUP(K12,CHOOSE({1,2},'Data Pengawas RA-MI'!$Q$5:$Q$62,'Data Pengawas RA-MI'!$G$5:$G$62),2,0)),"DD MMMM YYYY"),"")</f>
        <v>01 Juli 2024</v>
      </c>
      <c r="P12" s="315" t="str">
        <f t="shared" si="1"/>
        <v>Pengawas RA,MI Kec. Kuripan</v>
      </c>
      <c r="Q12" s="316" t="str">
        <f>IFERROR(IF(K12="","",VLOOKUP(K12,CHOOSE({1,2},'Data Pengawas RA-MI'!$Q$5:$Q$62,'Data Pengawas RA-MI'!$P$5:$P$62),2,0)),"")</f>
        <v>Banyuanyar</v>
      </c>
      <c r="U12" s="292" t="s">
        <v>5099</v>
      </c>
      <c r="W12" s="249" t="str">
        <f t="shared" si="2"/>
        <v>Pengawas RA,MI Kec. Kuripan</v>
      </c>
    </row>
    <row r="13" spans="2:23" ht="29">
      <c r="B13" s="525" t="s">
        <v>683</v>
      </c>
      <c r="C13" s="527">
        <f>COUNTIF('RA DATA'!$J$3:$J$421,'PETA_WAS_RA-MI'!B13)</f>
        <v>13</v>
      </c>
      <c r="D13" s="322"/>
      <c r="E13" s="527">
        <f>COUNTIF('MI DATA'!$I$3:$I$417,'PETA_WAS_RA-MI'!B13)</f>
        <v>18</v>
      </c>
      <c r="F13" s="322"/>
      <c r="G13" s="527">
        <f>SUM(C13,E13)</f>
        <v>31</v>
      </c>
      <c r="H13" s="527">
        <f>'PETA-PENGAWAS'!H14</f>
        <v>2</v>
      </c>
      <c r="I13" s="323"/>
      <c r="J13" s="330">
        <f t="shared" ref="J13:J65" si="3">IF(K13="","",J12+1)</f>
        <v>5</v>
      </c>
      <c r="K13" s="382" t="s">
        <v>237</v>
      </c>
      <c r="L13" s="321" t="str">
        <f>IFERROR(IF(K13="","",VLOOKUP(K13,CHOOSE({1,2},'Data Pengawas RA-MI'!$Q$5:$Q$62,'Data Pengawas RA-MI'!$D$5:$D$62),2,0)),"")</f>
        <v>L</v>
      </c>
      <c r="M13" s="324" t="str">
        <f>IFERROR(IF(K13="","",VLOOKUP(K13,CHOOSE({1,2},'Data Pengawas RA-MI'!$Q$5:$Q$62,'Data Pengawas RA-MI'!$N$5:$N$62),2,0)),"")</f>
        <v>07 September 2027</v>
      </c>
      <c r="N13" s="325" t="str">
        <f>IFERROR(IF(K13="","",VLOOKUP(K13,CHOOSE({1,2},'Data Pengawas RA-MI'!$Q$5:$Q$62,'Data Pengawas RA-MI'!$I$5:$I$62),2,0)),"")</f>
        <v>Pengawas RA,MI Kec. Bantaran</v>
      </c>
      <c r="O13" s="325" t="str">
        <f>IFERROR(TEXT(IF(K13="","",VLOOKUP(K13,CHOOSE({1,2},'Data Pengawas RA-MI'!$Q$5:$Q$62,'Data Pengawas RA-MI'!$G$5:$G$62),2,0)),"DD MMMM YYYY"),"")</f>
        <v>01 Juli 2024</v>
      </c>
      <c r="P13" s="325" t="str">
        <f t="shared" si="1"/>
        <v>Pengawas RA,MI Kec. Bantaran</v>
      </c>
      <c r="Q13" s="326" t="str">
        <f>IFERROR(IF(K13="","",VLOOKUP(K13,CHOOSE({1,2},'Data Pengawas RA-MI'!$Q$5:$Q$62,'Data Pengawas RA-MI'!$P$5:$P$62),2,0)),"")</f>
        <v>Kedopok</v>
      </c>
      <c r="U13" s="290" t="s">
        <v>5105</v>
      </c>
      <c r="W13" s="249" t="str">
        <f t="shared" si="2"/>
        <v>Pengawas RA,MI Kec. Bantaran</v>
      </c>
    </row>
    <row r="14" spans="2:23" ht="29">
      <c r="B14" s="526"/>
      <c r="C14" s="528"/>
      <c r="D14" s="322"/>
      <c r="E14" s="528"/>
      <c r="F14" s="327"/>
      <c r="G14" s="528"/>
      <c r="H14" s="528"/>
      <c r="I14" s="338"/>
      <c r="J14" s="330">
        <f t="shared" si="3"/>
        <v>6</v>
      </c>
      <c r="K14" s="382" t="s">
        <v>306</v>
      </c>
      <c r="L14" s="321" t="str">
        <f>IFERROR(IF(K14="","",VLOOKUP(K14,CHOOSE({1,2},'Data Pengawas RA-MI'!$Q$5:$Q$62,'Data Pengawas RA-MI'!$D$5:$D$62),2,0)),"")</f>
        <v>L</v>
      </c>
      <c r="M14" s="324" t="str">
        <f>IFERROR(IF(K14="","",VLOOKUP(K14,CHOOSE({1,2},'Data Pengawas RA-MI'!$Q$5:$Q$62,'Data Pengawas RA-MI'!$N$5:$N$62),2,0)),"")</f>
        <v>15 Juli 2042</v>
      </c>
      <c r="N14" s="325" t="str">
        <f>IFERROR(IF(K14="","",VLOOKUP(K14,CHOOSE({1,2},'Data Pengawas RA-MI'!$Q$5:$Q$62,'Data Pengawas RA-MI'!$I$5:$I$62),2,0)),"")</f>
        <v>Pengawas RA,MI Kec. Bantaran</v>
      </c>
      <c r="O14" s="325" t="str">
        <f>IFERROR(TEXT(IF(K14="","",VLOOKUP(K14,CHOOSE({1,2},'Data Pengawas RA-MI'!$Q$5:$Q$62,'Data Pengawas RA-MI'!$G$5:$G$62),2,0)),"DD MMMM YYYY"),"")</f>
        <v>01 Juni 2023</v>
      </c>
      <c r="P14" s="325" t="str">
        <f t="shared" si="1"/>
        <v>Pengawas RA,MI Kec. Bantaran</v>
      </c>
      <c r="Q14" s="326" t="str">
        <f>IFERROR(IF(K14="","",VLOOKUP(K14,CHOOSE({1,2},'Data Pengawas RA-MI'!$Q$5:$Q$62,'Data Pengawas RA-MI'!$P$5:$P$62),2,0)),"")</f>
        <v>Kuripan</v>
      </c>
      <c r="U14" s="290" t="s">
        <v>5105</v>
      </c>
      <c r="W14" s="249" t="str">
        <f t="shared" si="2"/>
        <v>Pengawas RA,MI Kec. Bantaran</v>
      </c>
    </row>
    <row r="15" spans="2:23" ht="29">
      <c r="B15" s="372" t="s">
        <v>1902</v>
      </c>
      <c r="C15" s="317">
        <f>COUNTIF('RA DATA'!$J$3:$J$421,'PETA_WAS_RA-MI'!B15)</f>
        <v>16</v>
      </c>
      <c r="D15" s="311"/>
      <c r="E15" s="317">
        <f>COUNTIF('MI DATA'!$I$3:$I$417,'PETA_WAS_RA-MI'!B15)</f>
        <v>8</v>
      </c>
      <c r="F15" s="311"/>
      <c r="G15" s="317">
        <f>SUM(C15,E15)</f>
        <v>24</v>
      </c>
      <c r="H15" s="317">
        <f>'PETA-PENGAWAS'!H15</f>
        <v>1</v>
      </c>
      <c r="I15" s="317"/>
      <c r="J15" s="330">
        <f t="shared" si="3"/>
        <v>7</v>
      </c>
      <c r="K15" s="383" t="s">
        <v>283</v>
      </c>
      <c r="L15" s="317" t="str">
        <f>IFERROR(IF(K15="","",VLOOKUP(K15,CHOOSE({1,2},'Data Pengawas RA-MI'!$Q$5:$Q$62,'Data Pengawas RA-MI'!$D$5:$D$62),2,0)),"")</f>
        <v>L</v>
      </c>
      <c r="M15" s="314" t="str">
        <f>IFERROR(IF(K15="","",VLOOKUP(K15,CHOOSE({1,2},'Data Pengawas RA-MI'!$Q$5:$Q$62,'Data Pengawas RA-MI'!$N$5:$N$62),2,0)),"")</f>
        <v>11 April 2044</v>
      </c>
      <c r="N15" s="315" t="str">
        <f>IFERROR(IF(K15="","",VLOOKUP(K15,CHOOSE({1,2},'Data Pengawas RA-MI'!$Q$5:$Q$62,'Data Pengawas RA-MI'!$I$5:$I$62),2,0)),"")</f>
        <v>Pengawas RA,MI Kec. Wonomerto, Tongas</v>
      </c>
      <c r="O15" s="315" t="str">
        <f>IFERROR(TEXT(IF(K15="","",VLOOKUP(K15,CHOOSE({1,2},'Data Pengawas RA-MI'!$Q$5:$Q$62,'Data Pengawas RA-MI'!$G$5:$G$62),2,0)),"DD MMMM YYYY"),"")</f>
        <v>01 Juni 2023</v>
      </c>
      <c r="P15" s="315" t="str">
        <f t="shared" si="1"/>
        <v>Pengawas RA,MI Kec. Sumberasih</v>
      </c>
      <c r="Q15" s="314" t="str">
        <f>IFERROR(IF(K15="","",VLOOKUP(K15,CHOOSE({1,2},'Data Pengawas RA-MI'!$Q$5:$Q$62,'Data Pengawas RA-MI'!$P$5:$P$62),2,0)),"")</f>
        <v>Sumberasih</v>
      </c>
      <c r="U15" s="292" t="s">
        <v>5098</v>
      </c>
      <c r="W15" s="249" t="str">
        <f t="shared" si="2"/>
        <v>Pengawas RA,MI Kec. Sumberasih</v>
      </c>
    </row>
    <row r="16" spans="2:23" ht="29">
      <c r="B16" s="544" t="s">
        <v>1055</v>
      </c>
      <c r="C16" s="532">
        <f>COUNTIF('RA DATA'!$J$3:$J$421,'PETA_WAS_RA-MI'!B16)</f>
        <v>15</v>
      </c>
      <c r="D16" s="322"/>
      <c r="E16" s="527">
        <f>COUNTIF('MI DATA'!$I$3:$I$417,'PETA_WAS_RA-MI'!B16)</f>
        <v>12</v>
      </c>
      <c r="F16" s="327"/>
      <c r="G16" s="527">
        <f>SUM(C16,E16)</f>
        <v>27</v>
      </c>
      <c r="H16" s="527">
        <f>'PETA-PENGAWAS'!H16</f>
        <v>2</v>
      </c>
      <c r="I16" s="323"/>
      <c r="J16" s="330">
        <f t="shared" si="3"/>
        <v>8</v>
      </c>
      <c r="K16" s="382" t="s">
        <v>230</v>
      </c>
      <c r="L16" s="321" t="str">
        <f>IFERROR(IF(K16="","",VLOOKUP(K16,CHOOSE({1,2},'Data Pengawas RA-MI'!$Q$5:$Q$62,'Data Pengawas RA-MI'!$D$5:$D$62),2,0)),"")</f>
        <v>P</v>
      </c>
      <c r="M16" s="324" t="str">
        <f>IFERROR(IF(K16="","",VLOOKUP(K16,CHOOSE({1,2},'Data Pengawas RA-MI'!$Q$5:$Q$62,'Data Pengawas RA-MI'!$N$5:$N$62),2,0)),"")</f>
        <v>04 Februari 2033</v>
      </c>
      <c r="N16" s="325" t="str">
        <f>IFERROR(IF(K16="","",VLOOKUP(K16,CHOOSE({1,2},'Data Pengawas RA-MI'!$Q$5:$Q$62,'Data Pengawas RA-MI'!$I$5:$I$62),2,0)),"")</f>
        <v>Penagawas RA,MI Kec. Sumberasih</v>
      </c>
      <c r="O16" s="325" t="str">
        <f>IFERROR(TEXT(IF(K16="","",VLOOKUP(K16,CHOOSE({1,2},'Data Pengawas RA-MI'!$Q$5:$Q$62,'Data Pengawas RA-MI'!$G$5:$G$62),2,0)),"DD MMMM YYYY"),"")</f>
        <v>28 Desember 2020</v>
      </c>
      <c r="P16" s="325" t="str">
        <f t="shared" si="1"/>
        <v>Pengawas RA,MI Kec. Gending</v>
      </c>
      <c r="Q16" s="326" t="str">
        <f>IFERROR(IF(K16="","",VLOOKUP(K16,CHOOSE({1,2},'Data Pengawas RA-MI'!$Q$5:$Q$62,'Data Pengawas RA-MI'!$P$5:$P$62),2,0)),"")</f>
        <v>Leces</v>
      </c>
      <c r="U16" s="297" t="s">
        <v>5095</v>
      </c>
      <c r="W16" s="249" t="str">
        <f t="shared" si="2"/>
        <v>Pengawas RA,MI Kec. Gending</v>
      </c>
    </row>
    <row r="17" spans="2:23" ht="29">
      <c r="B17" s="546"/>
      <c r="C17" s="534"/>
      <c r="D17" s="322"/>
      <c r="E17" s="528"/>
      <c r="F17" s="327"/>
      <c r="G17" s="528"/>
      <c r="H17" s="528"/>
      <c r="I17" s="338"/>
      <c r="J17" s="330">
        <f t="shared" si="3"/>
        <v>9</v>
      </c>
      <c r="K17" s="382" t="s">
        <v>304</v>
      </c>
      <c r="L17" s="321" t="str">
        <f>IFERROR(IF(K17="","",VLOOKUP(K17,CHOOSE({1,2},'Data Pengawas RA-MI'!$Q$5:$Q$62,'Data Pengawas RA-MI'!$D$5:$D$62),2,0)),"")</f>
        <v>P</v>
      </c>
      <c r="M17" s="324" t="str">
        <f>IFERROR(IF(K17="","",VLOOKUP(K17,CHOOSE({1,2},'Data Pengawas RA-MI'!$Q$5:$Q$62,'Data Pengawas RA-MI'!$N$5:$N$62),2,0)),"")</f>
        <v>24 Desember 2042</v>
      </c>
      <c r="N17" s="325" t="str">
        <f>IFERROR(IF(K17="","",VLOOKUP(K17,CHOOSE({1,2},'Data Pengawas RA-MI'!$Q$5:$Q$62,'Data Pengawas RA-MI'!$I$5:$I$62),2,0)),"")</f>
        <v>Pengawas RA,MI Kec. Gending</v>
      </c>
      <c r="O17" s="325" t="str">
        <f>IFERROR(TEXT(IF(K17="","",VLOOKUP(K17,CHOOSE({1,2},'Data Pengawas RA-MI'!$Q$5:$Q$62,'Data Pengawas RA-MI'!$G$5:$G$62),2,0)),"DD MMMM YYYY"),"")</f>
        <v>01 Juli 2024</v>
      </c>
      <c r="P17" s="325" t="str">
        <f t="shared" si="1"/>
        <v>Pengawas RA,MI Kec. Gending</v>
      </c>
      <c r="Q17" s="326" t="str">
        <f>IFERROR(IF(K17="","",VLOOKUP(K17,CHOOSE({1,2},'Data Pengawas RA-MI'!$Q$5:$Q$62,'Data Pengawas RA-MI'!$P$5:$P$62),2,0)),"")</f>
        <v>Maron</v>
      </c>
      <c r="U17" s="297" t="s">
        <v>5095</v>
      </c>
      <c r="W17" s="249" t="str">
        <f t="shared" ref="W17" si="4">"Pengawas RA,MI Kec. "&amp;U17</f>
        <v>Pengawas RA,MI Kec. Gending</v>
      </c>
    </row>
    <row r="18" spans="2:23" s="352" customFormat="1" ht="29">
      <c r="B18" s="373" t="s">
        <v>917</v>
      </c>
      <c r="C18" s="321">
        <f>COUNTIF('RA DATA'!$J$3:$J$421,'PETA_WAS_RA-MI'!B18)</f>
        <v>2</v>
      </c>
      <c r="D18" s="322"/>
      <c r="E18" s="321">
        <f>COUNTIF('MI DATA'!$I$3:$I$417,'PETA_WAS_RA-MI'!B18)</f>
        <v>4</v>
      </c>
      <c r="F18" s="327"/>
      <c r="G18" s="321">
        <f>SUM(C18,E18)</f>
        <v>6</v>
      </c>
      <c r="H18" s="321">
        <f>'PETA-PENGAWAS'!H17</f>
        <v>1</v>
      </c>
      <c r="I18" s="343" t="s">
        <v>5095</v>
      </c>
      <c r="J18" s="330">
        <f t="shared" si="3"/>
        <v>10</v>
      </c>
      <c r="K18" s="382" t="s">
        <v>264</v>
      </c>
      <c r="L18" s="321" t="str">
        <f>IFERROR(IF(K18="","",VLOOKUP(K18,CHOOSE({1,2},'Data Pengawas RA-MI'!$Q$5:$Q$62,'Data Pengawas RA-MI'!$D$5:$D$62),2,0)),"")</f>
        <v>P</v>
      </c>
      <c r="M18" s="350" t="str">
        <f>IFERROR(IF(K18="","",VLOOKUP(K18,CHOOSE({1,2},'Data Pengawas RA-MI'!$Q$5:$Q$62,'Data Pengawas RA-MI'!$N$5:$N$62),2,0)),"")</f>
        <v>15 April 2033</v>
      </c>
      <c r="N18" s="351" t="str">
        <f>IFERROR(IF(K18="","",VLOOKUP(K18,CHOOSE({1,2},'Data Pengawas RA-MI'!$Q$5:$Q$62,'Data Pengawas RA-MI'!$I$5:$I$62),2,0)),"")</f>
        <v>Pengawas RA,MI Kec. Leces</v>
      </c>
      <c r="O18" s="351" t="str">
        <f>IFERROR(TEXT(IF(K18="","",VLOOKUP(K18,CHOOSE({1,2},'Data Pengawas RA-MI'!$Q$5:$Q$62,'Data Pengawas RA-MI'!$G$5:$G$62),2,0)),"DD MMMM YYYY"),"")</f>
        <v>03 November 2022</v>
      </c>
      <c r="P18" s="351" t="str">
        <f t="shared" si="1"/>
        <v>Pengawas RA,MI Kec. Dringu dan Gending</v>
      </c>
      <c r="Q18" s="324" t="str">
        <f>IFERROR(IF(K18="","",VLOOKUP(K18,CHOOSE({1,2},'Data Pengawas RA-MI'!$Q$5:$Q$62,'Data Pengawas RA-MI'!$P$5:$P$62),2,0)),"")</f>
        <v>Leces</v>
      </c>
      <c r="U18" s="353" t="s">
        <v>5117</v>
      </c>
      <c r="W18" s="352" t="str">
        <f>"Pengawas RA,MI Kec. "&amp;U18</f>
        <v>Pengawas RA,MI Kec. Dringu dan Gending</v>
      </c>
    </row>
    <row r="19" spans="2:23" ht="29">
      <c r="B19" s="538" t="s">
        <v>1493</v>
      </c>
      <c r="C19" s="541">
        <f>COUNTIF('RA DATA'!$J$3:$J$421,'PETA_WAS_RA-MI'!B19)</f>
        <v>19</v>
      </c>
      <c r="D19" s="311"/>
      <c r="E19" s="541">
        <f>COUNTIF('MI DATA'!$I$3:$I$417,'PETA_WAS_RA-MI'!B19)</f>
        <v>17</v>
      </c>
      <c r="F19" s="311"/>
      <c r="G19" s="541">
        <f>SUM(C19,E19)</f>
        <v>36</v>
      </c>
      <c r="H19" s="541">
        <f>'PETA-PENGAWAS'!H18</f>
        <v>3</v>
      </c>
      <c r="I19" s="319"/>
      <c r="J19" s="330">
        <f t="shared" si="3"/>
        <v>11</v>
      </c>
      <c r="K19" s="383" t="s">
        <v>252</v>
      </c>
      <c r="L19" s="317" t="str">
        <f>IFERROR(IF(K19="","",VLOOKUP(K19,CHOOSE({1,2},'Data Pengawas RA-MI'!$Q$5:$Q$62,'Data Pengawas RA-MI'!$D$5:$D$62),2,0)),"")</f>
        <v>P</v>
      </c>
      <c r="M19" s="314" t="str">
        <f>IFERROR(IF(K19="","",VLOOKUP(K19,CHOOSE({1,2},'Data Pengawas RA-MI'!$Q$5:$Q$62,'Data Pengawas RA-MI'!$N$5:$N$62),2,0)),"")</f>
        <v>25 November 2026</v>
      </c>
      <c r="N19" s="315" t="str">
        <f>IFERROR(IF(K19="","",VLOOKUP(K19,CHOOSE({1,2},'Data Pengawas RA-MI'!$Q$5:$Q$62,'Data Pengawas RA-MI'!$I$5:$I$62),2,0)),"")</f>
        <v>Pengawas RA,MI Kec. Leces</v>
      </c>
      <c r="O19" s="315" t="str">
        <f>IFERROR(TEXT(IF(K19="","",VLOOKUP(K19,CHOOSE({1,2},'Data Pengawas RA-MI'!$Q$5:$Q$62,'Data Pengawas RA-MI'!$G$5:$G$62),2,0)),"DD MMMM YYYY"),"")</f>
        <v>01 Juli 2024</v>
      </c>
      <c r="P19" s="315" t="str">
        <f t="shared" si="1"/>
        <v>Pengawas RA,MI Kec. Leces</v>
      </c>
      <c r="Q19" s="316" t="str">
        <f>IFERROR(IF(K19="","",VLOOKUP(K19,CHOOSE({1,2},'Data Pengawas RA-MI'!$Q$5:$Q$62,'Data Pengawas RA-MI'!$P$5:$P$62),2,0)),"")</f>
        <v>Kademangan</v>
      </c>
      <c r="U19" s="293" t="s">
        <v>5090</v>
      </c>
      <c r="W19" s="249" t="str">
        <f t="shared" si="2"/>
        <v>Pengawas RA,MI Kec. Leces</v>
      </c>
    </row>
    <row r="20" spans="2:23" ht="29">
      <c r="B20" s="539"/>
      <c r="C20" s="542"/>
      <c r="D20" s="311"/>
      <c r="E20" s="542"/>
      <c r="F20" s="311"/>
      <c r="G20" s="542"/>
      <c r="H20" s="542"/>
      <c r="I20" s="340"/>
      <c r="J20" s="330">
        <f t="shared" si="3"/>
        <v>12</v>
      </c>
      <c r="K20" s="383" t="s">
        <v>260</v>
      </c>
      <c r="L20" s="317" t="str">
        <f>IFERROR(IF(K20="","",VLOOKUP(K20,CHOOSE({1,2},'Data Pengawas RA-MI'!$Q$5:$Q$62,'Data Pengawas RA-MI'!$D$5:$D$62),2,0)),"")</f>
        <v>P</v>
      </c>
      <c r="M20" s="314" t="str">
        <f>IFERROR(IF(K20="","",VLOOKUP(K20,CHOOSE({1,2},'Data Pengawas RA-MI'!$Q$5:$Q$62,'Data Pengawas RA-MI'!$N$5:$N$62),2,0)),"")</f>
        <v>11 Juli 2029</v>
      </c>
      <c r="N20" s="315" t="str">
        <f>IFERROR(IF(K20="","",VLOOKUP(K20,CHOOSE({1,2},'Data Pengawas RA-MI'!$Q$5:$Q$62,'Data Pengawas RA-MI'!$I$5:$I$62),2,0)),"")</f>
        <v>Pengawas RA,MI Kec. Gending</v>
      </c>
      <c r="O20" s="315" t="str">
        <f>IFERROR(TEXT(IF(K20="","",VLOOKUP(K20,CHOOSE({1,2},'Data Pengawas RA-MI'!$Q$5:$Q$62,'Data Pengawas RA-MI'!$G$5:$G$62),2,0)),"DD MMMM YYYY"),"")</f>
        <v>06 Desember 2021</v>
      </c>
      <c r="P20" s="315" t="str">
        <f t="shared" si="1"/>
        <v>Pengawas RA,MI Kec. Leces</v>
      </c>
      <c r="Q20" s="316" t="str">
        <f>IFERROR(IF(K20="","",VLOOKUP(K20,CHOOSE({1,2},'Data Pengawas RA-MI'!$Q$5:$Q$62,'Data Pengawas RA-MI'!$P$5:$P$62),2,0)),"")</f>
        <v>Banyuanyar</v>
      </c>
      <c r="U20" s="293" t="s">
        <v>5090</v>
      </c>
      <c r="W20" s="249" t="str">
        <f t="shared" si="2"/>
        <v>Pengawas RA,MI Kec. Leces</v>
      </c>
    </row>
    <row r="21" spans="2:23" ht="29">
      <c r="B21" s="540"/>
      <c r="C21" s="543"/>
      <c r="D21" s="311"/>
      <c r="E21" s="543"/>
      <c r="F21" s="311"/>
      <c r="G21" s="543"/>
      <c r="H21" s="543"/>
      <c r="I21" s="339"/>
      <c r="J21" s="330">
        <f t="shared" si="3"/>
        <v>13</v>
      </c>
      <c r="K21" s="383" t="s">
        <v>279</v>
      </c>
      <c r="L21" s="317" t="str">
        <f>IFERROR(IF(K21="","",VLOOKUP(K21,CHOOSE({1,2},'Data Pengawas RA-MI'!$Q$5:$Q$62,'Data Pengawas RA-MI'!$D$5:$D$62),2,0)),"")</f>
        <v>L</v>
      </c>
      <c r="M21" s="314" t="str">
        <f>IFERROR(IF(K21="","",VLOOKUP(K21,CHOOSE({1,2},'Data Pengawas RA-MI'!$Q$5:$Q$62,'Data Pengawas RA-MI'!$N$5:$N$62),2,0)),"")</f>
        <v>03 Januari 2041</v>
      </c>
      <c r="N21" s="315" t="str">
        <f>IFERROR(IF(K21="","",VLOOKUP(K21,CHOOSE({1,2},'Data Pengawas RA-MI'!$Q$5:$Q$62,'Data Pengawas RA-MI'!$I$5:$I$62),2,0)),"")</f>
        <v>Pengawas RA,MI Kec. Krucil</v>
      </c>
      <c r="O21" s="315" t="str">
        <f>IFERROR(TEXT(IF(K21="","",VLOOKUP(K21,CHOOSE({1,2},'Data Pengawas RA-MI'!$Q$5:$Q$62,'Data Pengawas RA-MI'!$G$5:$G$62),2,0)),"DD MMMM YYYY"),"")</f>
        <v>01 Juli 2023</v>
      </c>
      <c r="P21" s="315" t="str">
        <f t="shared" si="1"/>
        <v>Pengawas RA,MI Kec. Leces</v>
      </c>
      <c r="Q21" s="316" t="str">
        <f>IFERROR(IF(K21="","",VLOOKUP(K21,CHOOSE({1,2},'Data Pengawas RA-MI'!$Q$5:$Q$62,'Data Pengawas RA-MI'!$P$5:$P$62),2,0)),"")</f>
        <v>Maron</v>
      </c>
      <c r="U21" s="293" t="s">
        <v>5090</v>
      </c>
      <c r="W21" s="249" t="str">
        <f t="shared" si="2"/>
        <v>Pengawas RA,MI Kec. Leces</v>
      </c>
    </row>
    <row r="22" spans="2:23" ht="29">
      <c r="B22" s="525" t="s">
        <v>1962</v>
      </c>
      <c r="C22" s="532">
        <f>COUNTIF('RA DATA'!$J$3:$J$421,'PETA_WAS_RA-MI'!B22)</f>
        <v>11</v>
      </c>
      <c r="D22" s="322"/>
      <c r="E22" s="532">
        <f>COUNTIF('MI DATA'!$I$3:$I$417,'PETA_WAS_RA-MI'!B22)</f>
        <v>13</v>
      </c>
      <c r="F22" s="322"/>
      <c r="G22" s="532">
        <f>SUM(C22,E22)</f>
        <v>24</v>
      </c>
      <c r="H22" s="532">
        <f>'PETA-PENGAWAS'!H19</f>
        <v>2</v>
      </c>
      <c r="I22" s="328"/>
      <c r="J22" s="330">
        <f t="shared" si="3"/>
        <v>14</v>
      </c>
      <c r="K22" s="382" t="s">
        <v>244</v>
      </c>
      <c r="L22" s="321" t="str">
        <f>IFERROR(IF(K22="","",VLOOKUP(K22,CHOOSE({1,2},'Data Pengawas RA-MI'!$Q$5:$Q$62,'Data Pengawas RA-MI'!$D$5:$D$62),2,0)),"")</f>
        <v>L</v>
      </c>
      <c r="M22" s="324" t="str">
        <f>IFERROR(IF(K22="","",VLOOKUP(K22,CHOOSE({1,2},'Data Pengawas RA-MI'!$Q$5:$Q$62,'Data Pengawas RA-MI'!$N$5:$N$62),2,0)),"")</f>
        <v>06 Maret 2032</v>
      </c>
      <c r="N22" s="325" t="str">
        <f>IFERROR(IF(K22="","",VLOOKUP(K22,CHOOSE({1,2},'Data Pengawas RA-MI'!$Q$5:$Q$62,'Data Pengawas RA-MI'!$I$5:$I$62),2,0)),"")</f>
        <v>Pengawas RA,MI Kec. Tegalsiwalan</v>
      </c>
      <c r="O22" s="325" t="str">
        <f>IFERROR(TEXT(IF(K22="","",VLOOKUP(K22,CHOOSE({1,2},'Data Pengawas RA-MI'!$Q$5:$Q$62,'Data Pengawas RA-MI'!$G$5:$G$62),2,0)),"DD MMMM YYYY"),"")</f>
        <v>01 Juli 2024</v>
      </c>
      <c r="P22" s="325" t="str">
        <f t="shared" si="1"/>
        <v>Pengawas RA,MI Kec. Tegalsiwalan</v>
      </c>
      <c r="Q22" s="326" t="str">
        <f>IFERROR(IF(K22="","",VLOOKUP(K22,CHOOSE({1,2},'Data Pengawas RA-MI'!$Q$5:$Q$62,'Data Pengawas RA-MI'!$P$5:$P$62),2,0)),"")</f>
        <v>Leces</v>
      </c>
      <c r="U22" s="290" t="s">
        <v>5096</v>
      </c>
      <c r="W22" s="249" t="str">
        <f t="shared" si="2"/>
        <v>Pengawas RA,MI Kec. Tegalsiwalan</v>
      </c>
    </row>
    <row r="23" spans="2:23" ht="29">
      <c r="B23" s="526"/>
      <c r="C23" s="534"/>
      <c r="D23" s="322"/>
      <c r="E23" s="534"/>
      <c r="F23" s="322"/>
      <c r="G23" s="534"/>
      <c r="H23" s="534"/>
      <c r="I23" s="335"/>
      <c r="J23" s="330">
        <f t="shared" si="3"/>
        <v>15</v>
      </c>
      <c r="K23" s="382" t="s">
        <v>276</v>
      </c>
      <c r="L23" s="321" t="str">
        <f>IFERROR(IF(K23="","",VLOOKUP(K23,CHOOSE({1,2},'Data Pengawas RA-MI'!$Q$5:$Q$62,'Data Pengawas RA-MI'!$D$5:$D$62),2,0)),"")</f>
        <v>L</v>
      </c>
      <c r="M23" s="324" t="str">
        <f>IFERROR(IF(K23="","",VLOOKUP(K23,CHOOSE({1,2},'Data Pengawas RA-MI'!$Q$5:$Q$62,'Data Pengawas RA-MI'!$N$5:$N$62),2,0)),"")</f>
        <v>15 Maret 2041</v>
      </c>
      <c r="N23" s="325" t="str">
        <f>IFERROR(IF(K23="","",VLOOKUP(K23,CHOOSE({1,2},'Data Pengawas RA-MI'!$Q$5:$Q$62,'Data Pengawas RA-MI'!$I$5:$I$62),2,0)),"")</f>
        <v>Pengawas RA,MI Kec. Leces</v>
      </c>
      <c r="O23" s="325" t="str">
        <f>IFERROR(TEXT(IF(K23="","",VLOOKUP(K23,CHOOSE({1,2},'Data Pengawas RA-MI'!$Q$5:$Q$62,'Data Pengawas RA-MI'!$G$5:$G$62),2,0)),"DD MMMM YYYY"),"")</f>
        <v>24 April 2022</v>
      </c>
      <c r="P23" s="325" t="str">
        <f t="shared" si="1"/>
        <v>Pengawas RA,MI Kec. Tegalsiwalan</v>
      </c>
      <c r="Q23" s="326" t="str">
        <f>IFERROR(IF(K23="","",VLOOKUP(K23,CHOOSE({1,2},'Data Pengawas RA-MI'!$Q$5:$Q$62,'Data Pengawas RA-MI'!$P$5:$P$62),2,0)),"")</f>
        <v>Gending</v>
      </c>
      <c r="U23" s="290" t="s">
        <v>5096</v>
      </c>
      <c r="W23" s="249" t="str">
        <f t="shared" si="2"/>
        <v>Pengawas RA,MI Kec. Tegalsiwalan</v>
      </c>
    </row>
    <row r="24" spans="2:23" ht="29">
      <c r="B24" s="529" t="s">
        <v>736</v>
      </c>
      <c r="C24" s="535">
        <f>COUNTIF('RA DATA'!$J$3:$J$421,'PETA_WAS_RA-MI'!B24)</f>
        <v>31</v>
      </c>
      <c r="D24" s="311"/>
      <c r="E24" s="535">
        <f>COUNTIF('MI DATA'!$I$3:$I$417,'PETA_WAS_RA-MI'!B24)</f>
        <v>29</v>
      </c>
      <c r="F24" s="311"/>
      <c r="G24" s="535">
        <f>SUM(C24,E24)</f>
        <v>60</v>
      </c>
      <c r="H24" s="535">
        <f>'PETA-PENGAWAS'!H20</f>
        <v>4</v>
      </c>
      <c r="I24" s="318"/>
      <c r="J24" s="330">
        <f t="shared" si="3"/>
        <v>16</v>
      </c>
      <c r="K24" s="383" t="s">
        <v>289</v>
      </c>
      <c r="L24" s="317" t="str">
        <f>IFERROR(IF(K24="","",VLOOKUP(K24,CHOOSE({1,2},'Data Pengawas RA-MI'!$Q$5:$Q$62,'Data Pengawas RA-MI'!$D$5:$D$62),2,0)),"")</f>
        <v>L</v>
      </c>
      <c r="M24" s="314" t="str">
        <f>IFERROR(IF(K24="","",VLOOKUP(K24,CHOOSE({1,2},'Data Pengawas RA-MI'!$Q$5:$Q$62,'Data Pengawas RA-MI'!$N$5:$N$62),2,0)),"")</f>
        <v>05 Agustus 2038</v>
      </c>
      <c r="N24" s="315" t="str">
        <f>IFERROR(IF(K24="","",VLOOKUP(K24,CHOOSE({1,2},'Data Pengawas RA-MI'!$Q$5:$Q$62,'Data Pengawas RA-MI'!$I$5:$I$62),2,0)),"")</f>
        <v>Pengawas RA,MI Kec. Banyuanyar</v>
      </c>
      <c r="O24" s="315" t="str">
        <f>IFERROR(TEXT(IF(K24="","",VLOOKUP(K24,CHOOSE({1,2},'Data Pengawas RA-MI'!$Q$5:$Q$62,'Data Pengawas RA-MI'!$G$5:$G$62),2,0)),"DD MMMM YYYY"),"")</f>
        <v>01 Juli 2024</v>
      </c>
      <c r="P24" s="315" t="str">
        <f t="shared" si="1"/>
        <v>Pengawas RA,MI Kec. Banyuanyar</v>
      </c>
      <c r="Q24" s="316" t="str">
        <f>IFERROR(IF(K24="","",VLOOKUP(K24,CHOOSE({1,2},'Data Pengawas RA-MI'!$Q$5:$Q$62,'Data Pengawas RA-MI'!$P$5:$P$62),2,0)),"")</f>
        <v>Dringu</v>
      </c>
      <c r="U24" s="289" t="s">
        <v>5091</v>
      </c>
      <c r="W24" s="249" t="str">
        <f t="shared" si="2"/>
        <v>Pengawas RA,MI Kec. Banyuanyar</v>
      </c>
    </row>
    <row r="25" spans="2:23" ht="29">
      <c r="B25" s="551"/>
      <c r="C25" s="536"/>
      <c r="D25" s="311"/>
      <c r="E25" s="536"/>
      <c r="F25" s="311"/>
      <c r="G25" s="536"/>
      <c r="H25" s="536"/>
      <c r="I25" s="341"/>
      <c r="J25" s="330">
        <f t="shared" si="3"/>
        <v>17</v>
      </c>
      <c r="K25" s="383" t="s">
        <v>243</v>
      </c>
      <c r="L25" s="317" t="str">
        <f>IFERROR(IF(K25="","",VLOOKUP(K25,CHOOSE({1,2},'Data Pengawas RA-MI'!$Q$5:$Q$62,'Data Pengawas RA-MI'!$D$5:$D$62),2,0)),"")</f>
        <v>P</v>
      </c>
      <c r="M25" s="314" t="str">
        <f>IFERROR(IF(K25="","",VLOOKUP(K25,CHOOSE({1,2},'Data Pengawas RA-MI'!$Q$5:$Q$62,'Data Pengawas RA-MI'!$N$5:$N$62),2,0)),"")</f>
        <v>28 April 2029</v>
      </c>
      <c r="N25" s="315" t="str">
        <f>IFERROR(IF(K25="","",VLOOKUP(K25,CHOOSE({1,2},'Data Pengawas RA-MI'!$Q$5:$Q$62,'Data Pengawas RA-MI'!$I$5:$I$62),2,0)),"")</f>
        <v>Pengawas RA,MI Kec. Banyuanyar</v>
      </c>
      <c r="O25" s="315" t="str">
        <f>IFERROR(TEXT(IF(K25="","",VLOOKUP(K25,CHOOSE({1,2},'Data Pengawas RA-MI'!$Q$5:$Q$62,'Data Pengawas RA-MI'!$G$5:$G$62),2,0)),"DD MMMM YYYY"),"")</f>
        <v>01 Juli 2024</v>
      </c>
      <c r="P25" s="315" t="str">
        <f t="shared" si="1"/>
        <v>Pengawas RA,MI Kec. Banyuanyar</v>
      </c>
      <c r="Q25" s="316" t="str">
        <f>IFERROR(IF(K25="","",VLOOKUP(K25,CHOOSE({1,2},'Data Pengawas RA-MI'!$Q$5:$Q$62,'Data Pengawas RA-MI'!$P$5:$P$62),2,0)),"")</f>
        <v>Maron</v>
      </c>
      <c r="U25" s="289" t="s">
        <v>5091</v>
      </c>
      <c r="W25" s="249" t="str">
        <f t="shared" si="2"/>
        <v>Pengawas RA,MI Kec. Banyuanyar</v>
      </c>
    </row>
    <row r="26" spans="2:23" ht="29">
      <c r="B26" s="551"/>
      <c r="C26" s="536"/>
      <c r="D26" s="311"/>
      <c r="E26" s="536"/>
      <c r="F26" s="311"/>
      <c r="G26" s="536"/>
      <c r="H26" s="536"/>
      <c r="I26" s="341"/>
      <c r="J26" s="330">
        <f t="shared" si="3"/>
        <v>18</v>
      </c>
      <c r="K26" s="383" t="s">
        <v>262</v>
      </c>
      <c r="L26" s="317" t="str">
        <f>IFERROR(IF(K26="","",VLOOKUP(K26,CHOOSE({1,2},'Data Pengawas RA-MI'!$Q$5:$Q$62,'Data Pengawas RA-MI'!$D$5:$D$62),2,0)),"")</f>
        <v>L</v>
      </c>
      <c r="M26" s="314" t="str">
        <f>IFERROR(IF(K26="","",VLOOKUP(K26,CHOOSE({1,2},'Data Pengawas RA-MI'!$Q$5:$Q$62,'Data Pengawas RA-MI'!$N$5:$N$62),2,0)),"")</f>
        <v>30 Juni 2032</v>
      </c>
      <c r="N26" s="315" t="str">
        <f>IFERROR(IF(K26="","",VLOOKUP(K26,CHOOSE({1,2},'Data Pengawas RA-MI'!$Q$5:$Q$62,'Data Pengawas RA-MI'!$I$5:$I$62),2,0)),"")</f>
        <v>Pengawas RA,MI Kec. Banyuanyar</v>
      </c>
      <c r="O26" s="315" t="str">
        <f>IFERROR(TEXT(IF(K26="","",VLOOKUP(K26,CHOOSE({1,2},'Data Pengawas RA-MI'!$Q$5:$Q$62,'Data Pengawas RA-MI'!$G$5:$G$62),2,0)),"DD MMMM YYYY"),"")</f>
        <v>01 Juli 2024</v>
      </c>
      <c r="P26" s="315" t="str">
        <f t="shared" si="1"/>
        <v>Pengawas RA,MI Kec. Banyuanyar</v>
      </c>
      <c r="Q26" s="316" t="str">
        <f>IFERROR(IF(K26="","",VLOOKUP(K26,CHOOSE({1,2},'Data Pengawas RA-MI'!$Q$5:$Q$62,'Data Pengawas RA-MI'!$P$5:$P$62),2,0)),"")</f>
        <v>Maron</v>
      </c>
      <c r="U26" s="289" t="s">
        <v>5091</v>
      </c>
      <c r="W26" s="249" t="str">
        <f t="shared" si="2"/>
        <v>Pengawas RA,MI Kec. Banyuanyar</v>
      </c>
    </row>
    <row r="27" spans="2:23" ht="29">
      <c r="B27" s="530"/>
      <c r="C27" s="537"/>
      <c r="D27" s="311"/>
      <c r="E27" s="537"/>
      <c r="F27" s="311"/>
      <c r="G27" s="537"/>
      <c r="H27" s="537"/>
      <c r="I27" s="342"/>
      <c r="J27" s="330">
        <f t="shared" si="3"/>
        <v>19</v>
      </c>
      <c r="K27" s="383" t="s">
        <v>254</v>
      </c>
      <c r="L27" s="317" t="str">
        <f>IFERROR(IF(K27="","",VLOOKUP(K27,CHOOSE({1,2},'Data Pengawas RA-MI'!$Q$5:$Q$62,'Data Pengawas RA-MI'!$D$5:$D$62),2,0)),"")</f>
        <v>L</v>
      </c>
      <c r="M27" s="314" t="str">
        <f>IFERROR(IF(K27="","",VLOOKUP(K27,CHOOSE({1,2},'Data Pengawas RA-MI'!$Q$5:$Q$62,'Data Pengawas RA-MI'!$N$5:$N$62),2,0)),"")</f>
        <v>16 Agustus 2032</v>
      </c>
      <c r="N27" s="315" t="str">
        <f>IFERROR(IF(K27="","",VLOOKUP(K27,CHOOSE({1,2},'Data Pengawas RA-MI'!$Q$5:$Q$62,'Data Pengawas RA-MI'!$I$5:$I$62),2,0)),"")</f>
        <v>Pengawas RA, MI Kec. Tiris Barat</v>
      </c>
      <c r="O27" s="315" t="str">
        <f>IFERROR(TEXT(IF(K27="","",VLOOKUP(K27,CHOOSE({1,2},'Data Pengawas RA-MI'!$Q$5:$Q$62,'Data Pengawas RA-MI'!$G$5:$G$62),2,0)),"DD MMMM YYYY"),"")</f>
        <v>Lama sekali</v>
      </c>
      <c r="P27" s="315" t="str">
        <f t="shared" si="1"/>
        <v>Pengawas RA,MI Kec. Banyuanyar</v>
      </c>
      <c r="Q27" s="316" t="str">
        <f>IFERROR(IF(K27="","",VLOOKUP(K27,CHOOSE({1,2},'Data Pengawas RA-MI'!$Q$5:$Q$62,'Data Pengawas RA-MI'!$P$5:$P$62),2,0)),"")</f>
        <v>Gading</v>
      </c>
      <c r="U27" s="289" t="s">
        <v>5091</v>
      </c>
      <c r="W27" s="249" t="str">
        <f t="shared" si="2"/>
        <v>Pengawas RA,MI Kec. Banyuanyar</v>
      </c>
    </row>
    <row r="28" spans="2:23" ht="29">
      <c r="B28" s="544" t="s">
        <v>1588</v>
      </c>
      <c r="C28" s="532">
        <f>COUNTIF('RA DATA'!$J$3:$J$421,'PETA_WAS_RA-MI'!B28)</f>
        <v>27</v>
      </c>
      <c r="D28" s="322"/>
      <c r="E28" s="532">
        <f>COUNTIF('MI DATA'!$I$3:$I$417,'PETA_WAS_RA-MI'!B28)</f>
        <v>25</v>
      </c>
      <c r="F28" s="322"/>
      <c r="G28" s="532">
        <f>SUM(C28,E28)</f>
        <v>52</v>
      </c>
      <c r="H28" s="527">
        <f>'PETA-PENGAWAS'!H21</f>
        <v>4</v>
      </c>
      <c r="I28" s="323"/>
      <c r="J28" s="330">
        <f t="shared" si="3"/>
        <v>20</v>
      </c>
      <c r="K28" s="382" t="s">
        <v>270</v>
      </c>
      <c r="L28" s="321" t="str">
        <f>IFERROR(IF(K28="","",VLOOKUP(K28,CHOOSE({1,2},'Data Pengawas RA-MI'!$Q$5:$Q$62,'Data Pengawas RA-MI'!$D$5:$D$62),2,0)),"")</f>
        <v>L</v>
      </c>
      <c r="M28" s="324" t="str">
        <f>IFERROR(IF(K28="","",VLOOKUP(K28,CHOOSE({1,2},'Data Pengawas RA-MI'!$Q$5:$Q$62,'Data Pengawas RA-MI'!$N$5:$N$62),2,0)),"")</f>
        <v>02 Januari 2040</v>
      </c>
      <c r="N28" s="325" t="str">
        <f>IFERROR(IF(K28="","",VLOOKUP(K28,CHOOSE({1,2},'Data Pengawas RA-MI'!$Q$5:$Q$62,'Data Pengawas RA-MI'!$I$5:$I$62),2,0)),"")</f>
        <v>Pengawas RA,MI Kec. Maron</v>
      </c>
      <c r="O28" s="325" t="str">
        <f>IFERROR(TEXT(IF(K28="","",VLOOKUP(K28,CHOOSE({1,2},'Data Pengawas RA-MI'!$Q$5:$Q$62,'Data Pengawas RA-MI'!$G$5:$G$62),2,0)),"DD MMMM YYYY"),"")</f>
        <v>01 Juli 2024</v>
      </c>
      <c r="P28" s="325" t="str">
        <f t="shared" si="1"/>
        <v>Pengawas RA,MI Kec. Maron</v>
      </c>
      <c r="Q28" s="326" t="str">
        <f>IFERROR(IF(K28="","",VLOOKUP(K28,CHOOSE({1,2},'Data Pengawas RA-MI'!$Q$5:$Q$62,'Data Pengawas RA-MI'!$P$5:$P$62),2,0)),"")</f>
        <v>Maron</v>
      </c>
      <c r="U28" s="294" t="s">
        <v>5092</v>
      </c>
      <c r="W28" s="249" t="str">
        <f t="shared" si="2"/>
        <v>Pengawas RA,MI Kec. Maron</v>
      </c>
    </row>
    <row r="29" spans="2:23" ht="29">
      <c r="B29" s="545"/>
      <c r="C29" s="533"/>
      <c r="D29" s="322"/>
      <c r="E29" s="533"/>
      <c r="F29" s="322"/>
      <c r="G29" s="533"/>
      <c r="H29" s="531"/>
      <c r="I29" s="337"/>
      <c r="J29" s="330">
        <f t="shared" si="3"/>
        <v>21</v>
      </c>
      <c r="K29" s="382" t="s">
        <v>239</v>
      </c>
      <c r="L29" s="321" t="str">
        <f>IFERROR(IF(K29="","",VLOOKUP(K29,CHOOSE({1,2},'Data Pengawas RA-MI'!$Q$5:$Q$62,'Data Pengawas RA-MI'!$D$5:$D$62),2,0)),"")</f>
        <v>L</v>
      </c>
      <c r="M29" s="324" t="str">
        <f>IFERROR(IF(K29="","",VLOOKUP(K29,CHOOSE({1,2},'Data Pengawas RA-MI'!$Q$5:$Q$62,'Data Pengawas RA-MI'!$N$5:$N$62),2,0)),"")</f>
        <v>07 Mei 2028</v>
      </c>
      <c r="N29" s="325" t="str">
        <f>IFERROR(IF(K29="","",VLOOKUP(K29,CHOOSE({1,2},'Data Pengawas RA-MI'!$Q$5:$Q$62,'Data Pengawas RA-MI'!$I$5:$I$62),2,0)),"")</f>
        <v>Pengawas RA,MI Kec. Maron</v>
      </c>
      <c r="O29" s="325" t="str">
        <f>IFERROR(TEXT(IF(K29="","",VLOOKUP(K29,CHOOSE({1,2},'Data Pengawas RA-MI'!$Q$5:$Q$62,'Data Pengawas RA-MI'!$G$5:$G$62),2,0)),"DD MMMM YYYY"),"")</f>
        <v>01 Juli 2024</v>
      </c>
      <c r="P29" s="325" t="str">
        <f t="shared" si="1"/>
        <v>Pengawas RA,MI Kec. Maron</v>
      </c>
      <c r="Q29" s="326" t="str">
        <f>IFERROR(IF(K29="","",VLOOKUP(K29,CHOOSE({1,2},'Data Pengawas RA-MI'!$Q$5:$Q$62,'Data Pengawas RA-MI'!$P$5:$P$62),2,0)),"")</f>
        <v>Kraksaan</v>
      </c>
      <c r="U29" s="294" t="s">
        <v>5092</v>
      </c>
      <c r="W29" s="249" t="str">
        <f t="shared" si="2"/>
        <v>Pengawas RA,MI Kec. Maron</v>
      </c>
    </row>
    <row r="30" spans="2:23" ht="29">
      <c r="B30" s="545"/>
      <c r="C30" s="533"/>
      <c r="D30" s="322"/>
      <c r="E30" s="533"/>
      <c r="F30" s="322"/>
      <c r="G30" s="533"/>
      <c r="H30" s="531"/>
      <c r="I30" s="337"/>
      <c r="J30" s="330">
        <f t="shared" si="3"/>
        <v>22</v>
      </c>
      <c r="K30" s="382" t="s">
        <v>268</v>
      </c>
      <c r="L30" s="321" t="str">
        <f>IFERROR(IF(K30="","",VLOOKUP(K30,CHOOSE({1,2},'Data Pengawas RA-MI'!$Q$5:$Q$62,'Data Pengawas RA-MI'!$D$5:$D$62),2,0)),"")</f>
        <v>P</v>
      </c>
      <c r="M30" s="324" t="str">
        <f>IFERROR(IF(K30="","",VLOOKUP(K30,CHOOSE({1,2},'Data Pengawas RA-MI'!$Q$5:$Q$62,'Data Pengawas RA-MI'!$N$5:$N$62),2,0)),"")</f>
        <v>08 Maret 2029</v>
      </c>
      <c r="N30" s="325" t="str">
        <f>IFERROR(IF(K30="","",VLOOKUP(K30,CHOOSE({1,2},'Data Pengawas RA-MI'!$Q$5:$Q$62,'Data Pengawas RA-MI'!$I$5:$I$62),2,0)),"")</f>
        <v>Pengawas RA,MI Kec. Maron</v>
      </c>
      <c r="O30" s="325" t="str">
        <f>IFERROR(TEXT(IF(K30="","",VLOOKUP(K30,CHOOSE({1,2},'Data Pengawas RA-MI'!$Q$5:$Q$62,'Data Pengawas RA-MI'!$G$5:$G$62),2,0)),"DD MMMM YYYY"),"")</f>
        <v>01 Juli 2024</v>
      </c>
      <c r="P30" s="325" t="str">
        <f t="shared" si="1"/>
        <v>Pengawas RA,MI Kec. Maron</v>
      </c>
      <c r="Q30" s="326" t="str">
        <f>IFERROR(IF(K30="","",VLOOKUP(K30,CHOOSE({1,2},'Data Pengawas RA-MI'!$Q$5:$Q$62,'Data Pengawas RA-MI'!$P$5:$P$62),2,0)),"")</f>
        <v>Maron</v>
      </c>
      <c r="U30" s="294" t="s">
        <v>5092</v>
      </c>
      <c r="W30" s="249" t="str">
        <f t="shared" si="2"/>
        <v>Pengawas RA,MI Kec. Maron</v>
      </c>
    </row>
    <row r="31" spans="2:23" ht="29">
      <c r="B31" s="546"/>
      <c r="C31" s="534"/>
      <c r="D31" s="322"/>
      <c r="E31" s="534"/>
      <c r="F31" s="322"/>
      <c r="G31" s="534"/>
      <c r="H31" s="528"/>
      <c r="I31" s="338"/>
      <c r="J31" s="330">
        <f t="shared" si="3"/>
        <v>23</v>
      </c>
      <c r="K31" s="382" t="s">
        <v>269</v>
      </c>
      <c r="L31" s="321" t="str">
        <f>IFERROR(IF(K31="","",VLOOKUP(K31,CHOOSE({1,2},'Data Pengawas RA-MI'!$Q$5:$Q$62,'Data Pengawas RA-MI'!$D$5:$D$62),2,0)),"")</f>
        <v>L</v>
      </c>
      <c r="M31" s="324" t="str">
        <f>IFERROR(IF(K31="","",VLOOKUP(K31,CHOOSE({1,2},'Data Pengawas RA-MI'!$Q$5:$Q$62,'Data Pengawas RA-MI'!$N$5:$N$62),2,0)),"")</f>
        <v>31 Desember 2034</v>
      </c>
      <c r="N31" s="325" t="str">
        <f>IFERROR(IF(K31="","",VLOOKUP(K31,CHOOSE({1,2},'Data Pengawas RA-MI'!$Q$5:$Q$62,'Data Pengawas RA-MI'!$I$5:$I$62),2,0)),"")</f>
        <v>Pengawas RA,MI Kec. Maron</v>
      </c>
      <c r="O31" s="325" t="str">
        <f>IFERROR(TEXT(IF(K31="","",VLOOKUP(K31,CHOOSE({1,2},'Data Pengawas RA-MI'!$Q$5:$Q$62,'Data Pengawas RA-MI'!$G$5:$G$62),2,0)),"DD MMMM YYYY"),"")</f>
        <v>01 Oktober 2024</v>
      </c>
      <c r="P31" s="325" t="str">
        <f t="shared" si="1"/>
        <v>Pengawas RA,MI Kec. Maron</v>
      </c>
      <c r="Q31" s="326" t="str">
        <f>IFERROR(IF(K31="","",VLOOKUP(K31,CHOOSE({1,2},'Data Pengawas RA-MI'!$Q$5:$Q$62,'Data Pengawas RA-MI'!$P$5:$P$62),2,0)),"")</f>
        <v>Dringu</v>
      </c>
      <c r="U31" s="294" t="s">
        <v>5092</v>
      </c>
      <c r="W31" s="249" t="str">
        <f t="shared" si="2"/>
        <v>Pengawas RA,MI Kec. Maron</v>
      </c>
    </row>
    <row r="32" spans="2:23" ht="29">
      <c r="B32" s="538" t="s">
        <v>926</v>
      </c>
      <c r="C32" s="535">
        <f>COUNTIF('RA DATA'!$J$3:$J$421,'PETA_WAS_RA-MI'!B32)</f>
        <v>34</v>
      </c>
      <c r="D32" s="311"/>
      <c r="E32" s="541">
        <f>COUNTIF('MI DATA'!$I$3:$I$417,'PETA_WAS_RA-MI'!B32)</f>
        <v>34</v>
      </c>
      <c r="F32" s="311"/>
      <c r="G32" s="541">
        <f t="shared" si="0"/>
        <v>68</v>
      </c>
      <c r="H32" s="535">
        <f>'PETA-PENGAWAS'!H22</f>
        <v>4</v>
      </c>
      <c r="I32" s="318"/>
      <c r="J32" s="330">
        <f t="shared" si="3"/>
        <v>24</v>
      </c>
      <c r="K32" s="383" t="s">
        <v>300</v>
      </c>
      <c r="L32" s="317" t="str">
        <f>IFERROR(IF(K32="","",VLOOKUP(K32,CHOOSE({1,2},'Data Pengawas RA-MI'!$Q$5:$Q$62,'Data Pengawas RA-MI'!$D$5:$D$62),2,0)),"")</f>
        <v>L</v>
      </c>
      <c r="M32" s="314" t="str">
        <f>IFERROR(IF(K32="","",VLOOKUP(K32,CHOOSE({1,2},'Data Pengawas RA-MI'!$Q$5:$Q$62,'Data Pengawas RA-MI'!$N$5:$N$62),2,0)),"")</f>
        <v>27 September 2036</v>
      </c>
      <c r="N32" s="315" t="str">
        <f>IFERROR(IF(K32="","",VLOOKUP(K32,CHOOSE({1,2},'Data Pengawas RA-MI'!$Q$5:$Q$62,'Data Pengawas RA-MI'!$I$5:$I$62),2,0)),"")</f>
        <v>Pengawas RA,MI Kec. Gading</v>
      </c>
      <c r="O32" s="315" t="str">
        <f>IFERROR(TEXT(IF(K32="","",VLOOKUP(K32,CHOOSE({1,2},'Data Pengawas RA-MI'!$Q$5:$Q$62,'Data Pengawas RA-MI'!$G$5:$G$62),2,0)),"DD MMMM YYYY"),"")</f>
        <v>01 Juli 2024</v>
      </c>
      <c r="P32" s="315" t="str">
        <f t="shared" si="1"/>
        <v>Pengawas RA,MI Kec. Gading</v>
      </c>
      <c r="Q32" s="316" t="str">
        <f>IFERROR(IF(K32="","",VLOOKUP(K32,CHOOSE({1,2},'Data Pengawas RA-MI'!$Q$5:$Q$62,'Data Pengawas RA-MI'!$P$5:$P$62),2,0)),"")</f>
        <v>Krejengan</v>
      </c>
      <c r="U32" s="293" t="s">
        <v>5086</v>
      </c>
      <c r="W32" s="249" t="str">
        <f t="shared" si="2"/>
        <v>Pengawas RA,MI Kec. Gading</v>
      </c>
    </row>
    <row r="33" spans="2:23" ht="29">
      <c r="B33" s="539"/>
      <c r="C33" s="536"/>
      <c r="D33" s="311"/>
      <c r="E33" s="542"/>
      <c r="F33" s="311"/>
      <c r="G33" s="542"/>
      <c r="H33" s="536"/>
      <c r="I33" s="341"/>
      <c r="J33" s="330">
        <f t="shared" si="3"/>
        <v>25</v>
      </c>
      <c r="K33" s="383" t="s">
        <v>303</v>
      </c>
      <c r="L33" s="317" t="str">
        <f>IFERROR(IF(K33="","",VLOOKUP(K33,CHOOSE({1,2},'Data Pengawas RA-MI'!$Q$5:$Q$62,'Data Pengawas RA-MI'!$D$5:$D$62),2,0)),"")</f>
        <v>P</v>
      </c>
      <c r="M33" s="314" t="str">
        <f>IFERROR(IF(K33="","",VLOOKUP(K33,CHOOSE({1,2},'Data Pengawas RA-MI'!$Q$5:$Q$62,'Data Pengawas RA-MI'!$N$5:$N$62),2,0)),"")</f>
        <v>17 Januari 2033</v>
      </c>
      <c r="N33" s="315" t="str">
        <f>IFERROR(IF(K33="","",VLOOKUP(K33,CHOOSE({1,2},'Data Pengawas RA-MI'!$Q$5:$Q$62,'Data Pengawas RA-MI'!$I$5:$I$62),2,0)),"")</f>
        <v>Pengawas RA,MI Kec. Gading</v>
      </c>
      <c r="O33" s="315" t="str">
        <f>IFERROR(TEXT(IF(K33="","",VLOOKUP(K33,CHOOSE({1,2},'Data Pengawas RA-MI'!$Q$5:$Q$62,'Data Pengawas RA-MI'!$G$5:$G$62),2,0)),"DD MMMM YYYY"),"")</f>
        <v>01 Juli 2024</v>
      </c>
      <c r="P33" s="315" t="str">
        <f t="shared" si="1"/>
        <v>Pengawas RA,MI Kec. Gading</v>
      </c>
      <c r="Q33" s="316" t="str">
        <f>IFERROR(IF(K33="","",VLOOKUP(K33,CHOOSE({1,2},'Data Pengawas RA-MI'!$Q$5:$Q$62,'Data Pengawas RA-MI'!$P$5:$P$62),2,0)),"")</f>
        <v>Kraksaan</v>
      </c>
      <c r="U33" s="293" t="s">
        <v>5086</v>
      </c>
      <c r="W33" s="249" t="str">
        <f t="shared" si="2"/>
        <v>Pengawas RA,MI Kec. Gading</v>
      </c>
    </row>
    <row r="34" spans="2:23" ht="29">
      <c r="B34" s="539"/>
      <c r="C34" s="536"/>
      <c r="D34" s="311"/>
      <c r="E34" s="542"/>
      <c r="F34" s="311"/>
      <c r="G34" s="542"/>
      <c r="H34" s="536"/>
      <c r="I34" s="341"/>
      <c r="J34" s="330">
        <f t="shared" si="3"/>
        <v>26</v>
      </c>
      <c r="K34" s="384" t="s">
        <v>272</v>
      </c>
      <c r="L34" s="317" t="str">
        <f>IFERROR(IF(K34="","",VLOOKUP(K34,CHOOSE({1,2},'Data Pengawas RA-MI'!$Q$5:$Q$62,'Data Pengawas RA-MI'!$D$5:$D$62),2,0)),"")</f>
        <v>L</v>
      </c>
      <c r="M34" s="314" t="str">
        <f>IFERROR(IF(K34="","",VLOOKUP(K34,CHOOSE({1,2},'Data Pengawas RA-MI'!$Q$5:$Q$62,'Data Pengawas RA-MI'!$N$5:$N$62),2,0)),"")</f>
        <v>16 Juni 2036</v>
      </c>
      <c r="N34" s="315" t="str">
        <f>IFERROR(IF(K34="","",VLOOKUP(K34,CHOOSE({1,2},'Data Pengawas RA-MI'!$Q$5:$Q$62,'Data Pengawas RA-MI'!$I$5:$I$62),2,0)),"")</f>
        <v>Pengawas RA,MI Kec. Krucil</v>
      </c>
      <c r="O34" s="315" t="str">
        <f>IFERROR(TEXT(IF(K34="","",VLOOKUP(K34,CHOOSE({1,2},'Data Pengawas RA-MI'!$Q$5:$Q$62,'Data Pengawas RA-MI'!$G$5:$G$62),2,0)),"DD MMMM YYYY"),"")</f>
        <v>03 November 2022</v>
      </c>
      <c r="P34" s="315" t="str">
        <f t="shared" si="1"/>
        <v>Pengawas RA,MI Kec. Gading</v>
      </c>
      <c r="Q34" s="316" t="str">
        <f>IFERROR(IF(K34="","",VLOOKUP(K34,CHOOSE({1,2},'Data Pengawas RA-MI'!$Q$5:$Q$62,'Data Pengawas RA-MI'!$P$5:$P$62),2,0)),"")</f>
        <v>Krucil</v>
      </c>
      <c r="U34" s="293" t="s">
        <v>5086</v>
      </c>
      <c r="W34" s="249" t="str">
        <f t="shared" ref="W34" si="5">"Pengawas RA,MI Kec. "&amp;U34</f>
        <v>Pengawas RA,MI Kec. Gading</v>
      </c>
    </row>
    <row r="35" spans="2:23" ht="29">
      <c r="B35" s="540"/>
      <c r="C35" s="537"/>
      <c r="D35" s="311"/>
      <c r="E35" s="543"/>
      <c r="F35" s="311"/>
      <c r="G35" s="543"/>
      <c r="H35" s="537"/>
      <c r="I35" s="342"/>
      <c r="J35" s="330">
        <f t="shared" si="3"/>
        <v>27</v>
      </c>
      <c r="K35" s="383" t="s">
        <v>302</v>
      </c>
      <c r="L35" s="317" t="str">
        <f>IFERROR(IF(K35="","",VLOOKUP(K35,CHOOSE({1,2},'Data Pengawas RA-MI'!$Q$5:$Q$62,'Data Pengawas RA-MI'!$D$5:$D$62),2,0)),"")</f>
        <v>L</v>
      </c>
      <c r="M35" s="314" t="str">
        <f>IFERROR(IF(K35="","",VLOOKUP(K35,CHOOSE({1,2},'Data Pengawas RA-MI'!$Q$5:$Q$62,'Data Pengawas RA-MI'!$N$5:$N$62),2,0)),"")</f>
        <v>13 Juli 2043</v>
      </c>
      <c r="N35" s="315" t="str">
        <f>IFERROR(IF(K35="","",VLOOKUP(K35,CHOOSE({1,2},'Data Pengawas RA-MI'!$Q$5:$Q$62,'Data Pengawas RA-MI'!$I$5:$I$62),2,0)),"")</f>
        <v>Pengawas RA,MI Kec. Kraksaan</v>
      </c>
      <c r="O35" s="315" t="str">
        <f>IFERROR(TEXT(IF(K35="","",VLOOKUP(K35,CHOOSE({1,2},'Data Pengawas RA-MI'!$Q$5:$Q$62,'Data Pengawas RA-MI'!$G$5:$G$62),2,0)),"DD MMMM YYYY"),"")</f>
        <v>03 November 2022</v>
      </c>
      <c r="P35" s="315" t="str">
        <f t="shared" si="1"/>
        <v>Pengawas RA,MI Kec. Gading</v>
      </c>
      <c r="Q35" s="316" t="str">
        <f>IFERROR(IF(K35="","",VLOOKUP(K35,CHOOSE({1,2},'Data Pengawas RA-MI'!$Q$5:$Q$62,'Data Pengawas RA-MI'!$P$5:$P$62),2,0)),"")</f>
        <v>Paiton</v>
      </c>
      <c r="U35" s="293" t="s">
        <v>5086</v>
      </c>
      <c r="W35" s="249" t="str">
        <f t="shared" si="2"/>
        <v>Pengawas RA,MI Kec. Gading</v>
      </c>
    </row>
    <row r="36" spans="2:23" ht="29">
      <c r="B36" s="547" t="s">
        <v>2234</v>
      </c>
      <c r="C36" s="532">
        <f>COUNTIF('RA DATA'!$J$3:$J$421,'PETA_WAS_RA-MI'!B36)</f>
        <v>24</v>
      </c>
      <c r="D36" s="322"/>
      <c r="E36" s="532">
        <f>COUNTIF('MI DATA'!$I$3:$I$417,'PETA_WAS_RA-MI'!B36)</f>
        <v>26</v>
      </c>
      <c r="F36" s="322"/>
      <c r="G36" s="532">
        <f t="shared" si="0"/>
        <v>50</v>
      </c>
      <c r="H36" s="532">
        <f>'PETA-PENGAWAS'!H24</f>
        <v>3</v>
      </c>
      <c r="I36" s="328"/>
      <c r="J36" s="330">
        <f t="shared" si="3"/>
        <v>28</v>
      </c>
      <c r="K36" s="382" t="s">
        <v>259</v>
      </c>
      <c r="L36" s="321" t="str">
        <f>IFERROR(IF(K36="","",VLOOKUP(K36,CHOOSE({1,2},'Data Pengawas RA-MI'!$Q$5:$Q$62,'Data Pengawas RA-MI'!$D$5:$D$62),2,0)),"")</f>
        <v>P</v>
      </c>
      <c r="M36" s="324" t="str">
        <f>IFERROR(IF(K36="","",VLOOKUP(K36,CHOOSE({1,2},'Data Pengawas RA-MI'!$Q$5:$Q$62,'Data Pengawas RA-MI'!$N$5:$N$62),2,0)),"")</f>
        <v>15 Oktober 2039</v>
      </c>
      <c r="N36" s="325" t="str">
        <f>IFERROR(IF(K36="","",VLOOKUP(K36,CHOOSE({1,2},'Data Pengawas RA-MI'!$Q$5:$Q$62,'Data Pengawas RA-MI'!$I$5:$I$62),2,0)),"")</f>
        <v>Pengawas RA,MI Kec. Dringu, Gending</v>
      </c>
      <c r="O36" s="325" t="str">
        <f>IFERROR(TEXT(IF(K36="","",VLOOKUP(K36,CHOOSE({1,2},'Data Pengawas RA-MI'!$Q$5:$Q$62,'Data Pengawas RA-MI'!$G$5:$G$62),2,0)),"DD MMMM YYYY"),"")</f>
        <v>03 Juni 2023</v>
      </c>
      <c r="P36" s="325" t="str">
        <f t="shared" si="1"/>
        <v>Pengawas RA,MI Kec. Tiris Barat</v>
      </c>
      <c r="Q36" s="326" t="str">
        <f>IFERROR(IF(K36="","",VLOOKUP(K36,CHOOSE({1,2},'Data Pengawas RA-MI'!$Q$5:$Q$62,'Data Pengawas RA-MI'!$P$5:$P$62),2,0)),"")</f>
        <v>Maron</v>
      </c>
      <c r="U36" s="295" t="s">
        <v>5114</v>
      </c>
      <c r="W36" s="249" t="str">
        <f t="shared" si="2"/>
        <v>Pengawas RA,MI Kec. Tiris Barat</v>
      </c>
    </row>
    <row r="37" spans="2:23" ht="29">
      <c r="B37" s="548"/>
      <c r="C37" s="533"/>
      <c r="D37" s="322"/>
      <c r="E37" s="533"/>
      <c r="F37" s="322"/>
      <c r="G37" s="533"/>
      <c r="H37" s="533"/>
      <c r="I37" s="334"/>
      <c r="J37" s="330">
        <f t="shared" si="3"/>
        <v>29</v>
      </c>
      <c r="K37" s="382" t="s">
        <v>266</v>
      </c>
      <c r="L37" s="321" t="str">
        <f>IFERROR(IF(K37="","",VLOOKUP(K37,CHOOSE({1,2},'Data Pengawas RA-MI'!$Q$5:$Q$62,'Data Pengawas RA-MI'!$D$5:$D$62),2,0)),"")</f>
        <v>L</v>
      </c>
      <c r="M37" s="324" t="str">
        <f>IFERROR(IF(K37="","",VLOOKUP(K37,CHOOSE({1,2},'Data Pengawas RA-MI'!$Q$5:$Q$62,'Data Pengawas RA-MI'!$N$5:$N$62),2,0)),"")</f>
        <v>05 Juli 2036</v>
      </c>
      <c r="N37" s="325" t="str">
        <f>IFERROR(IF(K37="","",VLOOKUP(K37,CHOOSE({1,2},'Data Pengawas RA-MI'!$Q$5:$Q$62,'Data Pengawas RA-MI'!$I$5:$I$62),2,0)),"")</f>
        <v>Pengawas RA, MI Kec. Tiris Barat</v>
      </c>
      <c r="O37" s="325" t="str">
        <f>IFERROR(TEXT(IF(K37="","",VLOOKUP(K37,CHOOSE({1,2},'Data Pengawas RA-MI'!$Q$5:$Q$62,'Data Pengawas RA-MI'!$G$5:$G$62),2,0)),"DD MMMM YYYY"),"")</f>
        <v>01 Juni 2023</v>
      </c>
      <c r="P37" s="325" t="str">
        <f t="shared" si="1"/>
        <v>Pengawas RA,MI Kec. Tiris Barat</v>
      </c>
      <c r="Q37" s="326" t="str">
        <f>IFERROR(IF(K37="","",VLOOKUP(K37,CHOOSE({1,2},'Data Pengawas RA-MI'!$Q$5:$Q$62,'Data Pengawas RA-MI'!$P$5:$P$62),2,0)),"")</f>
        <v>Gending</v>
      </c>
      <c r="U37" s="295" t="s">
        <v>5114</v>
      </c>
      <c r="W37" s="249" t="str">
        <f t="shared" si="2"/>
        <v>Pengawas RA,MI Kec. Tiris Barat</v>
      </c>
    </row>
    <row r="38" spans="2:23" ht="29">
      <c r="B38" s="548"/>
      <c r="C38" s="533"/>
      <c r="D38" s="322"/>
      <c r="E38" s="533"/>
      <c r="F38" s="322"/>
      <c r="G38" s="533"/>
      <c r="H38" s="533"/>
      <c r="I38" s="334"/>
      <c r="J38" s="330">
        <f t="shared" si="3"/>
        <v>30</v>
      </c>
      <c r="K38" s="382" t="s">
        <v>267</v>
      </c>
      <c r="L38" s="321" t="str">
        <f>IFERROR(IF(K38="","",VLOOKUP(K38,CHOOSE({1,2},'Data Pengawas RA-MI'!$Q$5:$Q$62,'Data Pengawas RA-MI'!$D$5:$D$62),2,0)),"")</f>
        <v>L</v>
      </c>
      <c r="M38" s="324" t="str">
        <f>IFERROR(IF(K38="","",VLOOKUP(K38,CHOOSE({1,2},'Data Pengawas RA-MI'!$Q$5:$Q$62,'Data Pengawas RA-MI'!$N$5:$N$62),2,0)),"")</f>
        <v>05 Mei 2037</v>
      </c>
      <c r="N38" s="325" t="str">
        <f>IFERROR(IF(K38="","",VLOOKUP(K38,CHOOSE({1,2},'Data Pengawas RA-MI'!$Q$5:$Q$62,'Data Pengawas RA-MI'!$I$5:$I$62),2,0)),"")</f>
        <v>Pengawas RA, MI Kec. Tiris Timur</v>
      </c>
      <c r="O38" s="325" t="str">
        <f>IFERROR(TEXT(IF(K38="","",VLOOKUP(K38,CHOOSE({1,2},'Data Pengawas RA-MI'!$Q$5:$Q$62,'Data Pengawas RA-MI'!$G$5:$G$62),2,0)),"DD MMMM YYYY"),"")</f>
        <v>01 Juli 2024</v>
      </c>
      <c r="P38" s="325" t="str">
        <f t="shared" si="1"/>
        <v>Pengawas RA,MI Kec. Tiris Barat</v>
      </c>
      <c r="Q38" s="326" t="str">
        <f>IFERROR(IF(K38="","",VLOOKUP(K38,CHOOSE({1,2},'Data Pengawas RA-MI'!$Q$5:$Q$62,'Data Pengawas RA-MI'!$P$5:$P$62),2,0)),"")</f>
        <v>Banyuanyar</v>
      </c>
      <c r="U38" s="295" t="s">
        <v>5114</v>
      </c>
      <c r="W38" s="249" t="str">
        <f t="shared" si="2"/>
        <v>Pengawas RA,MI Kec. Tiris Barat</v>
      </c>
    </row>
    <row r="39" spans="2:23" ht="29">
      <c r="B39" s="549" t="s">
        <v>2235</v>
      </c>
      <c r="C39" s="541">
        <f>COUNTIF('RA DATA'!$J$3:$J$421,'PETA_WAS_RA-MI'!B39)</f>
        <v>16</v>
      </c>
      <c r="D39" s="311"/>
      <c r="E39" s="541">
        <f>COUNTIF('MI DATA'!$I$3:$I$417,'PETA_WAS_RA-MI'!B39)</f>
        <v>25</v>
      </c>
      <c r="F39" s="311"/>
      <c r="G39" s="541">
        <f t="shared" si="0"/>
        <v>41</v>
      </c>
      <c r="H39" s="535">
        <f>'PETA-PENGAWAS'!H25</f>
        <v>3</v>
      </c>
      <c r="I39" s="318"/>
      <c r="J39" s="330">
        <f t="shared" si="3"/>
        <v>31</v>
      </c>
      <c r="K39" s="383" t="s">
        <v>301</v>
      </c>
      <c r="L39" s="317" t="str">
        <f>IFERROR(IF(K39="","",VLOOKUP(K39,CHOOSE({1,2},'Data Pengawas RA-MI'!$Q$5:$Q$62,'Data Pengawas RA-MI'!$D$5:$D$62),2,0)),"")</f>
        <v>P</v>
      </c>
      <c r="M39" s="314" t="str">
        <f>IFERROR(IF(K39="","",VLOOKUP(K39,CHOOSE({1,2},'Data Pengawas RA-MI'!$Q$5:$Q$62,'Data Pengawas RA-MI'!$N$5:$N$62),2,0)),"")</f>
        <v>12 Januari 2043</v>
      </c>
      <c r="N39" s="315" t="str">
        <f>IFERROR(IF(K39="","",VLOOKUP(K39,CHOOSE({1,2},'Data Pengawas RA-MI'!$Q$5:$Q$62,'Data Pengawas RA-MI'!$I$5:$I$62),2,0)),"")</f>
        <v>Pengawas RA, MI Kec. Tiris Timur</v>
      </c>
      <c r="O39" s="315" t="str">
        <f>IFERROR(TEXT(IF(K39="","",VLOOKUP(K39,CHOOSE({1,2},'Data Pengawas RA-MI'!$Q$5:$Q$62,'Data Pengawas RA-MI'!$G$5:$G$62),2,0)),"DD MMMM YYYY"),"")</f>
        <v>03 November 2022</v>
      </c>
      <c r="P39" s="315" t="str">
        <f t="shared" si="1"/>
        <v>Pengawas RA,MI Kec. Tiris Timur</v>
      </c>
      <c r="Q39" s="316" t="str">
        <f>IFERROR(IF(K39="","",VLOOKUP(K39,CHOOSE({1,2},'Data Pengawas RA-MI'!$Q$5:$Q$62,'Data Pengawas RA-MI'!$P$5:$P$62),2,0)),"")</f>
        <v>Tiris</v>
      </c>
      <c r="U39" s="296" t="s">
        <v>5115</v>
      </c>
      <c r="W39" s="249" t="str">
        <f t="shared" si="2"/>
        <v>Pengawas RA,MI Kec. Tiris Timur</v>
      </c>
    </row>
    <row r="40" spans="2:23" ht="29">
      <c r="B40" s="550"/>
      <c r="C40" s="542"/>
      <c r="D40" s="311"/>
      <c r="E40" s="542"/>
      <c r="F40" s="311"/>
      <c r="G40" s="542"/>
      <c r="H40" s="536"/>
      <c r="I40" s="341"/>
      <c r="J40" s="330">
        <f t="shared" si="3"/>
        <v>32</v>
      </c>
      <c r="K40" s="383" t="s">
        <v>280</v>
      </c>
      <c r="L40" s="317" t="str">
        <f>IFERROR(IF(K40="","",VLOOKUP(K40,CHOOSE({1,2},'Data Pengawas RA-MI'!$Q$5:$Q$62,'Data Pengawas RA-MI'!$D$5:$D$62),2,0)),"")</f>
        <v>L</v>
      </c>
      <c r="M40" s="314" t="str">
        <f>IFERROR(IF(K40="","",VLOOKUP(K40,CHOOSE({1,2},'Data Pengawas RA-MI'!$Q$5:$Q$62,'Data Pengawas RA-MI'!$N$5:$N$62),2,0)),"")</f>
        <v>24 Juni 2038</v>
      </c>
      <c r="N40" s="315" t="str">
        <f>IFERROR(IF(K40="","",VLOOKUP(K40,CHOOSE({1,2},'Data Pengawas RA-MI'!$Q$5:$Q$62,'Data Pengawas RA-MI'!$I$5:$I$62),2,0)),"")</f>
        <v>Pengawas RA, MI Kec. Tiris Timur</v>
      </c>
      <c r="O40" s="315" t="str">
        <f>IFERROR(TEXT(IF(K40="","",VLOOKUP(K40,CHOOSE({1,2},'Data Pengawas RA-MI'!$Q$5:$Q$62,'Data Pengawas RA-MI'!$G$5:$G$62),2,0)),"DD MMMM YYYY"),"")</f>
        <v>01 Juli 2024</v>
      </c>
      <c r="P40" s="315" t="str">
        <f t="shared" si="1"/>
        <v>Pengawas RA,MI Kec. Tiris Timur</v>
      </c>
      <c r="Q40" s="316" t="str">
        <f>IFERROR(IF(K40="","",VLOOKUP(K40,CHOOSE({1,2},'Data Pengawas RA-MI'!$Q$5:$Q$62,'Data Pengawas RA-MI'!$P$5:$P$62),2,0)),"")</f>
        <v>Tegalsiwalan</v>
      </c>
      <c r="U40" s="296" t="s">
        <v>5115</v>
      </c>
      <c r="W40" s="249" t="str">
        <f t="shared" si="2"/>
        <v>Pengawas RA,MI Kec. Tiris Timur</v>
      </c>
    </row>
    <row r="41" spans="2:23" ht="29">
      <c r="B41" s="525" t="s">
        <v>1346</v>
      </c>
      <c r="C41" s="532">
        <f>COUNTIF('RA DATA'!$J$3:$J$421,'PETA_WAS_RA-MI'!B41)</f>
        <v>35</v>
      </c>
      <c r="D41" s="322"/>
      <c r="E41" s="532">
        <f>COUNTIF('MI DATA'!$I$3:$I$417,'PETA_WAS_RA-MI'!B41)</f>
        <v>35</v>
      </c>
      <c r="F41" s="322"/>
      <c r="G41" s="527">
        <f t="shared" si="0"/>
        <v>70</v>
      </c>
      <c r="H41" s="527">
        <f>'PETA-PENGAWAS'!H26</f>
        <v>4</v>
      </c>
      <c r="I41" s="323"/>
      <c r="J41" s="330">
        <f t="shared" si="3"/>
        <v>33</v>
      </c>
      <c r="K41" s="382" t="s">
        <v>296</v>
      </c>
      <c r="L41" s="321" t="str">
        <f>IFERROR(IF(K41="","",VLOOKUP(K41,CHOOSE({1,2},'Data Pengawas RA-MI'!$Q$5:$Q$62,'Data Pengawas RA-MI'!$D$5:$D$62),2,0)),"")</f>
        <v>P</v>
      </c>
      <c r="M41" s="324" t="str">
        <f>IFERROR(IF(K41="","",VLOOKUP(K41,CHOOSE({1,2},'Data Pengawas RA-MI'!$Q$5:$Q$62,'Data Pengawas RA-MI'!$N$5:$N$62),2,0)),"")</f>
        <v>23 November 2029</v>
      </c>
      <c r="N41" s="325" t="str">
        <f>IFERROR(IF(K41="","",VLOOKUP(K41,CHOOSE({1,2},'Data Pengawas RA-MI'!$Q$5:$Q$62,'Data Pengawas RA-MI'!$I$5:$I$62),2,0)),"")</f>
        <v>Pengawas RA,MI Kec. Krucil</v>
      </c>
      <c r="O41" s="325" t="str">
        <f>IFERROR(TEXT(IF(K41="","",VLOOKUP(K41,CHOOSE({1,2},'Data Pengawas RA-MI'!$Q$5:$Q$62,'Data Pengawas RA-MI'!$G$5:$G$62),2,0)),"DD MMMM YYYY"),"")</f>
        <v>19 September 2022</v>
      </c>
      <c r="P41" s="325" t="str">
        <f t="shared" ref="P41:P65" si="6">IFERROR(IF(K41="x","",W41),"")</f>
        <v>Pengawas RA,MI Kec. Krucil</v>
      </c>
      <c r="Q41" s="326" t="str">
        <f>IFERROR(IF(K41="","",VLOOKUP(K41,CHOOSE({1,2},'Data Pengawas RA-MI'!$Q$5:$Q$62,'Data Pengawas RA-MI'!$P$5:$P$62),2,0)),"")</f>
        <v>Krucil</v>
      </c>
      <c r="U41" s="290" t="s">
        <v>5093</v>
      </c>
      <c r="W41" s="249" t="str">
        <f t="shared" si="2"/>
        <v>Pengawas RA,MI Kec. Krucil</v>
      </c>
    </row>
    <row r="42" spans="2:23" ht="29">
      <c r="B42" s="552"/>
      <c r="C42" s="533"/>
      <c r="D42" s="322"/>
      <c r="E42" s="533"/>
      <c r="F42" s="322"/>
      <c r="G42" s="531"/>
      <c r="H42" s="531"/>
      <c r="I42" s="337"/>
      <c r="J42" s="330">
        <f t="shared" si="3"/>
        <v>34</v>
      </c>
      <c r="K42" s="382" t="s">
        <v>263</v>
      </c>
      <c r="L42" s="321" t="str">
        <f>IFERROR(IF(K42="","",VLOOKUP(K42,CHOOSE({1,2},'Data Pengawas RA-MI'!$Q$5:$Q$62,'Data Pengawas RA-MI'!$D$5:$D$62),2,0)),"")</f>
        <v>P</v>
      </c>
      <c r="M42" s="324" t="str">
        <f>IFERROR(IF(K42="","",VLOOKUP(K42,CHOOSE({1,2},'Data Pengawas RA-MI'!$Q$5:$Q$62,'Data Pengawas RA-MI'!$N$5:$N$62),2,0)),"")</f>
        <v>07 Oktober 2026</v>
      </c>
      <c r="N42" s="325" t="str">
        <f>IFERROR(IF(K42="","",VLOOKUP(K42,CHOOSE({1,2},'Data Pengawas RA-MI'!$Q$5:$Q$62,'Data Pengawas RA-MI'!$I$5:$I$62),2,0)),"")</f>
        <v>Pengawas RA,MI Kec. Krucil</v>
      </c>
      <c r="O42" s="325" t="str">
        <f>IFERROR(TEXT(IF(K42="","",VLOOKUP(K42,CHOOSE({1,2},'Data Pengawas RA-MI'!$Q$5:$Q$62,'Data Pengawas RA-MI'!$G$5:$G$62),2,0)),"DD MMMM YYYY"),"")</f>
        <v>03 November 2022</v>
      </c>
      <c r="P42" s="325" t="str">
        <f t="shared" si="6"/>
        <v>Pengawas RA,MI Kec. Krucil</v>
      </c>
      <c r="Q42" s="326" t="str">
        <f>IFERROR(IF(K42="","",VLOOKUP(K42,CHOOSE({1,2},'Data Pengawas RA-MI'!$Q$5:$Q$62,'Data Pengawas RA-MI'!$P$5:$P$62),2,0)),"")</f>
        <v>Krucil</v>
      </c>
      <c r="U42" s="290" t="s">
        <v>5093</v>
      </c>
      <c r="W42" s="249" t="str">
        <f t="shared" si="2"/>
        <v>Pengawas RA,MI Kec. Krucil</v>
      </c>
    </row>
    <row r="43" spans="2:23" ht="29">
      <c r="B43" s="552"/>
      <c r="C43" s="533"/>
      <c r="D43" s="322"/>
      <c r="E43" s="533"/>
      <c r="F43" s="322"/>
      <c r="G43" s="531"/>
      <c r="H43" s="531"/>
      <c r="I43" s="337"/>
      <c r="J43" s="330">
        <f t="shared" si="3"/>
        <v>35</v>
      </c>
      <c r="K43" s="382" t="s">
        <v>258</v>
      </c>
      <c r="L43" s="321" t="str">
        <f>IFERROR(IF(K43="","",VLOOKUP(K43,CHOOSE({1,2},'Data Pengawas RA-MI'!$Q$5:$Q$62,'Data Pengawas RA-MI'!$D$5:$D$62),2,0)),"")</f>
        <v>L</v>
      </c>
      <c r="M43" s="324" t="str">
        <f>IFERROR(IF(K43="","",VLOOKUP(K43,CHOOSE({1,2},'Data Pengawas RA-MI'!$Q$5:$Q$62,'Data Pengawas RA-MI'!$N$5:$N$62),2,0)),"")</f>
        <v>07 Maret 2033</v>
      </c>
      <c r="N43" s="325" t="str">
        <f>IFERROR(IF(K43="","",VLOOKUP(K43,CHOOSE({1,2},'Data Pengawas RA-MI'!$Q$5:$Q$62,'Data Pengawas RA-MI'!$I$5:$I$62),2,0)),"")</f>
        <v>Pengawas RA,MI Kec. Krejengan</v>
      </c>
      <c r="O43" s="325" t="str">
        <f>IFERROR(TEXT(IF(K43="","",VLOOKUP(K43,CHOOSE({1,2},'Data Pengawas RA-MI'!$Q$5:$Q$62,'Data Pengawas RA-MI'!$G$5:$G$62),2,0)),"DD MMMM YYYY"),"")</f>
        <v>01 Maret 2016</v>
      </c>
      <c r="P43" s="325" t="str">
        <f t="shared" si="6"/>
        <v>Pengawas RA,MI Kec. Krucil</v>
      </c>
      <c r="Q43" s="326" t="str">
        <f>IFERROR(IF(K43="","",VLOOKUP(K43,CHOOSE({1,2},'Data Pengawas RA-MI'!$Q$5:$Q$62,'Data Pengawas RA-MI'!$P$5:$P$62),2,0)),"")</f>
        <v>Gading</v>
      </c>
      <c r="U43" s="290" t="s">
        <v>5093</v>
      </c>
      <c r="W43" s="249" t="str">
        <f t="shared" si="2"/>
        <v>Pengawas RA,MI Kec. Krucil</v>
      </c>
    </row>
    <row r="44" spans="2:23" ht="29">
      <c r="B44" s="526"/>
      <c r="C44" s="534"/>
      <c r="D44" s="322"/>
      <c r="E44" s="534"/>
      <c r="F44" s="322"/>
      <c r="G44" s="528"/>
      <c r="H44" s="528"/>
      <c r="I44" s="338"/>
      <c r="J44" s="330">
        <f t="shared" si="3"/>
        <v>36</v>
      </c>
      <c r="K44" s="382" t="s">
        <v>294</v>
      </c>
      <c r="L44" s="321" t="str">
        <f>IFERROR(IF(K44="","",VLOOKUP(K44,CHOOSE({1,2},'Data Pengawas RA-MI'!$Q$5:$Q$62,'Data Pengawas RA-MI'!$D$5:$D$62),2,0)),"")</f>
        <v>P</v>
      </c>
      <c r="M44" s="324" t="str">
        <f>IFERROR(IF(K44="","",VLOOKUP(K44,CHOOSE({1,2},'Data Pengawas RA-MI'!$Q$5:$Q$62,'Data Pengawas RA-MI'!$N$5:$N$62),2,0)),"")</f>
        <v>12 November 2041</v>
      </c>
      <c r="N44" s="325" t="str">
        <f>IFERROR(IF(K44="","",VLOOKUP(K44,CHOOSE({1,2},'Data Pengawas RA-MI'!$Q$5:$Q$62,'Data Pengawas RA-MI'!$I$5:$I$62),2,0)),"")</f>
        <v>Pengawas RA, MI Kec. Tiris Barat</v>
      </c>
      <c r="O44" s="325" t="str">
        <f>IFERROR(TEXT(IF(K44="","",VLOOKUP(K44,CHOOSE({1,2},'Data Pengawas RA-MI'!$Q$5:$Q$62,'Data Pengawas RA-MI'!$G$5:$G$62),2,0)),"DD MMMM YYYY"),"")</f>
        <v>01 Juli 2024</v>
      </c>
      <c r="P44" s="325" t="str">
        <f t="shared" si="6"/>
        <v>Pengawas RA,MI Kec. Krucil</v>
      </c>
      <c r="Q44" s="326" t="str">
        <f>IFERROR(IF(K44="","",VLOOKUP(K44,CHOOSE({1,2},'Data Pengawas RA-MI'!$Q$5:$Q$62,'Data Pengawas RA-MI'!$P$5:$P$62),2,0)),"")</f>
        <v>Banyuanyar</v>
      </c>
      <c r="U44" s="290" t="s">
        <v>5093</v>
      </c>
      <c r="W44" s="249" t="str">
        <f t="shared" si="2"/>
        <v>Pengawas RA,MI Kec. Krucil</v>
      </c>
    </row>
    <row r="45" spans="2:23" ht="29">
      <c r="B45" s="374" t="s">
        <v>1764</v>
      </c>
      <c r="C45" s="319">
        <f>COUNTIF('RA DATA'!$J$3:$J$421,'PETA_WAS_RA-MI'!B45)</f>
        <v>9</v>
      </c>
      <c r="D45" s="311"/>
      <c r="E45" s="318">
        <f>COUNTIF('MI DATA'!$I$3:$I$417,'PETA_WAS_RA-MI'!B45)</f>
        <v>10</v>
      </c>
      <c r="F45" s="311"/>
      <c r="G45" s="318">
        <f t="shared" si="0"/>
        <v>19</v>
      </c>
      <c r="H45" s="318">
        <f>'PETA-PENGAWAS'!H27</f>
        <v>1</v>
      </c>
      <c r="I45" s="318"/>
      <c r="J45" s="330">
        <f t="shared" si="3"/>
        <v>37</v>
      </c>
      <c r="K45" s="383" t="s">
        <v>298</v>
      </c>
      <c r="L45" s="317" t="str">
        <f>IFERROR(IF(K45="","",VLOOKUP(K45,CHOOSE({1,2},'Data Pengawas RA-MI'!$Q$5:$Q$62,'Data Pengawas RA-MI'!$D$5:$D$62),2,0)),"")</f>
        <v>L</v>
      </c>
      <c r="M45" s="314" t="str">
        <f>IFERROR(IF(K45="","",VLOOKUP(K45,CHOOSE({1,2},'Data Pengawas RA-MI'!$Q$5:$Q$62,'Data Pengawas RA-MI'!$N$5:$N$62),2,0)),"")</f>
        <v>10 Juli 2034</v>
      </c>
      <c r="N45" s="315" t="str">
        <f>IFERROR(IF(K45="","",VLOOKUP(K45,CHOOSE({1,2},'Data Pengawas RA-MI'!$Q$5:$Q$62,'Data Pengawas RA-MI'!$I$5:$I$62),2,0)),"")</f>
        <v>Pengawas RA,MI Kec. Banyuanyar</v>
      </c>
      <c r="O45" s="315" t="str">
        <f>IFERROR(TEXT(IF(K45="","",VLOOKUP(K45,CHOOSE({1,2},'Data Pengawas RA-MI'!$Q$5:$Q$62,'Data Pengawas RA-MI'!$G$5:$G$62),2,0)),"DD MMMM YYYY"),"")</f>
        <v>01 Maret 2016</v>
      </c>
      <c r="P45" s="315" t="str">
        <f t="shared" si="6"/>
        <v>Pengawas RA,MI Kec. Pajarakan</v>
      </c>
      <c r="Q45" s="316" t="str">
        <f>IFERROR(IF(K45="","",VLOOKUP(K45,CHOOSE({1,2},'Data Pengawas RA-MI'!$Q$5:$Q$62,'Data Pengawas RA-MI'!$P$5:$P$62),2,0)),"")</f>
        <v>Tegalsiwalan</v>
      </c>
      <c r="U45" s="293" t="s">
        <v>5104</v>
      </c>
      <c r="W45" s="249" t="str">
        <f t="shared" si="2"/>
        <v>Pengawas RA,MI Kec. Pajarakan</v>
      </c>
    </row>
    <row r="46" spans="2:23" ht="29">
      <c r="B46" s="544" t="s">
        <v>1245</v>
      </c>
      <c r="C46" s="532">
        <f>COUNTIF('RA DATA'!$J$3:$J$421,'PETA_WAS_RA-MI'!B46)</f>
        <v>27</v>
      </c>
      <c r="D46" s="322"/>
      <c r="E46" s="532">
        <f>COUNTIF('MI DATA'!$I$3:$I$417,'PETA_WAS_RA-MI'!B46)</f>
        <v>26</v>
      </c>
      <c r="F46" s="322"/>
      <c r="G46" s="532">
        <f t="shared" si="0"/>
        <v>53</v>
      </c>
      <c r="H46" s="532">
        <f>'PETA-PENGAWAS'!H28</f>
        <v>4</v>
      </c>
      <c r="I46" s="328"/>
      <c r="J46" s="330">
        <f t="shared" si="3"/>
        <v>38</v>
      </c>
      <c r="K46" s="382" t="s">
        <v>257</v>
      </c>
      <c r="L46" s="317" t="str">
        <f>IFERROR(IF(K46="","",VLOOKUP(K46,CHOOSE({1,2},'Data Pengawas RA-MI'!$Q$5:$Q$62,'Data Pengawas RA-MI'!$D$5:$D$62),2,0)),"")</f>
        <v>L</v>
      </c>
      <c r="M46" s="324" t="str">
        <f>IFERROR(IF(K46="","",VLOOKUP(K46,CHOOSE({1,2},'Data Pengawas RA-MI'!$Q$5:$Q$62,'Data Pengawas RA-MI'!$N$5:$N$62),2,0)),"")</f>
        <v>07 April 2027</v>
      </c>
      <c r="N46" s="325" t="str">
        <f>IFERROR(IF(K46="","",VLOOKUP(K46,CHOOSE({1,2},'Data Pengawas RA-MI'!$Q$5:$Q$62,'Data Pengawas RA-MI'!$I$5:$I$62),2,0)),"")</f>
        <v>Pengawas RA,MI Kec. Krejenagan</v>
      </c>
      <c r="O46" s="325" t="str">
        <f>IFERROR(TEXT(IF(K46="","",VLOOKUP(K46,CHOOSE({1,2},'Data Pengawas RA-MI'!$Q$5:$Q$62,'Data Pengawas RA-MI'!$G$5:$G$62),2,0)),"DD MMMM YYYY"),"")</f>
        <v>06 Desember 2021</v>
      </c>
      <c r="P46" s="325" t="str">
        <f t="shared" si="6"/>
        <v>Pengawas RA,MI Kec. Krejengan</v>
      </c>
      <c r="Q46" s="316" t="str">
        <f>IFERROR(IF(K46="","",VLOOKUP(K46,CHOOSE({1,2},'Data Pengawas RA-MI'!$Q$5:$Q$62,'Data Pengawas RA-MI'!$P$5:$P$62),2,0)),"")</f>
        <v>Gading</v>
      </c>
      <c r="U46" s="294" t="s">
        <v>5089</v>
      </c>
      <c r="W46" s="249" t="str">
        <f t="shared" si="2"/>
        <v>Pengawas RA,MI Kec. Krejengan</v>
      </c>
    </row>
    <row r="47" spans="2:23" ht="29">
      <c r="B47" s="545"/>
      <c r="C47" s="533"/>
      <c r="D47" s="322"/>
      <c r="E47" s="533"/>
      <c r="F47" s="322"/>
      <c r="G47" s="533"/>
      <c r="H47" s="533"/>
      <c r="I47" s="334"/>
      <c r="J47" s="330">
        <f t="shared" si="3"/>
        <v>39</v>
      </c>
      <c r="K47" s="382" t="s">
        <v>284</v>
      </c>
      <c r="L47" s="317" t="str">
        <f>IFERROR(IF(K47="","",VLOOKUP(K47,CHOOSE({1,2},'Data Pengawas RA-MI'!$Q$5:$Q$62,'Data Pengawas RA-MI'!$D$5:$D$62),2,0)),"")</f>
        <v>L</v>
      </c>
      <c r="M47" s="324" t="str">
        <f>IFERROR(IF(K47="","",VLOOKUP(K47,CHOOSE({1,2},'Data Pengawas RA-MI'!$Q$5:$Q$62,'Data Pengawas RA-MI'!$N$5:$N$62),2,0)),"")</f>
        <v>21 Juli 2040</v>
      </c>
      <c r="N47" s="325" t="str">
        <f>IFERROR(IF(K47="","",VLOOKUP(K47,CHOOSE({1,2},'Data Pengawas RA-MI'!$Q$5:$Q$62,'Data Pengawas RA-MI'!$I$5:$I$62),2,0)),"")</f>
        <v>Pengawas RA,MI Kec. Gading</v>
      </c>
      <c r="O47" s="325" t="str">
        <f>IFERROR(TEXT(IF(K47="","",VLOOKUP(K47,CHOOSE({1,2},'Data Pengawas RA-MI'!$Q$5:$Q$62,'Data Pengawas RA-MI'!$G$5:$G$62),2,0)),"DD MMMM YYYY"),"")</f>
        <v>01 Juli 2024</v>
      </c>
      <c r="P47" s="325" t="str">
        <f t="shared" si="6"/>
        <v>Pengawas RA,MI Kec. Krejengan</v>
      </c>
      <c r="Q47" s="316" t="str">
        <f>IFERROR(IF(K47="","",VLOOKUP(K47,CHOOSE({1,2},'Data Pengawas RA-MI'!$Q$5:$Q$62,'Data Pengawas RA-MI'!$P$5:$P$62),2,0)),"")</f>
        <v>Kraksaan</v>
      </c>
      <c r="U47" s="294" t="s">
        <v>5089</v>
      </c>
      <c r="W47" s="249" t="str">
        <f t="shared" si="2"/>
        <v>Pengawas RA,MI Kec. Krejengan</v>
      </c>
    </row>
    <row r="48" spans="2:23" ht="29">
      <c r="B48" s="545"/>
      <c r="C48" s="533"/>
      <c r="D48" s="322"/>
      <c r="E48" s="533"/>
      <c r="F48" s="322"/>
      <c r="G48" s="533"/>
      <c r="H48" s="533"/>
      <c r="I48" s="334"/>
      <c r="J48" s="330">
        <f t="shared" si="3"/>
        <v>40</v>
      </c>
      <c r="K48" s="382" t="s">
        <v>281</v>
      </c>
      <c r="L48" s="317" t="str">
        <f>IFERROR(IF(K48="","",VLOOKUP(K48,CHOOSE({1,2},'Data Pengawas RA-MI'!$Q$5:$Q$62,'Data Pengawas RA-MI'!$D$5:$D$62),2,0)),"")</f>
        <v>L</v>
      </c>
      <c r="M48" s="324" t="str">
        <f>IFERROR(IF(K48="","",VLOOKUP(K48,CHOOSE({1,2},'Data Pengawas RA-MI'!$Q$5:$Q$62,'Data Pengawas RA-MI'!$N$5:$N$62),2,0)),"")</f>
        <v>24 Desember 2041</v>
      </c>
      <c r="N48" s="325" t="str">
        <f>IFERROR(IF(K48="","",VLOOKUP(K48,CHOOSE({1,2},'Data Pengawas RA-MI'!$Q$5:$Q$62,'Data Pengawas RA-MI'!$I$5:$I$62),2,0)),"")</f>
        <v>Pengawas RA,MI Kec. Pajarakan</v>
      </c>
      <c r="O48" s="325" t="str">
        <f>IFERROR(TEXT(IF(K48="","",VLOOKUP(K48,CHOOSE({1,2},'Data Pengawas RA-MI'!$Q$5:$Q$62,'Data Pengawas RA-MI'!$G$5:$G$62),2,0)),"DD MMMM YYYY"),"")</f>
        <v>01 Juli 2024</v>
      </c>
      <c r="P48" s="325" t="str">
        <f t="shared" si="6"/>
        <v>Pengawas RA,MI Kec. Krejengan</v>
      </c>
      <c r="Q48" s="316" t="str">
        <f>IFERROR(IF(K48="","",VLOOKUP(K48,CHOOSE({1,2},'Data Pengawas RA-MI'!$Q$5:$Q$62,'Data Pengawas RA-MI'!$P$5:$P$62),2,0)),"")</f>
        <v>Pajarakan</v>
      </c>
      <c r="U48" s="294" t="s">
        <v>5089</v>
      </c>
      <c r="W48" s="249" t="str">
        <f t="shared" si="2"/>
        <v>Pengawas RA,MI Kec. Krejengan</v>
      </c>
    </row>
    <row r="49" spans="2:23" ht="29">
      <c r="B49" s="546"/>
      <c r="C49" s="534"/>
      <c r="D49" s="322"/>
      <c r="E49" s="534"/>
      <c r="F49" s="322"/>
      <c r="G49" s="534"/>
      <c r="H49" s="534"/>
      <c r="I49" s="335"/>
      <c r="J49" s="330">
        <f t="shared" si="3"/>
        <v>41</v>
      </c>
      <c r="K49" s="382" t="s">
        <v>305</v>
      </c>
      <c r="L49" s="317" t="str">
        <f>IFERROR(IF(K49="","",VLOOKUP(K49,CHOOSE({1,2},'Data Pengawas RA-MI'!$Q$5:$Q$62,'Data Pengawas RA-MI'!$D$5:$D$62),2,0)),"")</f>
        <v>P</v>
      </c>
      <c r="M49" s="324" t="str">
        <f>IFERROR(IF(K49="","",VLOOKUP(K49,CHOOSE({1,2},'Data Pengawas RA-MI'!$Q$5:$Q$62,'Data Pengawas RA-MI'!$N$5:$N$62),2,0)),"")</f>
        <v>27 April 2040</v>
      </c>
      <c r="N49" s="325" t="str">
        <f>IFERROR(IF(K49="","",VLOOKUP(K49,CHOOSE({1,2},'Data Pengawas RA-MI'!$Q$5:$Q$62,'Data Pengawas RA-MI'!$I$5:$I$62),2,0)),"")</f>
        <v>Pengawas RA,MI Kec. Krejengan</v>
      </c>
      <c r="O49" s="325" t="str">
        <f>IFERROR(TEXT(IF(K49="","",VLOOKUP(K49,CHOOSE({1,2},'Data Pengawas RA-MI'!$Q$5:$Q$62,'Data Pengawas RA-MI'!$G$5:$G$62),2,0)),"DD MMMM YYYY"),"")</f>
        <v>01 Juni 2023</v>
      </c>
      <c r="P49" s="325" t="str">
        <f t="shared" si="6"/>
        <v>Pengawas RA,MI Kec. Krejengan</v>
      </c>
      <c r="Q49" s="316" t="str">
        <f>IFERROR(IF(K49="","",VLOOKUP(K49,CHOOSE({1,2},'Data Pengawas RA-MI'!$Q$5:$Q$62,'Data Pengawas RA-MI'!$P$5:$P$62),2,0)),"")</f>
        <v>Pajarakan</v>
      </c>
      <c r="U49" s="294" t="s">
        <v>5089</v>
      </c>
      <c r="W49" s="249" t="str">
        <f t="shared" si="2"/>
        <v>Pengawas RA,MI Kec. Krejengan</v>
      </c>
    </row>
    <row r="50" spans="2:23" ht="29">
      <c r="B50" s="538" t="s">
        <v>1168</v>
      </c>
      <c r="C50" s="541">
        <f>COUNTIF('RA DATA'!$J$3:$J$421,'PETA_WAS_RA-MI'!B50)</f>
        <v>20</v>
      </c>
      <c r="D50" s="311"/>
      <c r="E50" s="541">
        <f>COUNTIF('MI DATA'!$I$3:$I$417,'PETA_WAS_RA-MI'!B50)</f>
        <v>17</v>
      </c>
      <c r="F50" s="311"/>
      <c r="G50" s="541">
        <f t="shared" si="0"/>
        <v>37</v>
      </c>
      <c r="H50" s="541">
        <f>'PETA-PENGAWAS'!H29</f>
        <v>3</v>
      </c>
      <c r="I50" s="319"/>
      <c r="J50" s="330">
        <f t="shared" si="3"/>
        <v>42</v>
      </c>
      <c r="K50" s="383" t="s">
        <v>261</v>
      </c>
      <c r="L50" s="317" t="str">
        <f>IFERROR(IF(K50="","",VLOOKUP(K50,CHOOSE({1,2},'Data Pengawas RA-MI'!$Q$5:$Q$62,'Data Pengawas RA-MI'!$D$5:$D$62),2,0)),"")</f>
        <v>L</v>
      </c>
      <c r="M50" s="314" t="str">
        <f>IFERROR(IF(K50="","",VLOOKUP(K50,CHOOSE({1,2},'Data Pengawas RA-MI'!$Q$5:$Q$62,'Data Pengawas RA-MI'!$N$5:$N$62),2,0)),"")</f>
        <v>10 Desember 2025</v>
      </c>
      <c r="N50" s="315" t="str">
        <f>IFERROR(IF(K50="","",VLOOKUP(K50,CHOOSE({1,2},'Data Pengawas RA-MI'!$Q$5:$Q$62,'Data Pengawas RA-MI'!$I$5:$I$62),2,0)),"")</f>
        <v>Pengawas RA,MI Kec. Kraksaan</v>
      </c>
      <c r="O50" s="315" t="str">
        <f>IFERROR(TEXT(IF(K50="","",VLOOKUP(K50,CHOOSE({1,2},'Data Pengawas RA-MI'!$Q$5:$Q$62,'Data Pengawas RA-MI'!$G$5:$G$62),2,0)),"DD MMMM YYYY"),"")</f>
        <v>01 April 2019</v>
      </c>
      <c r="P50" s="315" t="str">
        <f t="shared" si="6"/>
        <v>Pengawas RA,MI Kec. Kraksaan</v>
      </c>
      <c r="Q50" s="316" t="str">
        <f>IFERROR(IF(K50="","",VLOOKUP(K50,CHOOSE({1,2},'Data Pengawas RA-MI'!$Q$5:$Q$62,'Data Pengawas RA-MI'!$P$5:$P$62),2,0)),"")</f>
        <v>Krejengan</v>
      </c>
      <c r="U50" s="293" t="s">
        <v>5100</v>
      </c>
      <c r="W50" s="249" t="str">
        <f t="shared" si="2"/>
        <v>Pengawas RA,MI Kec. Kraksaan</v>
      </c>
    </row>
    <row r="51" spans="2:23" ht="29">
      <c r="B51" s="539"/>
      <c r="C51" s="542"/>
      <c r="D51" s="311"/>
      <c r="E51" s="542"/>
      <c r="F51" s="311"/>
      <c r="G51" s="542"/>
      <c r="H51" s="542"/>
      <c r="I51" s="340"/>
      <c r="J51" s="330">
        <f t="shared" si="3"/>
        <v>43</v>
      </c>
      <c r="K51" s="383" t="s">
        <v>292</v>
      </c>
      <c r="L51" s="317" t="str">
        <f>IFERROR(IF(K51="","",VLOOKUP(K51,CHOOSE({1,2},'Data Pengawas RA-MI'!$Q$5:$Q$62,'Data Pengawas RA-MI'!$D$5:$D$62),2,0)),"")</f>
        <v>L</v>
      </c>
      <c r="M51" s="314" t="str">
        <f>IFERROR(IF(K51="","",VLOOKUP(K51,CHOOSE({1,2},'Data Pengawas RA-MI'!$Q$5:$Q$62,'Data Pengawas RA-MI'!$N$5:$N$62),2,0)),"")</f>
        <v>15 Juni 2043</v>
      </c>
      <c r="N51" s="315" t="str">
        <f>IFERROR(IF(K51="","",VLOOKUP(K51,CHOOSE({1,2},'Data Pengawas RA-MI'!$Q$5:$Q$62,'Data Pengawas RA-MI'!$I$5:$I$62),2,0)),"")</f>
        <v>Pengawas RA,MI Kec. Kraksaan</v>
      </c>
      <c r="O51" s="315" t="str">
        <f>IFERROR(TEXT(IF(K51="","",VLOOKUP(K51,CHOOSE({1,2},'Data Pengawas RA-MI'!$Q$5:$Q$62,'Data Pengawas RA-MI'!$G$5:$G$62),2,0)),"DD MMMM YYYY"),"")</f>
        <v>01 Oktober 2021</v>
      </c>
      <c r="P51" s="315" t="str">
        <f t="shared" si="6"/>
        <v>Pengawas RA,MI Kec. Kraksaan</v>
      </c>
      <c r="Q51" s="316" t="str">
        <f>IFERROR(IF(K51="","",VLOOKUP(K51,CHOOSE({1,2},'Data Pengawas RA-MI'!$Q$5:$Q$62,'Data Pengawas RA-MI'!$P$5:$P$62),2,0)),"")</f>
        <v>Dringu</v>
      </c>
      <c r="U51" s="293" t="s">
        <v>5100</v>
      </c>
      <c r="W51" s="249" t="str">
        <f t="shared" si="2"/>
        <v>Pengawas RA,MI Kec. Kraksaan</v>
      </c>
    </row>
    <row r="52" spans="2:23" ht="29">
      <c r="B52" s="540"/>
      <c r="C52" s="543"/>
      <c r="D52" s="311"/>
      <c r="E52" s="543"/>
      <c r="F52" s="311"/>
      <c r="G52" s="543"/>
      <c r="H52" s="543"/>
      <c r="I52" s="339"/>
      <c r="J52" s="330">
        <f t="shared" si="3"/>
        <v>44</v>
      </c>
      <c r="K52" s="383" t="s">
        <v>273</v>
      </c>
      <c r="L52" s="317" t="str">
        <f>IFERROR(IF(K52="","",VLOOKUP(K52,CHOOSE({1,2},'Data Pengawas RA-MI'!$Q$5:$Q$62,'Data Pengawas RA-MI'!$D$5:$D$62),2,0)),"")</f>
        <v>P</v>
      </c>
      <c r="M52" s="314" t="str">
        <f>IFERROR(IF(K52="","",VLOOKUP(K52,CHOOSE({1,2},'Data Pengawas RA-MI'!$Q$5:$Q$62,'Data Pengawas RA-MI'!$N$5:$N$62),2,0)),"")</f>
        <v>04 April 2043</v>
      </c>
      <c r="N52" s="315" t="str">
        <f>IFERROR(IF(K52="","",VLOOKUP(K52,CHOOSE({1,2},'Data Pengawas RA-MI'!$Q$5:$Q$62,'Data Pengawas RA-MI'!$I$5:$I$62),2,0)),"")</f>
        <v>Pengawas RA,MI Kec. Krejengan</v>
      </c>
      <c r="O52" s="315" t="str">
        <f>IFERROR(TEXT(IF(K52="","",VLOOKUP(K52,CHOOSE({1,2},'Data Pengawas RA-MI'!$Q$5:$Q$62,'Data Pengawas RA-MI'!$G$5:$G$62),2,0)),"DD MMMM YYYY"),"")</f>
        <v>03 November 2022</v>
      </c>
      <c r="P52" s="315" t="str">
        <f t="shared" si="6"/>
        <v>Pengawas RA,MI Kec. Kraksaan</v>
      </c>
      <c r="Q52" s="316" t="str">
        <f>IFERROR(IF(K52="","",VLOOKUP(K52,CHOOSE({1,2},'Data Pengawas RA-MI'!$Q$5:$Q$62,'Data Pengawas RA-MI'!$P$5:$P$62),2,0)),"")</f>
        <v>Krejengan</v>
      </c>
      <c r="U52" s="293" t="s">
        <v>5100</v>
      </c>
      <c r="W52" s="249" t="str">
        <f t="shared" si="2"/>
        <v>Pengawas RA,MI Kec. Kraksaan</v>
      </c>
    </row>
    <row r="53" spans="2:23" ht="29">
      <c r="B53" s="525" t="s">
        <v>853</v>
      </c>
      <c r="C53" s="532">
        <f>COUNTIF('RA DATA'!$J$3:$J$421,'PETA_WAS_RA-MI'!B53)</f>
        <v>16</v>
      </c>
      <c r="D53" s="322"/>
      <c r="E53" s="532">
        <f>COUNTIF('MI DATA'!$I$3:$I$417,'PETA_WAS_RA-MI'!B53)</f>
        <v>16</v>
      </c>
      <c r="F53" s="322"/>
      <c r="G53" s="527">
        <f>SUM(C53,E53)</f>
        <v>32</v>
      </c>
      <c r="H53" s="527">
        <f>'PETA-PENGAWAS'!H30</f>
        <v>3</v>
      </c>
      <c r="I53" s="323"/>
      <c r="J53" s="330">
        <f t="shared" si="3"/>
        <v>45</v>
      </c>
      <c r="K53" s="382" t="s">
        <v>288</v>
      </c>
      <c r="L53" s="321" t="str">
        <f>IFERROR(IF(K53="","",VLOOKUP(K53,CHOOSE({1,2},'Data Pengawas RA-MI'!$Q$5:$Q$62,'Data Pengawas RA-MI'!$D$5:$D$62),2,0)),"")</f>
        <v>L</v>
      </c>
      <c r="M53" s="324" t="str">
        <f>IFERROR(IF(K53="","",VLOOKUP(K53,CHOOSE({1,2},'Data Pengawas RA-MI'!$Q$5:$Q$62,'Data Pengawas RA-MI'!$N$5:$N$62),2,0)),"")</f>
        <v>15 Februari 2030</v>
      </c>
      <c r="N53" s="325" t="str">
        <f>IFERROR(IF(K53="","",VLOOKUP(K53,CHOOSE({1,2},'Data Pengawas RA-MI'!$Q$5:$Q$62,'Data Pengawas RA-MI'!$I$5:$I$62),2,0)),"")</f>
        <v>Pengawas RA,MI Kec. Besuk</v>
      </c>
      <c r="O53" s="325" t="str">
        <f>IFERROR(TEXT(IF(K53="","",VLOOKUP(K53,CHOOSE({1,2},'Data Pengawas RA-MI'!$Q$5:$Q$62,'Data Pengawas RA-MI'!$G$5:$G$62),2,0)),"DD MMMM YYYY"),"")</f>
        <v>01 Juli 2024</v>
      </c>
      <c r="P53" s="325" t="str">
        <f t="shared" si="6"/>
        <v>Pengawas RA,MI Kec. Besuk</v>
      </c>
      <c r="Q53" s="326" t="str">
        <f>IFERROR(IF(K53="","",VLOOKUP(K53,CHOOSE({1,2},'Data Pengawas RA-MI'!$Q$5:$Q$62,'Data Pengawas RA-MI'!$P$5:$P$62),2,0)),"")</f>
        <v>Pakuniran</v>
      </c>
      <c r="U53" s="290" t="s">
        <v>5085</v>
      </c>
      <c r="W53" s="249" t="str">
        <f t="shared" si="2"/>
        <v>Pengawas RA,MI Kec. Besuk</v>
      </c>
    </row>
    <row r="54" spans="2:23" ht="29">
      <c r="B54" s="552"/>
      <c r="C54" s="533"/>
      <c r="D54" s="322"/>
      <c r="E54" s="533"/>
      <c r="F54" s="322"/>
      <c r="G54" s="531"/>
      <c r="H54" s="531"/>
      <c r="I54" s="337"/>
      <c r="J54" s="330">
        <f t="shared" si="3"/>
        <v>46</v>
      </c>
      <c r="K54" s="382" t="s">
        <v>265</v>
      </c>
      <c r="L54" s="321" t="str">
        <f>IFERROR(IF(K54="","",VLOOKUP(K54,CHOOSE({1,2},'Data Pengawas RA-MI'!$Q$5:$Q$62,'Data Pengawas RA-MI'!$D$5:$D$62),2,0)),"")</f>
        <v>L</v>
      </c>
      <c r="M54" s="324" t="str">
        <f>IFERROR(IF(K54="","",VLOOKUP(K54,CHOOSE({1,2},'Data Pengawas RA-MI'!$Q$5:$Q$62,'Data Pengawas RA-MI'!$N$5:$N$62),2,0)),"")</f>
        <v>14 Oktober 2037</v>
      </c>
      <c r="N54" s="325" t="str">
        <f>IFERROR(IF(K54="","",VLOOKUP(K54,CHOOSE({1,2},'Data Pengawas RA-MI'!$Q$5:$Q$62,'Data Pengawas RA-MI'!$I$5:$I$62),2,0)),"")</f>
        <v>Pengawas RA,MI Kec. Besuk</v>
      </c>
      <c r="O54" s="325" t="str">
        <f>IFERROR(TEXT(IF(K54="","",VLOOKUP(K54,CHOOSE({1,2},'Data Pengawas RA-MI'!$Q$5:$Q$62,'Data Pengawas RA-MI'!$G$5:$G$62),2,0)),"DD MMMM YYYY"),"")</f>
        <v>26 Juli 2024</v>
      </c>
      <c r="P54" s="325" t="str">
        <f t="shared" si="6"/>
        <v>Pengawas RA,MI Kec. Besuk</v>
      </c>
      <c r="Q54" s="326" t="str">
        <f>IFERROR(IF(K54="","",VLOOKUP(K54,CHOOSE({1,2},'Data Pengawas RA-MI'!$Q$5:$Q$62,'Data Pengawas RA-MI'!$P$5:$P$62),2,0)),"")</f>
        <v>Krejengan</v>
      </c>
      <c r="U54" s="290" t="s">
        <v>5085</v>
      </c>
      <c r="W54" s="249" t="str">
        <f t="shared" si="2"/>
        <v>Pengawas RA,MI Kec. Besuk</v>
      </c>
    </row>
    <row r="55" spans="2:23" ht="29">
      <c r="B55" s="526"/>
      <c r="C55" s="534"/>
      <c r="D55" s="322"/>
      <c r="E55" s="534"/>
      <c r="F55" s="322"/>
      <c r="G55" s="528"/>
      <c r="H55" s="528"/>
      <c r="I55" s="338"/>
      <c r="J55" s="330">
        <f t="shared" si="3"/>
        <v>47</v>
      </c>
      <c r="K55" s="382" t="s">
        <v>282</v>
      </c>
      <c r="L55" s="321" t="str">
        <f>IFERROR(IF(K55="","",VLOOKUP(K55,CHOOSE({1,2},'Data Pengawas RA-MI'!$Q$5:$Q$62,'Data Pengawas RA-MI'!$D$5:$D$62),2,0)),"")</f>
        <v>L</v>
      </c>
      <c r="M55" s="324" t="str">
        <f>IFERROR(IF(K55="","",VLOOKUP(K55,CHOOSE({1,2},'Data Pengawas RA-MI'!$Q$5:$Q$62,'Data Pengawas RA-MI'!$N$5:$N$62),2,0)),"")</f>
        <v>08 April 2027</v>
      </c>
      <c r="N55" s="325" t="str">
        <f>IFERROR(IF(K55="","",VLOOKUP(K55,CHOOSE({1,2},'Data Pengawas RA-MI'!$Q$5:$Q$62,'Data Pengawas RA-MI'!$I$5:$I$62),2,0)),"")</f>
        <v>Pengawas RA,MI Kec. Pajarakan</v>
      </c>
      <c r="O55" s="325" t="str">
        <f>IFERROR(TEXT(IF(K55="","",VLOOKUP(K55,CHOOSE({1,2},'Data Pengawas RA-MI'!$Q$5:$Q$62,'Data Pengawas RA-MI'!$G$5:$G$62),2,0)),"DD MMMM YYYY"),"")</f>
        <v>01 Juli 2024</v>
      </c>
      <c r="P55" s="325" t="str">
        <f t="shared" si="6"/>
        <v>Pengawas RA,MI Kec. Besuk</v>
      </c>
      <c r="Q55" s="326" t="str">
        <f>IFERROR(IF(K55="","",VLOOKUP(K55,CHOOSE({1,2},'Data Pengawas RA-MI'!$Q$5:$Q$62,'Data Pengawas RA-MI'!$P$5:$P$62),2,0)),"")</f>
        <v>Kraksaan</v>
      </c>
      <c r="U55" s="290" t="s">
        <v>5085</v>
      </c>
      <c r="W55" s="249" t="str">
        <f t="shared" si="2"/>
        <v>Pengawas RA,MI Kec. Besuk</v>
      </c>
    </row>
    <row r="56" spans="2:23" ht="29">
      <c r="B56" s="538" t="s">
        <v>1109</v>
      </c>
      <c r="C56" s="541">
        <f>COUNTIF('RA DATA'!$J$3:$J$421,'PETA_WAS_RA-MI'!B56)</f>
        <v>15</v>
      </c>
      <c r="D56" s="311"/>
      <c r="E56" s="541">
        <f>COUNTIF('MI DATA'!$I$3:$I$417,'PETA_WAS_RA-MI'!B56)</f>
        <v>14</v>
      </c>
      <c r="F56" s="311"/>
      <c r="G56" s="541">
        <f>SUM(C56,E56)</f>
        <v>29</v>
      </c>
      <c r="H56" s="541">
        <f>'PETA-PENGAWAS'!H31</f>
        <v>2</v>
      </c>
      <c r="I56" s="319"/>
      <c r="J56" s="330">
        <f t="shared" si="3"/>
        <v>48</v>
      </c>
      <c r="K56" s="383" t="s">
        <v>277</v>
      </c>
      <c r="L56" s="317" t="str">
        <f>IFERROR(IF(K56="","",VLOOKUP(K56,CHOOSE({1,2},'Data Pengawas RA-MI'!$Q$5:$Q$62,'Data Pengawas RA-MI'!$D$5:$D$62),2,0)),"")</f>
        <v>P</v>
      </c>
      <c r="M56" s="314" t="str">
        <f>IFERROR(IF(K56="","",VLOOKUP(K56,CHOOSE({1,2},'Data Pengawas RA-MI'!$Q$5:$Q$62,'Data Pengawas RA-MI'!$N$5:$N$62),2,0)),"")</f>
        <v>21 April 2031</v>
      </c>
      <c r="N56" s="315" t="str">
        <f>IFERROR(IF(K56="","",VLOOKUP(K56,CHOOSE({1,2},'Data Pengawas RA-MI'!$Q$5:$Q$62,'Data Pengawas RA-MI'!$I$5:$I$62),2,0)),"")</f>
        <v>Pengawas RA,MI Kotaanyar</v>
      </c>
      <c r="O56" s="315" t="str">
        <f>IFERROR(TEXT(IF(K56="","",VLOOKUP(K56,CHOOSE({1,2},'Data Pengawas RA-MI'!$Q$5:$Q$62,'Data Pengawas RA-MI'!$G$5:$G$62),2,0)),"DD MMMM YYYY"),"")</f>
        <v>01 Juni 2024</v>
      </c>
      <c r="P56" s="315" t="str">
        <f t="shared" si="6"/>
        <v>Pengawas RA,MI Kec. Kotaanyar</v>
      </c>
      <c r="Q56" s="316" t="str">
        <f>IFERROR(IF(K56="","",VLOOKUP(K56,CHOOSE({1,2},'Data Pengawas RA-MI'!$Q$5:$Q$62,'Data Pengawas RA-MI'!$P$5:$P$62),2,0)),"")</f>
        <v>Paiton</v>
      </c>
      <c r="U56" s="293" t="s">
        <v>5087</v>
      </c>
      <c r="W56" s="249" t="str">
        <f t="shared" si="2"/>
        <v>Pengawas RA,MI Kec. Kotaanyar</v>
      </c>
    </row>
    <row r="57" spans="2:23" ht="29">
      <c r="B57" s="540"/>
      <c r="C57" s="543"/>
      <c r="D57" s="311"/>
      <c r="E57" s="543"/>
      <c r="F57" s="311"/>
      <c r="G57" s="543"/>
      <c r="H57" s="543"/>
      <c r="I57" s="339"/>
      <c r="J57" s="330">
        <f t="shared" si="3"/>
        <v>49</v>
      </c>
      <c r="K57" s="383" t="s">
        <v>242</v>
      </c>
      <c r="L57" s="317" t="str">
        <f>IFERROR(IF(K57="","",VLOOKUP(K57,CHOOSE({1,2},'Data Pengawas RA-MI'!$Q$5:$Q$62,'Data Pengawas RA-MI'!$D$5:$D$62),2,0)),"")</f>
        <v>L</v>
      </c>
      <c r="M57" s="314" t="str">
        <f>IFERROR(IF(K57="","",VLOOKUP(K57,CHOOSE({1,2},'Data Pengawas RA-MI'!$Q$5:$Q$62,'Data Pengawas RA-MI'!$N$5:$N$62),2,0)),"")</f>
        <v>14 Januari 2029</v>
      </c>
      <c r="N57" s="315" t="str">
        <f>IFERROR(IF(K57="","",VLOOKUP(K57,CHOOSE({1,2},'Data Pengawas RA-MI'!$Q$5:$Q$62,'Data Pengawas RA-MI'!$I$5:$I$62),2,0)),"")</f>
        <v>Pengawas RA,MI Kec. Besuk</v>
      </c>
      <c r="O57" s="315" t="str">
        <f>IFERROR(TEXT(IF(K57="","",VLOOKUP(K57,CHOOSE({1,2},'Data Pengawas RA-MI'!$Q$5:$Q$62,'Data Pengawas RA-MI'!$G$5:$G$62),2,0)),"DD MMMM YYYY"),"")</f>
        <v>03 November 2022</v>
      </c>
      <c r="P57" s="315" t="str">
        <f t="shared" si="6"/>
        <v>Pengawas RA,MI Kec. Kotaanyar</v>
      </c>
      <c r="Q57" s="316" t="str">
        <f>IFERROR(IF(K57="","",VLOOKUP(K57,CHOOSE({1,2},'Data Pengawas RA-MI'!$Q$5:$Q$62,'Data Pengawas RA-MI'!$P$5:$P$62),2,0)),"")</f>
        <v>Krejengan</v>
      </c>
      <c r="U57" s="293" t="s">
        <v>5087</v>
      </c>
      <c r="W57" s="249" t="str">
        <f t="shared" si="2"/>
        <v>Pengawas RA,MI Kec. Kotaanyar</v>
      </c>
    </row>
    <row r="58" spans="2:23" ht="29">
      <c r="B58" s="525" t="s">
        <v>1798</v>
      </c>
      <c r="C58" s="532">
        <f>COUNTIF('RA DATA'!$J$3:$J$421,'PETA_WAS_RA-MI'!B58)</f>
        <v>25</v>
      </c>
      <c r="D58" s="322"/>
      <c r="E58" s="532">
        <f>COUNTIF('MI DATA'!$I$3:$I$417,'PETA_WAS_RA-MI'!B58)</f>
        <v>25</v>
      </c>
      <c r="F58" s="322"/>
      <c r="G58" s="532">
        <f>SUM(C58,E58)</f>
        <v>50</v>
      </c>
      <c r="H58" s="532">
        <f>'PETA-PENGAWAS'!H32</f>
        <v>4</v>
      </c>
      <c r="I58" s="328"/>
      <c r="J58" s="330">
        <f t="shared" si="3"/>
        <v>50</v>
      </c>
      <c r="K58" s="382" t="s">
        <v>255</v>
      </c>
      <c r="L58" s="321" t="str">
        <f>IFERROR(IF(K58="","",VLOOKUP(K58,CHOOSE({1,2},'Data Pengawas RA-MI'!$Q$5:$Q$62,'Data Pengawas RA-MI'!$D$5:$D$62),2,0)),"")</f>
        <v>L</v>
      </c>
      <c r="M58" s="324" t="str">
        <f>IFERROR(IF(K58="","",VLOOKUP(K58,CHOOSE({1,2},'Data Pengawas RA-MI'!$Q$5:$Q$62,'Data Pengawas RA-MI'!$N$5:$N$62),2,0)),"")</f>
        <v>10 Juli 2030</v>
      </c>
      <c r="N58" s="325" t="str">
        <f>IFERROR(IF(K58="","",VLOOKUP(K58,CHOOSE({1,2},'Data Pengawas RA-MI'!$Q$5:$Q$62,'Data Pengawas RA-MI'!$I$5:$I$62),2,0)),"")</f>
        <v>Pengawas RA,MI Kec. Pakuniran</v>
      </c>
      <c r="O58" s="325" t="str">
        <f>IFERROR(TEXT(IF(K58="","",VLOOKUP(K58,CHOOSE({1,2},'Data Pengawas RA-MI'!$Q$5:$Q$62,'Data Pengawas RA-MI'!$G$5:$G$62),2,0)),"DD MMMM YYYY"),"")</f>
        <v>01 Januari 2021</v>
      </c>
      <c r="P58" s="325" t="str">
        <f t="shared" si="6"/>
        <v>Pengawas RA,MI Kec. Pakuniran</v>
      </c>
      <c r="Q58" s="326" t="str">
        <f>IFERROR(IF(K58="","",VLOOKUP(K58,CHOOSE({1,2},'Data Pengawas RA-MI'!$Q$5:$Q$62,'Data Pengawas RA-MI'!$P$5:$P$62),2,0)),"")</f>
        <v>Gading</v>
      </c>
      <c r="U58" s="290" t="s">
        <v>4318</v>
      </c>
      <c r="W58" s="249" t="str">
        <f t="shared" si="2"/>
        <v>Pengawas RA,MI Kec. Pakuniran</v>
      </c>
    </row>
    <row r="59" spans="2:23" ht="29">
      <c r="B59" s="552"/>
      <c r="C59" s="533"/>
      <c r="D59" s="322"/>
      <c r="E59" s="533"/>
      <c r="F59" s="322"/>
      <c r="G59" s="533"/>
      <c r="H59" s="533"/>
      <c r="I59" s="334"/>
      <c r="J59" s="330">
        <f t="shared" si="3"/>
        <v>51</v>
      </c>
      <c r="K59" s="382" t="s">
        <v>598</v>
      </c>
      <c r="L59" s="321" t="str">
        <f>IFERROR(IF(K59="","",VLOOKUP(K59,CHOOSE({1,2},'Data Pengawas RA-MI'!$Q$5:$Q$62,'Data Pengawas RA-MI'!$D$5:$D$62),2,0)),"")</f>
        <v>L</v>
      </c>
      <c r="M59" s="324" t="str">
        <f>IFERROR(IF(K59="","",VLOOKUP(K59,CHOOSE({1,2},'Data Pengawas RA-MI'!$Q$5:$Q$62,'Data Pengawas RA-MI'!$N$5:$N$62),2,0)),"")</f>
        <v>18 Juni 2036</v>
      </c>
      <c r="N59" s="325" t="str">
        <f>IFERROR(IF(K59="","",VLOOKUP(K59,CHOOSE({1,2},'Data Pengawas RA-MI'!$Q$5:$Q$62,'Data Pengawas RA-MI'!$I$5:$I$62),2,0)),"")</f>
        <v>Pengawas RA,MI Kec. Pakuniran</v>
      </c>
      <c r="O59" s="325" t="str">
        <f>IFERROR(TEXT(IF(K59="","",VLOOKUP(K59,CHOOSE({1,2},'Data Pengawas RA-MI'!$Q$5:$Q$62,'Data Pengawas RA-MI'!$G$5:$G$62),2,0)),"DD MMMM YYYY"),"")</f>
        <v>01 Juli 2024</v>
      </c>
      <c r="P59" s="325" t="str">
        <f t="shared" si="6"/>
        <v>Pengawas RA,MI Kec. Pakuniran</v>
      </c>
      <c r="Q59" s="326" t="str">
        <f>IFERROR(IF(K59="","",VLOOKUP(K59,CHOOSE({1,2},'Data Pengawas RA-MI'!$Q$5:$Q$62,'Data Pengawas RA-MI'!$P$5:$P$62),2,0)),"")</f>
        <v>Besuk</v>
      </c>
      <c r="U59" s="290" t="s">
        <v>4318</v>
      </c>
      <c r="W59" s="249" t="str">
        <f t="shared" si="2"/>
        <v>Pengawas RA,MI Kec. Pakuniran</v>
      </c>
    </row>
    <row r="60" spans="2:23" ht="29">
      <c r="B60" s="552"/>
      <c r="C60" s="533"/>
      <c r="D60" s="322"/>
      <c r="E60" s="533"/>
      <c r="F60" s="322"/>
      <c r="G60" s="533"/>
      <c r="H60" s="533"/>
      <c r="I60" s="334"/>
      <c r="J60" s="330">
        <f t="shared" si="3"/>
        <v>52</v>
      </c>
      <c r="K60" s="382" t="s">
        <v>247</v>
      </c>
      <c r="L60" s="321" t="str">
        <f>IFERROR(IF(K60="","",VLOOKUP(K60,CHOOSE({1,2},'Data Pengawas RA-MI'!$Q$5:$Q$62,'Data Pengawas RA-MI'!$D$5:$D$62),2,0)),"")</f>
        <v>P</v>
      </c>
      <c r="M60" s="324" t="str">
        <f>IFERROR(IF(K60="","",VLOOKUP(K60,CHOOSE({1,2},'Data Pengawas RA-MI'!$Q$5:$Q$62,'Data Pengawas RA-MI'!$N$5:$N$62),2,0)),"")</f>
        <v>17 November 2038</v>
      </c>
      <c r="N60" s="325" t="str">
        <f>IFERROR(IF(K60="","",VLOOKUP(K60,CHOOSE({1,2},'Data Pengawas RA-MI'!$Q$5:$Q$62,'Data Pengawas RA-MI'!$I$5:$I$62),2,0)),"")</f>
        <v>Pengawas RA,MI Kec. Pakuniran</v>
      </c>
      <c r="O60" s="325" t="str">
        <f>IFERROR(TEXT(IF(K60="","",VLOOKUP(K60,CHOOSE({1,2},'Data Pengawas RA-MI'!$Q$5:$Q$62,'Data Pengawas RA-MI'!$G$5:$G$62),2,0)),"DD MMMM YYYY"),"")</f>
        <v>01 Maret 2023</v>
      </c>
      <c r="P60" s="325" t="str">
        <f t="shared" si="6"/>
        <v>Pengawas RA,MI Kec. Pakuniran</v>
      </c>
      <c r="Q60" s="326" t="str">
        <f>IFERROR(IF(K60="","",VLOOKUP(K60,CHOOSE({1,2},'Data Pengawas RA-MI'!$Q$5:$Q$62,'Data Pengawas RA-MI'!$P$5:$P$62),2,0)),"")</f>
        <v>Paiton</v>
      </c>
      <c r="U60" s="290" t="s">
        <v>4318</v>
      </c>
      <c r="W60" s="249" t="str">
        <f t="shared" si="2"/>
        <v>Pengawas RA,MI Kec. Pakuniran</v>
      </c>
    </row>
    <row r="61" spans="2:23" ht="29">
      <c r="B61" s="526"/>
      <c r="C61" s="534"/>
      <c r="D61" s="322"/>
      <c r="E61" s="534"/>
      <c r="F61" s="322"/>
      <c r="G61" s="534"/>
      <c r="H61" s="534"/>
      <c r="I61" s="335"/>
      <c r="J61" s="330">
        <f t="shared" si="3"/>
        <v>53</v>
      </c>
      <c r="K61" s="382" t="s">
        <v>274</v>
      </c>
      <c r="L61" s="321" t="str">
        <f>IFERROR(IF(K61="","",VLOOKUP(K61,CHOOSE({1,2},'Data Pengawas RA-MI'!$Q$5:$Q$62,'Data Pengawas RA-MI'!$D$5:$D$62),2,0)),"")</f>
        <v>P</v>
      </c>
      <c r="M61" s="324" t="str">
        <f>IFERROR(IF(K61="","",VLOOKUP(K61,CHOOSE({1,2},'Data Pengawas RA-MI'!$Q$5:$Q$62,'Data Pengawas RA-MI'!$N$5:$N$62),2,0)),"")</f>
        <v>27 Juli 2029</v>
      </c>
      <c r="N61" s="325" t="str">
        <f>IFERROR(IF(K61="","",VLOOKUP(K61,CHOOSE({1,2},'Data Pengawas RA-MI'!$Q$5:$Q$62,'Data Pengawas RA-MI'!$I$5:$I$62),2,0)),"")</f>
        <v>Pengawas RA,MI Kec. Pakuniran</v>
      </c>
      <c r="O61" s="325" t="str">
        <f>IFERROR(TEXT(IF(K61="","",VLOOKUP(K61,CHOOSE({1,2},'Data Pengawas RA-MI'!$Q$5:$Q$62,'Data Pengawas RA-MI'!$G$5:$G$62),2,0)),"DD MMMM YYYY"),"")</f>
        <v>03 November 2022</v>
      </c>
      <c r="P61" s="325" t="str">
        <f t="shared" si="6"/>
        <v>Pengawas RA,MI Kec. Pakuniran</v>
      </c>
      <c r="Q61" s="326" t="str">
        <f>IFERROR(IF(K61="","",VLOOKUP(K61,CHOOSE({1,2},'Data Pengawas RA-MI'!$Q$5:$Q$62,'Data Pengawas RA-MI'!$P$5:$P$62),2,0)),"")</f>
        <v>Pakuniran</v>
      </c>
      <c r="U61" s="290" t="s">
        <v>4318</v>
      </c>
      <c r="W61" s="249" t="str">
        <f t="shared" si="2"/>
        <v>Pengawas RA,MI Kec. Pakuniran</v>
      </c>
    </row>
    <row r="62" spans="2:23" ht="29">
      <c r="B62" s="575" t="s">
        <v>1689</v>
      </c>
      <c r="C62" s="541">
        <f>COUNTIF('RA DATA'!$J$3:$J$421,'PETA_WAS_RA-MI'!B62)</f>
        <v>19</v>
      </c>
      <c r="D62" s="311"/>
      <c r="E62" s="541">
        <f>COUNTIF('MI DATA'!$I$3:$I$417,'PETA_WAS_RA-MI'!B62)</f>
        <v>23</v>
      </c>
      <c r="F62" s="311"/>
      <c r="G62" s="541">
        <f>SUM(C62,E62)</f>
        <v>42</v>
      </c>
      <c r="H62" s="541">
        <f>'PETA-PENGAWAS'!H33</f>
        <v>4</v>
      </c>
      <c r="I62" s="319"/>
      <c r="J62" s="330">
        <f t="shared" si="3"/>
        <v>54</v>
      </c>
      <c r="K62" s="383" t="s">
        <v>278</v>
      </c>
      <c r="L62" s="317" t="str">
        <f>IFERROR(IF(K62="","",VLOOKUP(K62,CHOOSE({1,2},'Data Pengawas RA-MI'!$Q$5:$Q$62,'Data Pengawas RA-MI'!$D$5:$D$62),2,0)),"")</f>
        <v>L</v>
      </c>
      <c r="M62" s="314" t="str">
        <f>IFERROR(IF(K62="","",VLOOKUP(K62,CHOOSE({1,2},'Data Pengawas RA-MI'!$Q$5:$Q$62,'Data Pengawas RA-MI'!$N$5:$N$62),2,0)),"")</f>
        <v>20 Juli 2025</v>
      </c>
      <c r="N62" s="315" t="str">
        <f>IFERROR(IF(K62="","",VLOOKUP(K62,CHOOSE({1,2},'Data Pengawas RA-MI'!$Q$5:$Q$62,'Data Pengawas RA-MI'!$I$5:$I$62),2,0)),"")</f>
        <v>Pengawas RA,MI Kec. Paiton</v>
      </c>
      <c r="O62" s="315" t="str">
        <f>IFERROR(TEXT(IF(K62="","",VLOOKUP(K62,CHOOSE({1,2},'Data Pengawas RA-MI'!$Q$5:$Q$62,'Data Pengawas RA-MI'!$G$5:$G$62),2,0)),"DD MMMM YYYY"),"")</f>
        <v>01 Juli 2024</v>
      </c>
      <c r="P62" s="315" t="str">
        <f t="shared" si="6"/>
        <v>Pengawas RA,MI Kec. Paiton</v>
      </c>
      <c r="Q62" s="316" t="str">
        <f>IFERROR(IF(K62="","",VLOOKUP(K62,CHOOSE({1,2},'Data Pengawas RA-MI'!$Q$5:$Q$62,'Data Pengawas RA-MI'!$P$5:$P$62),2,0)),"")</f>
        <v>Paiton</v>
      </c>
      <c r="U62" s="293" t="s">
        <v>5084</v>
      </c>
      <c r="W62" s="249" t="str">
        <f t="shared" si="2"/>
        <v>Pengawas RA,MI Kec. Paiton</v>
      </c>
    </row>
    <row r="63" spans="2:23" ht="29">
      <c r="B63" s="575"/>
      <c r="C63" s="542"/>
      <c r="D63" s="311"/>
      <c r="E63" s="542"/>
      <c r="F63" s="311"/>
      <c r="G63" s="542"/>
      <c r="H63" s="542"/>
      <c r="I63" s="340"/>
      <c r="J63" s="330">
        <f t="shared" si="3"/>
        <v>55</v>
      </c>
      <c r="K63" s="383" t="s">
        <v>275</v>
      </c>
      <c r="L63" s="317" t="str">
        <f>IFERROR(IF(K63="","",VLOOKUP(K63,CHOOSE({1,2},'Data Pengawas RA-MI'!$Q$5:$Q$62,'Data Pengawas RA-MI'!$D$5:$D$62),2,0)),"")</f>
        <v>L</v>
      </c>
      <c r="M63" s="314" t="str">
        <f>IFERROR(IF(K63="","",VLOOKUP(K63,CHOOSE({1,2},'Data Pengawas RA-MI'!$Q$5:$Q$62,'Data Pengawas RA-MI'!$N$5:$N$62),2,0)),"")</f>
        <v>10 Juni 2025</v>
      </c>
      <c r="N63" s="315" t="str">
        <f>IFERROR(IF(K63="","",VLOOKUP(K63,CHOOSE({1,2},'Data Pengawas RA-MI'!$Q$5:$Q$62,'Data Pengawas RA-MI'!$I$5:$I$62),2,0)),"")</f>
        <v>Pengawas RA,MI Kec. Paiton</v>
      </c>
      <c r="O63" s="315" t="str">
        <f>IFERROR(TEXT(IF(K63="","",VLOOKUP(K63,CHOOSE({1,2},'Data Pengawas RA-MI'!$Q$5:$Q$62,'Data Pengawas RA-MI'!$G$5:$G$62),2,0)),"DD MMMM YYYY"),"")</f>
        <v>01 Oktober 2021</v>
      </c>
      <c r="P63" s="315" t="str">
        <f t="shared" si="6"/>
        <v>Pengawas RA,MI Kec. Paiton</v>
      </c>
      <c r="Q63" s="316" t="str">
        <f>IFERROR(IF(K63="","",VLOOKUP(K63,CHOOSE({1,2},'Data Pengawas RA-MI'!$Q$5:$Q$62,'Data Pengawas RA-MI'!$P$5:$P$62),2,0)),"")</f>
        <v>Kotaanyar</v>
      </c>
      <c r="U63" s="293" t="s">
        <v>5084</v>
      </c>
      <c r="W63" s="249" t="str">
        <f t="shared" si="2"/>
        <v>Pengawas RA,MI Kec. Paiton</v>
      </c>
    </row>
    <row r="64" spans="2:23" ht="29">
      <c r="B64" s="575"/>
      <c r="C64" s="542"/>
      <c r="D64" s="311"/>
      <c r="E64" s="542"/>
      <c r="F64" s="311"/>
      <c r="G64" s="542"/>
      <c r="H64" s="542"/>
      <c r="I64" s="340"/>
      <c r="J64" s="330">
        <f t="shared" si="3"/>
        <v>56</v>
      </c>
      <c r="K64" s="383" t="s">
        <v>297</v>
      </c>
      <c r="L64" s="317" t="str">
        <f>IFERROR(IF(K64="","",VLOOKUP(K64,CHOOSE({1,2},'Data Pengawas RA-MI'!$Q$5:$Q$62,'Data Pengawas RA-MI'!$D$5:$D$62),2,0)),"")</f>
        <v>P</v>
      </c>
      <c r="M64" s="314" t="str">
        <f>IFERROR(IF(K64="","",VLOOKUP(K64,CHOOSE({1,2},'Data Pengawas RA-MI'!$Q$5:$Q$62,'Data Pengawas RA-MI'!$N$5:$N$62),2,0)),"")</f>
        <v>12 September 2032</v>
      </c>
      <c r="N64" s="315" t="str">
        <f>IFERROR(IF(K64="","",VLOOKUP(K64,CHOOSE({1,2},'Data Pengawas RA-MI'!$Q$5:$Q$62,'Data Pengawas RA-MI'!$I$5:$I$62),2,0)),"")</f>
        <v>Pengawas RA,MI Kec. Paiton</v>
      </c>
      <c r="O64" s="315" t="str">
        <f>IFERROR(TEXT(IF(K64="","",VLOOKUP(K64,CHOOSE({1,2},'Data Pengawas RA-MI'!$Q$5:$Q$62,'Data Pengawas RA-MI'!$G$5:$G$62),2,0)),"DD MMMM YYYY"),"")</f>
        <v>01 Juli 2024</v>
      </c>
      <c r="P64" s="315" t="str">
        <f t="shared" si="6"/>
        <v>Pengawas RA,MI Kec. Paiton</v>
      </c>
      <c r="Q64" s="316" t="str">
        <f>IFERROR(IF(K64="","",VLOOKUP(K64,CHOOSE({1,2},'Data Pengawas RA-MI'!$Q$5:$Q$62,'Data Pengawas RA-MI'!$P$5:$P$62),2,0)),"")</f>
        <v>Kraksaan</v>
      </c>
      <c r="U64" s="293" t="s">
        <v>5084</v>
      </c>
      <c r="W64" s="249" t="str">
        <f t="shared" si="2"/>
        <v>Pengawas RA,MI Kec. Paiton</v>
      </c>
    </row>
    <row r="65" spans="2:23" ht="29">
      <c r="B65" s="575"/>
      <c r="C65" s="543"/>
      <c r="D65" s="311"/>
      <c r="E65" s="543"/>
      <c r="F65" s="311"/>
      <c r="G65" s="543"/>
      <c r="H65" s="543"/>
      <c r="I65" s="339"/>
      <c r="J65" s="330">
        <f t="shared" si="3"/>
        <v>57</v>
      </c>
      <c r="K65" s="383" t="s">
        <v>253</v>
      </c>
      <c r="L65" s="317" t="str">
        <f>IFERROR(IF(K65="","",VLOOKUP(K65,CHOOSE({1,2},'Data Pengawas RA-MI'!$Q$5:$Q$62,'Data Pengawas RA-MI'!$D$5:$D$62),2,0)),"")</f>
        <v>P</v>
      </c>
      <c r="M65" s="314" t="str">
        <f>IFERROR(IF(K65="","",VLOOKUP(K65,CHOOSE({1,2},'Data Pengawas RA-MI'!$Q$5:$Q$62,'Data Pengawas RA-MI'!$N$5:$N$62),2,0)),"")</f>
        <v>11 Agustus 2030</v>
      </c>
      <c r="N65" s="315" t="str">
        <f>IFERROR(IF(K65="","",VLOOKUP(K65,CHOOSE({1,2},'Data Pengawas RA-MI'!$Q$5:$Q$62,'Data Pengawas RA-MI'!$I$5:$I$62),2,0)),"")</f>
        <v>Pengawas RA,MI Kec. Paiton</v>
      </c>
      <c r="O65" s="315" t="str">
        <f>IFERROR(TEXT(IF(K65="","",VLOOKUP(K65,CHOOSE({1,2},'Data Pengawas RA-MI'!$Q$5:$Q$62,'Data Pengawas RA-MI'!$G$5:$G$62),2,0)),"DD MMMM YYYY"),"")</f>
        <v>01 Januari 2021</v>
      </c>
      <c r="P65" s="315" t="str">
        <f t="shared" si="6"/>
        <v>Pengawas RA,MI Kec. Paiton</v>
      </c>
      <c r="Q65" s="316" t="str">
        <f>IFERROR(IF(K65="","",VLOOKUP(K65,CHOOSE({1,2},'Data Pengawas RA-MI'!$Q$5:$Q$62,'Data Pengawas RA-MI'!$P$5:$P$62),2,0)),"")</f>
        <v>Paiton</v>
      </c>
      <c r="U65" s="332" t="s">
        <v>5084</v>
      </c>
      <c r="W65" s="249" t="str">
        <f t="shared" si="2"/>
        <v>Pengawas RA,MI Kec. Paiton</v>
      </c>
    </row>
    <row r="66" spans="2:23">
      <c r="B66" s="312" t="s">
        <v>5056</v>
      </c>
      <c r="C66" s="320">
        <f>SUM($C$6:$C$62)</f>
        <v>419</v>
      </c>
      <c r="D66" s="320">
        <f>SUM(D6:D62)</f>
        <v>0</v>
      </c>
      <c r="E66" s="320">
        <f>SUM($E$6:$E$62)</f>
        <v>415</v>
      </c>
      <c r="F66" s="320">
        <f>SUM(F6:F62)</f>
        <v>0</v>
      </c>
      <c r="G66" s="320">
        <f>SUM($G$6:$G$62)</f>
        <v>834</v>
      </c>
      <c r="H66" s="320">
        <f>SUM(H6:H62)</f>
        <v>59</v>
      </c>
      <c r="I66" s="320"/>
      <c r="J66" s="331"/>
      <c r="K66" s="336" t="s">
        <v>5133</v>
      </c>
      <c r="L66" s="287">
        <f>COUNTIF($L$6:$L$65,"P")</f>
        <v>23</v>
      </c>
      <c r="M66" s="574">
        <f>SUM(L66:L67)</f>
        <v>58</v>
      </c>
      <c r="N66" s="313"/>
      <c r="O66" s="313"/>
      <c r="P66" s="313"/>
      <c r="Q66" s="313"/>
    </row>
    <row r="67" spans="2:23">
      <c r="K67" s="336" t="s">
        <v>5134</v>
      </c>
      <c r="L67" s="287">
        <f>COUNTIF($L$6:$L$65,"L")</f>
        <v>35</v>
      </c>
      <c r="M67" s="574"/>
    </row>
  </sheetData>
  <sheetProtection formatColumns="0" formatRows="0" insertColumns="0" insertRows="0" deleteColumns="0" deleteRows="0"/>
  <mergeCells count="110">
    <mergeCell ref="B1:I1"/>
    <mergeCell ref="K1:Q1"/>
    <mergeCell ref="M66:M67"/>
    <mergeCell ref="B16:B17"/>
    <mergeCell ref="C16:C17"/>
    <mergeCell ref="E16:E17"/>
    <mergeCell ref="G16:G17"/>
    <mergeCell ref="H16:H17"/>
    <mergeCell ref="B58:B61"/>
    <mergeCell ref="C58:C61"/>
    <mergeCell ref="E58:E61"/>
    <mergeCell ref="G58:G61"/>
    <mergeCell ref="H58:H61"/>
    <mergeCell ref="B56:B57"/>
    <mergeCell ref="C56:C57"/>
    <mergeCell ref="E56:E57"/>
    <mergeCell ref="G56:G57"/>
    <mergeCell ref="H56:H57"/>
    <mergeCell ref="C62:C65"/>
    <mergeCell ref="E62:E65"/>
    <mergeCell ref="B62:B65"/>
    <mergeCell ref="G62:G65"/>
    <mergeCell ref="H62:H65"/>
    <mergeCell ref="B4:B5"/>
    <mergeCell ref="C4:G4"/>
    <mergeCell ref="H4:H5"/>
    <mergeCell ref="L4:L5"/>
    <mergeCell ref="L6:L8"/>
    <mergeCell ref="I4:I5"/>
    <mergeCell ref="Q6:Q8"/>
    <mergeCell ref="J6:J8"/>
    <mergeCell ref="K4:K5"/>
    <mergeCell ref="M4:M5"/>
    <mergeCell ref="N4:N5"/>
    <mergeCell ref="Q4:Q5"/>
    <mergeCell ref="O4:O5"/>
    <mergeCell ref="O6:O8"/>
    <mergeCell ref="J4:J5"/>
    <mergeCell ref="P4:P5"/>
    <mergeCell ref="P6:P8"/>
    <mergeCell ref="M6:M8"/>
    <mergeCell ref="N6:N8"/>
    <mergeCell ref="K6:K8"/>
    <mergeCell ref="I6:I8"/>
    <mergeCell ref="B53:B55"/>
    <mergeCell ref="C53:C55"/>
    <mergeCell ref="E53:E55"/>
    <mergeCell ref="G53:G55"/>
    <mergeCell ref="H53:H55"/>
    <mergeCell ref="G19:G21"/>
    <mergeCell ref="H19:H21"/>
    <mergeCell ref="C46:C49"/>
    <mergeCell ref="E46:E49"/>
    <mergeCell ref="G46:G49"/>
    <mergeCell ref="H46:H49"/>
    <mergeCell ref="B50:B52"/>
    <mergeCell ref="C50:C52"/>
    <mergeCell ref="E50:E52"/>
    <mergeCell ref="G50:G52"/>
    <mergeCell ref="H50:H52"/>
    <mergeCell ref="C41:C44"/>
    <mergeCell ref="B41:B44"/>
    <mergeCell ref="E39:E40"/>
    <mergeCell ref="G39:G40"/>
    <mergeCell ref="H39:H40"/>
    <mergeCell ref="H41:H44"/>
    <mergeCell ref="H22:H23"/>
    <mergeCell ref="B32:B35"/>
    <mergeCell ref="B46:B49"/>
    <mergeCell ref="B36:B38"/>
    <mergeCell ref="B39:B40"/>
    <mergeCell ref="B28:B31"/>
    <mergeCell ref="B24:B27"/>
    <mergeCell ref="C39:C40"/>
    <mergeCell ref="H10:H11"/>
    <mergeCell ref="H6:H8"/>
    <mergeCell ref="C36:C38"/>
    <mergeCell ref="E36:E38"/>
    <mergeCell ref="G36:G38"/>
    <mergeCell ref="H36:H38"/>
    <mergeCell ref="H24:H27"/>
    <mergeCell ref="H28:H31"/>
    <mergeCell ref="H32:H35"/>
    <mergeCell ref="G32:G35"/>
    <mergeCell ref="E32:E35"/>
    <mergeCell ref="C24:C27"/>
    <mergeCell ref="C28:C31"/>
    <mergeCell ref="C32:C35"/>
    <mergeCell ref="H13:H14"/>
    <mergeCell ref="C10:C11"/>
    <mergeCell ref="E10:E11"/>
    <mergeCell ref="G10:G11"/>
    <mergeCell ref="B13:B14"/>
    <mergeCell ref="C13:C14"/>
    <mergeCell ref="E13:E14"/>
    <mergeCell ref="G13:G14"/>
    <mergeCell ref="B10:B11"/>
    <mergeCell ref="G41:G44"/>
    <mergeCell ref="E41:E44"/>
    <mergeCell ref="G24:G27"/>
    <mergeCell ref="B22:B23"/>
    <mergeCell ref="C22:C23"/>
    <mergeCell ref="E22:E23"/>
    <mergeCell ref="G22:G23"/>
    <mergeCell ref="B19:B21"/>
    <mergeCell ref="C19:C21"/>
    <mergeCell ref="E19:E21"/>
    <mergeCell ref="E28:E31"/>
    <mergeCell ref="G28:G31"/>
    <mergeCell ref="E24:E27"/>
  </mergeCells>
  <conditionalFormatting sqref="K17">
    <cfRule type="duplicateValues" dxfId="11" priority="5"/>
  </conditionalFormatting>
  <conditionalFormatting sqref="K34">
    <cfRule type="duplicateValues" dxfId="10" priority="10"/>
  </conditionalFormatting>
  <conditionalFormatting sqref="M6:M65">
    <cfRule type="containsText" dxfId="9" priority="2" operator="containsText" text="2027">
      <formula>NOT(ISERROR(SEARCH("2027",M6)))</formula>
    </cfRule>
    <cfRule type="containsText" dxfId="8" priority="3" operator="containsText" text="2026">
      <formula>NOT(ISERROR(SEARCH("2026",M6)))</formula>
    </cfRule>
    <cfRule type="containsText" dxfId="7" priority="4" operator="containsText" text="2025">
      <formula>NOT(ISERROR(SEARCH("2025",M6)))</formula>
    </cfRule>
  </conditionalFormatting>
  <conditionalFormatting sqref="K6:K16 K35:K65 K18:K33">
    <cfRule type="duplicateValues" dxfId="6" priority="122"/>
  </conditionalFormatting>
  <conditionalFormatting sqref="K6:K65">
    <cfRule type="duplicateValues" dxfId="5" priority="126"/>
  </conditionalFormatting>
  <dataValidations count="1">
    <dataValidation type="list" allowBlank="1" showInputMessage="1" showErrorMessage="1" promptTitle="Pilih :" prompt="Dringu dan Gending_x000a_Gending_x000a_Dringu" sqref="U16:U18">
      <formula1>"Dringu dan Gending,Gending,Dringu"</formula1>
    </dataValidation>
  </dataValidations>
  <pageMargins left="0.51181102362204722" right="0.31496062992125984" top="0.55118110236220474" bottom="0.55118110236220474" header="0.31496062992125984" footer="0.31496062992125984"/>
  <pageSetup paperSize="9" orientation="landscape" horizontalDpi="4294967293" verticalDpi="0" r:id="rId1"/>
  <headerFoot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'Data Pengawas RA-MI'!$Q$5:$Q$63</xm:f>
          </x14:formula1>
          <xm:sqref>K6:K65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W35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S17" sqref="S17"/>
    </sheetView>
  </sheetViews>
  <sheetFormatPr defaultColWidth="8.7265625" defaultRowHeight="14.5"/>
  <cols>
    <col min="1" max="1" width="2" style="249" customWidth="1"/>
    <col min="2" max="2" width="21.26953125" style="249" customWidth="1"/>
    <col min="3" max="3" width="14.54296875" style="249" customWidth="1"/>
    <col min="4" max="4" width="8.7265625" style="249" hidden="1" customWidth="1"/>
    <col min="5" max="6" width="14.08984375" style="249" customWidth="1"/>
    <col min="7" max="7" width="19.36328125" style="249" customWidth="1"/>
    <col min="8" max="8" width="11.453125" style="249" hidden="1" customWidth="1"/>
    <col min="9" max="9" width="4.453125" style="249" customWidth="1"/>
    <col min="10" max="10" width="25.90625" style="249" customWidth="1"/>
    <col min="11" max="11" width="7.36328125" style="249" customWidth="1"/>
    <col min="12" max="12" width="17" style="249" customWidth="1"/>
    <col min="13" max="13" width="29.6328125" style="249" customWidth="1"/>
    <col min="14" max="14" width="14.08984375" style="249" customWidth="1"/>
    <col min="15" max="15" width="28.54296875" style="249" customWidth="1"/>
    <col min="16" max="16" width="11.54296875" style="249" customWidth="1"/>
    <col min="17" max="20" width="8.7265625" style="249"/>
    <col min="21" max="21" width="14.1796875" style="249" customWidth="1"/>
    <col min="22" max="22" width="15" style="249" customWidth="1"/>
    <col min="23" max="23" width="9" style="249" customWidth="1"/>
    <col min="24" max="16384" width="8.7265625" style="249"/>
  </cols>
  <sheetData>
    <row r="1" spans="2:23" ht="37.5" customHeight="1">
      <c r="B1" s="607" t="s">
        <v>5165</v>
      </c>
      <c r="C1" s="607"/>
      <c r="D1" s="607"/>
      <c r="E1" s="607"/>
      <c r="F1" s="607"/>
      <c r="G1" s="607"/>
      <c r="H1" s="379"/>
      <c r="I1" s="379"/>
      <c r="J1" s="611" t="s">
        <v>5152</v>
      </c>
      <c r="K1" s="611"/>
      <c r="L1" s="611"/>
      <c r="M1" s="611"/>
      <c r="N1" s="611"/>
      <c r="O1" s="611"/>
      <c r="P1" s="611"/>
    </row>
    <row r="2" spans="2:23" ht="15" thickBot="1">
      <c r="B2" s="608" t="s">
        <v>5131</v>
      </c>
      <c r="C2" s="609"/>
      <c r="E2" s="490">
        <f>'PETA-PENGAWAS'!P2</f>
        <v>20</v>
      </c>
    </row>
    <row r="3" spans="2:23" ht="3" customHeight="1"/>
    <row r="4" spans="2:23">
      <c r="B4" s="521" t="s">
        <v>5110</v>
      </c>
      <c r="C4" s="524" t="s">
        <v>5056</v>
      </c>
      <c r="D4" s="524"/>
      <c r="E4" s="524"/>
      <c r="F4" s="524"/>
      <c r="G4" s="309" t="s">
        <v>5124</v>
      </c>
      <c r="H4" s="309" t="s">
        <v>5138</v>
      </c>
      <c r="I4" s="610" t="s">
        <v>5120</v>
      </c>
      <c r="J4" s="522" t="s">
        <v>307</v>
      </c>
      <c r="K4" s="283" t="s">
        <v>5126</v>
      </c>
      <c r="L4" s="522" t="s">
        <v>5119</v>
      </c>
      <c r="M4" s="522" t="s">
        <v>5107</v>
      </c>
      <c r="N4" s="612" t="s">
        <v>5121</v>
      </c>
      <c r="O4" s="522" t="s">
        <v>5108</v>
      </c>
      <c r="P4" s="522" t="s">
        <v>5111</v>
      </c>
    </row>
    <row r="5" spans="2:23" ht="21">
      <c r="B5" s="521"/>
      <c r="C5" s="280" t="s">
        <v>601</v>
      </c>
      <c r="D5" s="279" t="s">
        <v>5057</v>
      </c>
      <c r="E5" s="278" t="s">
        <v>347</v>
      </c>
      <c r="F5" s="281" t="s">
        <v>602</v>
      </c>
      <c r="G5" s="308" t="s">
        <v>5125</v>
      </c>
      <c r="H5" s="308" t="s">
        <v>5139</v>
      </c>
      <c r="I5" s="610"/>
      <c r="J5" s="522"/>
      <c r="K5" s="381" t="s">
        <v>5127</v>
      </c>
      <c r="L5" s="522"/>
      <c r="M5" s="522"/>
      <c r="N5" s="613"/>
      <c r="O5" s="522"/>
      <c r="P5" s="522"/>
    </row>
    <row r="6" spans="2:23" s="357" customFormat="1" ht="14.5" customHeight="1">
      <c r="B6" s="362" t="s">
        <v>1897</v>
      </c>
      <c r="C6" s="363">
        <f>'PETA-PENGAWAS'!L8</f>
        <v>0</v>
      </c>
      <c r="D6" s="363"/>
      <c r="E6" s="363">
        <f>'PETA-PENGAWAS'!N8</f>
        <v>0</v>
      </c>
      <c r="F6" s="363">
        <f t="shared" ref="F6:F32" si="0">SUM(C6:E6)</f>
        <v>0</v>
      </c>
      <c r="G6" s="364"/>
      <c r="H6" s="365"/>
      <c r="I6" s="366"/>
      <c r="J6" s="367"/>
      <c r="K6" s="368" t="str">
        <f>IF(J6="","",VLOOKUP(J6,CHOOSE({1,2},'Data Pengawas MTS-MA'!$P$5:$P$24,'Data Pengawas MTS-MA'!$D$5:$D$24),2,0))</f>
        <v/>
      </c>
      <c r="L6" s="369" t="str">
        <f>IF(J6="","",VLOOKUP(J6,CHOOSE({1,2},'Data Pengawas MTS-MA'!$P$5:$P$24,'Data Pengawas MTS-MA'!$M$5:$M$24),2,0))</f>
        <v/>
      </c>
      <c r="M6" s="370" t="str">
        <f>IF(J6="","",VLOOKUP(J6,CHOOSE({1,2},'Data Pengawas MTS-MA'!$P$5:$P$24,'Data Pengawas MTS-MA'!$H$5:$H$24),2,0))</f>
        <v/>
      </c>
      <c r="N6" s="370" t="str">
        <f>TEXT(IF(J6="","",VLOOKUP(J6,CHOOSE({1,2},'Data Pengawas MTS-MA'!$P$5:$P$24,'Data Pengawas MTS-MA'!$F$5:$F$24),2,0)),"DD MMMM YYYY")</f>
        <v/>
      </c>
      <c r="O6" s="364" t="str">
        <f>IF(J6="","",W6)</f>
        <v/>
      </c>
      <c r="P6" s="371" t="str">
        <f>IF(J6="","",VLOOKUP(J6,CHOOSE({1,2},'Data Pengawas MTS-MA'!$P$5:$P$24,'Data Pengawas MTS-MA'!$O$5:$O$24),2,0))</f>
        <v/>
      </c>
      <c r="V6" s="358" t="s">
        <v>5130</v>
      </c>
      <c r="W6" s="357" t="str">
        <f>"Pengawas MTs, MA Kec. "&amp;V6</f>
        <v>Pengawas MTs, MA Kec. Sumber</v>
      </c>
    </row>
    <row r="7" spans="2:23" s="357" customFormat="1">
      <c r="B7" s="362" t="s">
        <v>1889</v>
      </c>
      <c r="C7" s="363">
        <f>'PETA-PENGAWAS'!L9</f>
        <v>0</v>
      </c>
      <c r="D7" s="363"/>
      <c r="E7" s="363">
        <f>'PETA-PENGAWAS'!N9</f>
        <v>0</v>
      </c>
      <c r="F7" s="363">
        <f t="shared" si="0"/>
        <v>0</v>
      </c>
      <c r="G7" s="364"/>
      <c r="H7" s="365"/>
      <c r="I7" s="366"/>
      <c r="J7" s="367"/>
      <c r="K7" s="368" t="str">
        <f>IF(J7="","",VLOOKUP(J7,CHOOSE({1,2},'Data Pengawas MTS-MA'!$P$5:$P$24,'Data Pengawas MTS-MA'!$D$5:$D$24),2,0))</f>
        <v/>
      </c>
      <c r="L7" s="369" t="str">
        <f>IF(J7="","",VLOOKUP(J7,CHOOSE({1,2},'Data Pengawas MTS-MA'!$P$5:$P$24,'Data Pengawas MTS-MA'!$M$5:$M$24),2,0))</f>
        <v/>
      </c>
      <c r="M7" s="370" t="str">
        <f>IF(J7="","",VLOOKUP(J7,CHOOSE({1,2},'Data Pengawas MTS-MA'!$P$5:$P$24,'Data Pengawas MTS-MA'!$H$5:$H$24),2,0))</f>
        <v/>
      </c>
      <c r="N7" s="370" t="str">
        <f>TEXT(IF(J7="","",VLOOKUP(J7,CHOOSE({1,2},'Data Pengawas MTS-MA'!$P$5:$P$24,'Data Pengawas MTS-MA'!$F$5:$F$24),2,0)),"DD MMMM YYYY")</f>
        <v/>
      </c>
      <c r="O7" s="364"/>
      <c r="P7" s="371" t="str">
        <f>IF(J7="","",VLOOKUP(J7,CHOOSE({1,2},'Data Pengawas MTS-MA'!$P$5:$P$24,'Data Pengawas MTS-MA'!$O$5:$O$24),2,0))</f>
        <v/>
      </c>
      <c r="V7" s="358" t="s">
        <v>5129</v>
      </c>
      <c r="W7" s="357" t="str">
        <f t="shared" ref="W7:W34" si="1">"Pengawas MTs, MA Kec. "&amp;V7</f>
        <v>Pengawas MTs, MA Kec. Sukapura</v>
      </c>
    </row>
    <row r="8" spans="2:23" s="357" customFormat="1">
      <c r="B8" s="354" t="s">
        <v>1561</v>
      </c>
      <c r="C8" s="355">
        <f>'PETA-PENGAWAS'!L10</f>
        <v>4</v>
      </c>
      <c r="D8" s="355"/>
      <c r="E8" s="355">
        <f>'PETA-PENGAWAS'!N10</f>
        <v>3</v>
      </c>
      <c r="F8" s="355">
        <f t="shared" si="0"/>
        <v>7</v>
      </c>
      <c r="G8" s="583">
        <f>'PETA-PENGAWAS'!P8</f>
        <v>1</v>
      </c>
      <c r="H8" s="583"/>
      <c r="I8" s="601">
        <v>1</v>
      </c>
      <c r="J8" s="581" t="s">
        <v>299</v>
      </c>
      <c r="K8" s="583" t="str">
        <f>IFERROR(IF(J8="","",VLOOKUP(J8,CHOOSE({1,2},'Data Pengawas MTS-MA'!$P$5:$P$24,'Data Pengawas MTS-MA'!$D$5:$D$24),2,0)),"")</f>
        <v>L</v>
      </c>
      <c r="L8" s="586" t="str">
        <f>IFERROR(IF(J8="","",VLOOKUP(J8,CHOOSE({1,2},'Data Pengawas MTS-MA'!$P$5:$P$24,'Data Pengawas MTS-MA'!$M$5:$M$24),2,0)),"")</f>
        <v>04 September 2033</v>
      </c>
      <c r="M8" s="579" t="str">
        <f>IFERROR(IF(J8="","",VLOOKUP(J8,CHOOSE({1,2},'Data Pengawas MTS-MA'!$P$5:$P$24,'Data Pengawas MTS-MA'!$H$5:$H$24),2,0)),"")</f>
        <v>Pengawas MTs,MA Kec. Tongas,Lumbang,Sumberasih</v>
      </c>
      <c r="N8" s="577" t="str">
        <f>IFERROR(TEXT(IF(J8="","",VLOOKUP(J8,CHOOSE({1,2},'Data Pengawas MTS-MA'!$P$5:$P$24,'Data Pengawas MTS-MA'!$F$5:$F$24),2,0)),"DD MMMM YYYY"),"")</f>
        <v>17 Juli 2023</v>
      </c>
      <c r="O8" s="579" t="str">
        <f>IFERROR(IF(K8="","",W8),"")</f>
        <v>Pengawas MTs, MA Kec. Lumbang, Tongas, Kuripan</v>
      </c>
      <c r="P8" s="581" t="str">
        <f>IFERROR(IF(J8="","",VLOOKUP(J8,CHOOSE({1,2},'Data Pengawas MTS-MA'!$P$5:$P$24,'Data Pengawas MTS-MA'!$O$5:$O$24),2,0)),"")</f>
        <v>Sumberasih</v>
      </c>
      <c r="V8" s="358" t="s">
        <v>5149</v>
      </c>
      <c r="W8" s="357" t="str">
        <f t="shared" si="1"/>
        <v>Pengawas MTs, MA Kec. Lumbang, Tongas, Kuripan</v>
      </c>
    </row>
    <row r="9" spans="2:23" s="357" customFormat="1">
      <c r="B9" s="354" t="s">
        <v>2133</v>
      </c>
      <c r="C9" s="355">
        <f>'PETA-PENGAWAS'!L11</f>
        <v>4</v>
      </c>
      <c r="D9" s="355"/>
      <c r="E9" s="355">
        <f>'PETA-PENGAWAS'!N11</f>
        <v>2</v>
      </c>
      <c r="F9" s="355">
        <f t="shared" si="0"/>
        <v>6</v>
      </c>
      <c r="G9" s="584"/>
      <c r="H9" s="584"/>
      <c r="I9" s="602"/>
      <c r="J9" s="591"/>
      <c r="K9" s="584"/>
      <c r="L9" s="587"/>
      <c r="M9" s="589"/>
      <c r="N9" s="590"/>
      <c r="O9" s="589"/>
      <c r="P9" s="591"/>
      <c r="V9" s="358" t="s">
        <v>5113</v>
      </c>
      <c r="W9" s="357" t="str">
        <f t="shared" si="1"/>
        <v>Pengawas MTs, MA Kec. Tongas</v>
      </c>
    </row>
    <row r="10" spans="2:23" s="357" customFormat="1">
      <c r="B10" s="354" t="s">
        <v>1471</v>
      </c>
      <c r="C10" s="355">
        <f>'PETA-PENGAWAS'!L13</f>
        <v>4</v>
      </c>
      <c r="D10" s="355"/>
      <c r="E10" s="355">
        <f>'PETA-PENGAWAS'!N13</f>
        <v>1</v>
      </c>
      <c r="F10" s="355">
        <f>SUM(C10:E10)</f>
        <v>5</v>
      </c>
      <c r="G10" s="585"/>
      <c r="H10" s="585"/>
      <c r="I10" s="603"/>
      <c r="J10" s="582"/>
      <c r="K10" s="585"/>
      <c r="L10" s="588"/>
      <c r="M10" s="580"/>
      <c r="N10" s="578"/>
      <c r="O10" s="580"/>
      <c r="P10" s="582"/>
      <c r="V10" s="358" t="s">
        <v>5099</v>
      </c>
      <c r="W10" s="357" t="str">
        <f>"Pengawas MTs, MA Kec. "&amp;V10</f>
        <v>Pengawas MTs, MA Kec. Kuripan</v>
      </c>
    </row>
    <row r="11" spans="2:23" s="357" customFormat="1">
      <c r="B11" s="354" t="s">
        <v>1902</v>
      </c>
      <c r="C11" s="355">
        <f>'PETA-PENGAWAS'!L15</f>
        <v>8</v>
      </c>
      <c r="D11" s="355"/>
      <c r="E11" s="355">
        <f>'PETA-PENGAWAS'!N15</f>
        <v>4</v>
      </c>
      <c r="F11" s="355">
        <f>SUM(C11:E11)</f>
        <v>12</v>
      </c>
      <c r="G11" s="359">
        <f>'PETA-PENGAWAS'!P15</f>
        <v>1</v>
      </c>
      <c r="H11" s="583"/>
      <c r="I11" s="601">
        <v>2</v>
      </c>
      <c r="J11" s="581" t="s">
        <v>241</v>
      </c>
      <c r="K11" s="583" t="str">
        <f>IFERROR(IF(J11="","",VLOOKUP(J11,CHOOSE({1,2},'Data Pengawas MTS-MA'!$P$5:$P$24,'Data Pengawas MTS-MA'!$D$5:$D$24),2,0)),"")</f>
        <v>P</v>
      </c>
      <c r="L11" s="586" t="str">
        <f>IFERROR(IF(J11="","",VLOOKUP(J11,CHOOSE({1,2},'Data Pengawas MTS-MA'!$P$5:$P$24,'Data Pengawas MTS-MA'!$M$5:$M$24),2,0)),"")</f>
        <v>06 Mei 2031</v>
      </c>
      <c r="M11" s="579" t="str">
        <f>IFERROR(IF(J11="","",VLOOKUP(J11,CHOOSE({1,2},'Data Pengawas MTS-MA'!$P$5:$P$24,'Data Pengawas MTS-MA'!$H$5:$H$24),2,0)),"")</f>
        <v>Pengawas MTs,MA Kec. Wonomerto, Bantaran</v>
      </c>
      <c r="N11" s="577" t="str">
        <f>IFERROR(TEXT(IF(J11="","",VLOOKUP(J11,CHOOSE({1,2},'Data Pengawas MTS-MA'!$P$5:$P$24,'Data Pengawas MTS-MA'!$F$5:$F$24),2,0)),"DD MMMM YYYY"),"")</f>
        <v>01 Juni 2023</v>
      </c>
      <c r="O11" s="579" t="str">
        <f>IFERROR(IF(K11="","",W11),"")</f>
        <v>Pengawas MTs, MA Kec. Sumberasih,Wonomerto</v>
      </c>
      <c r="P11" s="581" t="str">
        <f>IFERROR(IF(J11="","",VLOOKUP(J11,CHOOSE({1,2},'Data Pengawas MTS-MA'!$P$5:$P$24,'Data Pengawas MTS-MA'!$O$5:$O$24),2,0)),"")</f>
        <v>Sumberasih</v>
      </c>
      <c r="V11" s="358" t="s">
        <v>5150</v>
      </c>
      <c r="W11" s="357" t="str">
        <f>"Pengawas MTs, MA Kec. "&amp;V11</f>
        <v>Pengawas MTs, MA Kec. Sumberasih,Wonomerto</v>
      </c>
    </row>
    <row r="12" spans="2:23" s="357" customFormat="1">
      <c r="B12" s="354" t="s">
        <v>2211</v>
      </c>
      <c r="C12" s="355">
        <f>'PETA-PENGAWAS'!L12</f>
        <v>6</v>
      </c>
      <c r="D12" s="355"/>
      <c r="E12" s="355">
        <f>'PETA-PENGAWAS'!N12</f>
        <v>2</v>
      </c>
      <c r="F12" s="355">
        <f t="shared" si="0"/>
        <v>8</v>
      </c>
      <c r="G12" s="356">
        <f>'PETA-PENGAWAS'!P12</f>
        <v>1</v>
      </c>
      <c r="H12" s="585"/>
      <c r="I12" s="603"/>
      <c r="J12" s="582"/>
      <c r="K12" s="585"/>
      <c r="L12" s="588"/>
      <c r="M12" s="580"/>
      <c r="N12" s="578"/>
      <c r="O12" s="580"/>
      <c r="P12" s="582"/>
      <c r="V12" s="358" t="s">
        <v>5101</v>
      </c>
      <c r="W12" s="357" t="str">
        <f t="shared" si="1"/>
        <v>Pengawas MTs, MA Kec. Wonomerto</v>
      </c>
    </row>
    <row r="13" spans="2:23" s="357" customFormat="1" ht="29">
      <c r="B13" s="354" t="s">
        <v>683</v>
      </c>
      <c r="C13" s="355">
        <f>'PETA-PENGAWAS'!L14</f>
        <v>13</v>
      </c>
      <c r="D13" s="355"/>
      <c r="E13" s="355">
        <f>'PETA-PENGAWAS'!N14</f>
        <v>7</v>
      </c>
      <c r="F13" s="355">
        <f t="shared" si="0"/>
        <v>20</v>
      </c>
      <c r="G13" s="356">
        <f>'PETA-PENGAWAS'!P14</f>
        <v>1</v>
      </c>
      <c r="H13" s="356"/>
      <c r="I13" s="491">
        <v>3</v>
      </c>
      <c r="J13" s="377" t="s">
        <v>238</v>
      </c>
      <c r="K13" s="360" t="str">
        <f>IFERROR(IF(J13="","",VLOOKUP(J13,CHOOSE({1,2},'Data Pengawas MTS-MA'!$P$5:$P$24,'Data Pengawas MTS-MA'!$D$5:$D$24),2,0)),"")</f>
        <v>P</v>
      </c>
      <c r="L13" s="380" t="str">
        <f>IFERROR(IF(J13="","",VLOOKUP(J13,CHOOSE({1,2},'Data Pengawas MTS-MA'!$P$5:$P$24,'Data Pengawas MTS-MA'!$M$5:$M$24),2,0)),"")</f>
        <v>29 Desember 2031</v>
      </c>
      <c r="M13" s="378" t="str">
        <f>IFERROR(IF(J13="","",VLOOKUP(J13,CHOOSE({1,2},'Data Pengawas MTS-MA'!$P$5:$P$24,'Data Pengawas MTS-MA'!$H$5:$H$24),2,0)),"")</f>
        <v>Pengawas MTs Kec. Kuripan, Lumbang, Bantaran</v>
      </c>
      <c r="N13" s="376" t="str">
        <f>IFERROR(TEXT(IF(J13="","",VLOOKUP(J13,CHOOSE({1,2},'Data Pengawas MTS-MA'!$P$5:$P$24,'Data Pengawas MTS-MA'!$F$5:$F$24),2,0)),"DD MMMM YYYY"),"")</f>
        <v>01 Oktober 2023</v>
      </c>
      <c r="O13" s="378" t="str">
        <f t="shared" ref="O13:O32" si="2">IFERROR(IF(K13="","",W13),"")</f>
        <v>Pengawas MTs, MA Kec. Bantaran</v>
      </c>
      <c r="P13" s="377" t="str">
        <f>IFERROR(IF(J13="","",VLOOKUP(J13,CHOOSE({1,2},'Data Pengawas MTS-MA'!$P$5:$P$24,'Data Pengawas MTS-MA'!$O$5:$O$24),2,0)),"")</f>
        <v>Bantaran</v>
      </c>
      <c r="V13" s="358" t="s">
        <v>5105</v>
      </c>
      <c r="W13" s="357" t="str">
        <f t="shared" si="1"/>
        <v>Pengawas MTs, MA Kec. Bantaran</v>
      </c>
    </row>
    <row r="14" spans="2:23" s="357" customFormat="1">
      <c r="B14" s="597" t="s">
        <v>1055</v>
      </c>
      <c r="C14" s="599">
        <f>'PETA-PENGAWAS'!L16</f>
        <v>12</v>
      </c>
      <c r="D14" s="355"/>
      <c r="E14" s="599">
        <f>'PETA-PENGAWAS'!N16</f>
        <v>7</v>
      </c>
      <c r="F14" s="599">
        <f t="shared" si="0"/>
        <v>19</v>
      </c>
      <c r="G14" s="583">
        <f>'PETA-PENGAWAS'!P16</f>
        <v>2</v>
      </c>
      <c r="H14" s="583"/>
      <c r="I14" s="491">
        <v>4</v>
      </c>
      <c r="J14" s="377" t="s">
        <v>250</v>
      </c>
      <c r="K14" s="360" t="str">
        <f>IFERROR(IF(J14="","",VLOOKUP(J14,CHOOSE({1,2},'Data Pengawas MTS-MA'!$P$5:$P$24,'Data Pengawas MTS-MA'!$D$5:$D$24),2,0)),"")</f>
        <v>L</v>
      </c>
      <c r="L14" s="380" t="str">
        <f>IFERROR(IF(J14="","",VLOOKUP(J14,CHOOSE({1,2},'Data Pengawas MTS-MA'!$P$5:$P$24,'Data Pengawas MTS-MA'!$M$5:$M$24),2,0)),"")</f>
        <v>27 April 2042</v>
      </c>
      <c r="M14" s="378" t="str">
        <f>IFERROR(IF(J14="","",VLOOKUP(J14,CHOOSE({1,2},'Data Pengawas MTS-MA'!$P$5:$P$24,'Data Pengawas MTS-MA'!$H$5:$H$24),2,0)),"")</f>
        <v>Pengawas MTs,MA Kec. Gending</v>
      </c>
      <c r="N14" s="376" t="str">
        <f>IFERROR(TEXT(IF(J14="","",VLOOKUP(J14,CHOOSE({1,2},'Data Pengawas MTS-MA'!$P$5:$P$24,'Data Pengawas MTS-MA'!$F$5:$F$24),2,0)),"DD MMMM YYYY"),"")</f>
        <v>25 Mei 2023</v>
      </c>
      <c r="O14" s="378" t="str">
        <f t="shared" si="2"/>
        <v>Pengawas MTs, MA Kec. Gending</v>
      </c>
      <c r="P14" s="377" t="str">
        <f>IFERROR(IF(J14="","",VLOOKUP(J14,CHOOSE({1,2},'Data Pengawas MTS-MA'!$P$5:$P$24,'Data Pengawas MTS-MA'!$O$5:$O$24),2,0)),"")</f>
        <v>Dringu</v>
      </c>
      <c r="V14" s="358" t="s">
        <v>5095</v>
      </c>
      <c r="W14" s="357" t="str">
        <f t="shared" si="1"/>
        <v>Pengawas MTs, MA Kec. Gending</v>
      </c>
    </row>
    <row r="15" spans="2:23" s="357" customFormat="1" ht="43.5">
      <c r="B15" s="598"/>
      <c r="C15" s="600"/>
      <c r="D15" s="355"/>
      <c r="E15" s="600"/>
      <c r="F15" s="600"/>
      <c r="G15" s="585"/>
      <c r="H15" s="585"/>
      <c r="I15" s="604">
        <v>5</v>
      </c>
      <c r="J15" s="377" t="s">
        <v>287</v>
      </c>
      <c r="K15" s="360" t="str">
        <f>IFERROR(IF(J15="","",VLOOKUP(J15,CHOOSE({1,2},'Data Pengawas MTS-MA'!$P$5:$P$24,'Data Pengawas MTS-MA'!$D$5:$D$24),2,0)),"")</f>
        <v>L</v>
      </c>
      <c r="L15" s="380" t="str">
        <f>IFERROR(IF(J15="","",VLOOKUP(J15,CHOOSE({1,2},'Data Pengawas MTS-MA'!$P$5:$P$24,'Data Pengawas MTS-MA'!$M$5:$M$24),2,0)),"")</f>
        <v>04 Agustus 2038</v>
      </c>
      <c r="M15" s="378" t="str">
        <f>IFERROR(IF(J15="","",VLOOKUP(J15,CHOOSE({1,2},'Data Pengawas MTS-MA'!$P$5:$P$24,'Data Pengawas MTS-MA'!$H$5:$H$24),2,0)),"")</f>
        <v>Pengawas MTs,MA Kec. Gending,Sumberasih, Tongas, Kuripan, Lumbang</v>
      </c>
      <c r="N15" s="376" t="str">
        <f>IFERROR(TEXT(IF(J15="","",VLOOKUP(J15,CHOOSE({1,2},'Data Pengawas MTS-MA'!$P$5:$P$24,'Data Pengawas MTS-MA'!$F$5:$F$24),2,0)),"DD MMMM YYYY"),"")</f>
        <v>01 Oktober 2021</v>
      </c>
      <c r="O15" s="378" t="str">
        <f t="shared" ref="O15" si="3">IFERROR(IF(K15="","",W15),"")</f>
        <v>Pengawas MTs, MA Kec. Gending</v>
      </c>
      <c r="P15" s="377" t="str">
        <f>IFERROR(IF(J15="","",VLOOKUP(J15,CHOOSE({1,2},'Data Pengawas MTS-MA'!$P$5:$P$24,'Data Pengawas MTS-MA'!$O$5:$O$24),2,0)),"")</f>
        <v>Wonoasih</v>
      </c>
      <c r="V15" s="358" t="s">
        <v>5095</v>
      </c>
      <c r="W15" s="357" t="str">
        <f t="shared" si="1"/>
        <v>Pengawas MTs, MA Kec. Gending</v>
      </c>
    </row>
    <row r="16" spans="2:23" s="357" customFormat="1" ht="43.5">
      <c r="B16" s="597" t="s">
        <v>1493</v>
      </c>
      <c r="C16" s="599">
        <f>'PETA-PENGAWAS'!L18</f>
        <v>14</v>
      </c>
      <c r="D16" s="375"/>
      <c r="E16" s="599">
        <f>'PETA-PENGAWAS'!N18</f>
        <v>7</v>
      </c>
      <c r="F16" s="599">
        <f>SUM(C16:E16)</f>
        <v>21</v>
      </c>
      <c r="G16" s="583">
        <f>'PETA-PENGAWAS'!P18</f>
        <v>2</v>
      </c>
      <c r="H16" s="583"/>
      <c r="I16" s="605"/>
      <c r="J16" s="377" t="s">
        <v>287</v>
      </c>
      <c r="K16" s="360" t="str">
        <f>IFERROR(IF(J16="","",VLOOKUP(J16,CHOOSE({1,2},'Data Pengawas MTS-MA'!$P$5:$P$24,'Data Pengawas MTS-MA'!$D$5:$D$24),2,0)),"")</f>
        <v>L</v>
      </c>
      <c r="L16" s="380" t="str">
        <f>IFERROR(IF(J16="","",VLOOKUP(J16,CHOOSE({1,2},'Data Pengawas MTS-MA'!$P$5:$P$24,'Data Pengawas MTS-MA'!$M$5:$M$24),2,0)),"")</f>
        <v>04 Agustus 2038</v>
      </c>
      <c r="M16" s="378" t="str">
        <f>IFERROR(IF(J16="","",VLOOKUP(J16,CHOOSE({1,2},'Data Pengawas MTS-MA'!$P$5:$P$24,'Data Pengawas MTS-MA'!$H$5:$H$24),2,0)),"")</f>
        <v>Pengawas MTs,MA Kec. Gending,Sumberasih, Tongas, Kuripan, Lumbang</v>
      </c>
      <c r="N16" s="376" t="str">
        <f>IFERROR(TEXT(IF(J16="","",VLOOKUP(J16,CHOOSE({1,2},'Data Pengawas MTS-MA'!$P$5:$P$24,'Data Pengawas MTS-MA'!$F$5:$F$24),2,0)),"DD MMMM YYYY"),"")</f>
        <v>01 Oktober 2021</v>
      </c>
      <c r="O16" s="378" t="str">
        <f>IFERROR(IF(K16="","",W16),"")</f>
        <v>Pengawas MTs, MA Kec. Leces</v>
      </c>
      <c r="P16" s="377" t="str">
        <f>IFERROR(IF(J16="","",VLOOKUP(J16,CHOOSE({1,2},'Data Pengawas MTS-MA'!$P$5:$P$24,'Data Pengawas MTS-MA'!$O$5:$O$24),2,0)),"")</f>
        <v>Wonoasih</v>
      </c>
      <c r="V16" s="358" t="s">
        <v>5090</v>
      </c>
      <c r="W16" s="357" t="str">
        <f>"Pengawas MTs, MA Kec. "&amp;V16</f>
        <v>Pengawas MTs, MA Kec. Leces</v>
      </c>
    </row>
    <row r="17" spans="2:23" s="357" customFormat="1" ht="29">
      <c r="B17" s="598"/>
      <c r="C17" s="600"/>
      <c r="D17" s="375"/>
      <c r="E17" s="600"/>
      <c r="F17" s="600"/>
      <c r="G17" s="585"/>
      <c r="H17" s="585"/>
      <c r="I17" s="601">
        <v>6</v>
      </c>
      <c r="J17" s="377" t="s">
        <v>246</v>
      </c>
      <c r="K17" s="360" t="str">
        <f>IFERROR(IF(J17="","",VLOOKUP(J17,CHOOSE({1,2},'Data Pengawas MTS-MA'!$P$5:$P$24,'Data Pengawas MTS-MA'!$D$5:$D$24),2,0)),"")</f>
        <v>P</v>
      </c>
      <c r="L17" s="380" t="str">
        <f>IFERROR(IF(J17="","",VLOOKUP(J17,CHOOSE({1,2},'Data Pengawas MTS-MA'!$P$5:$P$24,'Data Pengawas MTS-MA'!$M$5:$M$24),2,0)),"")</f>
        <v>22 April 2036</v>
      </c>
      <c r="M17" s="378" t="str">
        <f>IFERROR(IF(J17="","",VLOOKUP(J17,CHOOSE({1,2},'Data Pengawas MTS-MA'!$P$5:$P$24,'Data Pengawas MTS-MA'!$H$5:$H$24),2,0)),"")</f>
        <v>Pengawas MTs,MA Kec. Leces, Dringu</v>
      </c>
      <c r="N17" s="376" t="str">
        <f>IFERROR(TEXT(IF(J17="","",VLOOKUP(J17,CHOOSE({1,2},'Data Pengawas MTS-MA'!$P$5:$P$24,'Data Pengawas MTS-MA'!$F$5:$F$24),2,0)),"DD MMMM YYYY"),"")</f>
        <v>25 Mei 2023</v>
      </c>
      <c r="O17" s="378" t="str">
        <f t="shared" ref="O17" si="4">IFERROR(IF(K17="","",W17),"")</f>
        <v>Pengawas MTs, MA Kec. Leces</v>
      </c>
      <c r="P17" s="377" t="str">
        <f>IFERROR(IF(J17="","",VLOOKUP(J17,CHOOSE({1,2},'Data Pengawas MTS-MA'!$P$5:$P$24,'Data Pengawas MTS-MA'!$O$5:$O$24),2,0)),"")</f>
        <v>Wonoasih</v>
      </c>
      <c r="V17" s="358" t="s">
        <v>5090</v>
      </c>
      <c r="W17" s="357" t="str">
        <f>"Pengawas MTs, MA Kec. "&amp;V17</f>
        <v>Pengawas MTs, MA Kec. Leces</v>
      </c>
    </row>
    <row r="18" spans="2:23" s="357" customFormat="1" ht="29">
      <c r="B18" s="354" t="s">
        <v>917</v>
      </c>
      <c r="C18" s="355">
        <f>'PETA-PENGAWAS'!L17</f>
        <v>4</v>
      </c>
      <c r="D18" s="355"/>
      <c r="E18" s="355">
        <f>'PETA-PENGAWAS'!N17</f>
        <v>2</v>
      </c>
      <c r="F18" s="355">
        <f>SUM(C18:E18)</f>
        <v>6</v>
      </c>
      <c r="G18" s="356">
        <f>'PETA-PENGAWAS'!P17</f>
        <v>1</v>
      </c>
      <c r="H18" s="356"/>
      <c r="I18" s="602"/>
      <c r="J18" s="377" t="s">
        <v>246</v>
      </c>
      <c r="K18" s="360" t="str">
        <f>IFERROR(IF(J18="","",VLOOKUP(J18,CHOOSE({1,2},'Data Pengawas MTS-MA'!$P$5:$P$24,'Data Pengawas MTS-MA'!$D$5:$D$24),2,0)),"")</f>
        <v>P</v>
      </c>
      <c r="L18" s="380" t="str">
        <f>IFERROR(IF(J18="","",VLOOKUP(J18,CHOOSE({1,2},'Data Pengawas MTS-MA'!$P$5:$P$24,'Data Pengawas MTS-MA'!$M$5:$M$24),2,0)),"")</f>
        <v>22 April 2036</v>
      </c>
      <c r="M18" s="378" t="str">
        <f>IFERROR(IF(J18="","",VLOOKUP(J18,CHOOSE({1,2},'Data Pengawas MTS-MA'!$P$5:$P$24,'Data Pengawas MTS-MA'!$H$5:$H$24),2,0)),"")</f>
        <v>Pengawas MTs,MA Kec. Leces, Dringu</v>
      </c>
      <c r="N18" s="376" t="str">
        <f>IFERROR(TEXT(IF(J18="","",VLOOKUP(J18,CHOOSE({1,2},'Data Pengawas MTS-MA'!$P$5:$P$24,'Data Pengawas MTS-MA'!$F$5:$F$24),2,0)),"DD MMMM YYYY"),"")</f>
        <v>25 Mei 2023</v>
      </c>
      <c r="O18" s="378" t="str">
        <f>IFERROR(IF(K18="","",W18),"")</f>
        <v>Pengawas MTs, MA Kec. Dringu</v>
      </c>
      <c r="P18" s="377" t="str">
        <f>IFERROR(IF(J18="","",VLOOKUP(J18,CHOOSE({1,2},'Data Pengawas MTS-MA'!$P$5:$P$24,'Data Pengawas MTS-MA'!$O$5:$O$24),2,0)),"")</f>
        <v>Wonoasih</v>
      </c>
      <c r="V18" s="358" t="s">
        <v>5088</v>
      </c>
      <c r="W18" s="357" t="str">
        <f>"Pengawas MTs, MA Kec. "&amp;V18</f>
        <v>Pengawas MTs, MA Kec. Dringu</v>
      </c>
    </row>
    <row r="19" spans="2:23" s="357" customFormat="1" ht="29">
      <c r="B19" s="595" t="s">
        <v>1588</v>
      </c>
      <c r="C19" s="596">
        <f>'PETA-PENGAWAS'!L21</f>
        <v>13</v>
      </c>
      <c r="D19" s="355"/>
      <c r="E19" s="596">
        <f>'PETA-PENGAWAS'!N21</f>
        <v>8</v>
      </c>
      <c r="F19" s="596">
        <f>SUM(C19:E19)</f>
        <v>21</v>
      </c>
      <c r="G19" s="593">
        <f>'PETA-PENGAWAS'!P21</f>
        <v>2</v>
      </c>
      <c r="H19" s="583"/>
      <c r="I19" s="492">
        <v>7</v>
      </c>
      <c r="J19" s="377" t="s">
        <v>249</v>
      </c>
      <c r="K19" s="360" t="str">
        <f>IFERROR(IF(J19="","",VLOOKUP(J19,CHOOSE({1,2},'Data Pengawas MTS-MA'!$P$5:$P$24,'Data Pengawas MTS-MA'!$D$5:$D$24),2,0)),"")</f>
        <v>L</v>
      </c>
      <c r="L19" s="380" t="str">
        <f>IFERROR(IF(J19="","",VLOOKUP(J19,CHOOSE({1,2},'Data Pengawas MTS-MA'!$P$5:$P$24,'Data Pengawas MTS-MA'!$M$5:$M$24),2,0)),"")</f>
        <v>06 Juni 2028</v>
      </c>
      <c r="M19" s="378" t="str">
        <f>IFERROR(IF(J19="","",VLOOKUP(J19,CHOOSE({1,2},'Data Pengawas MTS-MA'!$P$5:$P$24,'Data Pengawas MTS-MA'!$H$5:$H$24),2,0)),"")</f>
        <v>Pengawas MTs Kec. Banyuanyar, Maron</v>
      </c>
      <c r="N19" s="376" t="str">
        <f>IFERROR(TEXT(IF(J19="","",VLOOKUP(J19,CHOOSE({1,2},'Data Pengawas MTS-MA'!$P$5:$P$24,'Data Pengawas MTS-MA'!$F$5:$F$24),2,0)),"DD MMMM YYYY"),"")</f>
        <v>28 Desember 2020</v>
      </c>
      <c r="O19" s="378" t="str">
        <f>IFERROR(IF(K19="","",W19),"")</f>
        <v>Pengawas MTs, MA Kec. Maron</v>
      </c>
      <c r="P19" s="377" t="str">
        <f>IFERROR(IF(J19="","",VLOOKUP(J19,CHOOSE({1,2},'Data Pengawas MTS-MA'!$P$5:$P$24,'Data Pengawas MTS-MA'!$O$5:$O$24),2,0)),"")</f>
        <v>Leces</v>
      </c>
      <c r="V19" s="358" t="s">
        <v>5092</v>
      </c>
      <c r="W19" s="357" t="str">
        <f>"Pengawas MTs, MA Kec. "&amp;V19</f>
        <v>Pengawas MTs, MA Kec. Maron</v>
      </c>
    </row>
    <row r="20" spans="2:23" s="357" customFormat="1" ht="43.5">
      <c r="B20" s="595"/>
      <c r="C20" s="596"/>
      <c r="D20" s="355"/>
      <c r="E20" s="596"/>
      <c r="F20" s="596"/>
      <c r="G20" s="593"/>
      <c r="H20" s="585"/>
      <c r="I20" s="491">
        <v>8</v>
      </c>
      <c r="J20" s="377" t="s">
        <v>232</v>
      </c>
      <c r="K20" s="360" t="str">
        <f>IFERROR(IF(J20="","",VLOOKUP(J20,CHOOSE({1,2},'Data Pengawas MTS-MA'!$P$5:$P$24,'Data Pengawas MTS-MA'!$D$5:$D$24),2,0)),"")</f>
        <v>L</v>
      </c>
      <c r="L20" s="380" t="str">
        <f>IFERROR(IF(J20="","",VLOOKUP(J20,CHOOSE({1,2},'Data Pengawas MTS-MA'!$P$5:$P$24,'Data Pengawas MTS-MA'!$M$5:$M$24),2,0)),"")</f>
        <v>08 April 2026</v>
      </c>
      <c r="M20" s="378" t="str">
        <f>IFERROR(IF(J20="","",VLOOKUP(J20,CHOOSE({1,2},'Data Pengawas MTS-MA'!$P$5:$P$24,'Data Pengawas MTS-MA'!$H$5:$H$24),2,0)),"")</f>
        <v>Pengawas MA Kec. Bantaran,Tegalsiwalan,Wonomerto</v>
      </c>
      <c r="N20" s="376" t="str">
        <f>IFERROR(TEXT(IF(J20="","",VLOOKUP(J20,CHOOSE({1,2},'Data Pengawas MTS-MA'!$P$5:$P$24,'Data Pengawas MTS-MA'!$F$5:$F$24),2,0)),"DD MMMM YYYY"),"")</f>
        <v>01 Maret 2011</v>
      </c>
      <c r="O20" s="378" t="str">
        <f>IFERROR(IF(K20="","",W20),"")</f>
        <v>Pengawas MTs, MA Kec. Maron</v>
      </c>
      <c r="P20" s="377" t="str">
        <f>IFERROR(IF(J20="","",VLOOKUP(J20,CHOOSE({1,2},'Data Pengawas MTS-MA'!$P$5:$P$24,'Data Pengawas MTS-MA'!$O$5:$O$24),2,0)),"")</f>
        <v>Tegalsiwalan</v>
      </c>
      <c r="V20" s="358" t="s">
        <v>5092</v>
      </c>
      <c r="W20" s="357" t="str">
        <f>"Pengawas MTs, MA Kec. "&amp;V20</f>
        <v>Pengawas MTs, MA Kec. Maron</v>
      </c>
    </row>
    <row r="21" spans="2:23" s="357" customFormat="1" ht="29">
      <c r="B21" s="354" t="s">
        <v>1962</v>
      </c>
      <c r="C21" s="355">
        <f>'PETA-PENGAWAS'!L19</f>
        <v>9</v>
      </c>
      <c r="D21" s="355"/>
      <c r="E21" s="355">
        <f>'PETA-PENGAWAS'!N19</f>
        <v>6</v>
      </c>
      <c r="F21" s="355">
        <f>SUM(C21:E21)</f>
        <v>15</v>
      </c>
      <c r="G21" s="356">
        <f>'PETA-PENGAWAS'!P19</f>
        <v>1</v>
      </c>
      <c r="H21" s="356"/>
      <c r="I21" s="491">
        <v>9</v>
      </c>
      <c r="J21" s="377" t="s">
        <v>285</v>
      </c>
      <c r="K21" s="360" t="str">
        <f>IFERROR(IF(J21="","",VLOOKUP(J21,CHOOSE({1,2},'Data Pengawas MTS-MA'!$P$5:$P$24,'Data Pengawas MTS-MA'!$D$5:$D$24),2,0)),"")</f>
        <v>P</v>
      </c>
      <c r="L21" s="380" t="str">
        <f>IFERROR(IF(J21="","",VLOOKUP(J21,CHOOSE({1,2},'Data Pengawas MTS-MA'!$P$5:$P$24,'Data Pengawas MTS-MA'!$M$5:$M$24),2,0)),"")</f>
        <v>13 Oktober 2041</v>
      </c>
      <c r="M21" s="378" t="str">
        <f>IFERROR(IF(J21="","",VLOOKUP(J21,CHOOSE({1,2},'Data Pengawas MTS-MA'!$P$5:$P$24,'Data Pengawas MTS-MA'!$H$5:$H$24),2,0)),"")</f>
        <v>Pengawas MTs,MA Kec. Bantaran</v>
      </c>
      <c r="N21" s="376" t="str">
        <f>IFERROR(TEXT(IF(J21="","",VLOOKUP(J21,CHOOSE({1,2},'Data Pengawas MTS-MA'!$P$5:$P$24,'Data Pengawas MTS-MA'!$F$5:$F$24),2,0)),"DD MMMM YYYY"),"")</f>
        <v>03 November 2022</v>
      </c>
      <c r="O21" s="378" t="str">
        <f t="shared" si="2"/>
        <v>Pengawas MTs, MA Kec. Tegalsiwalan</v>
      </c>
      <c r="P21" s="377" t="str">
        <f>IFERROR(IF(J21="","",VLOOKUP(J21,CHOOSE({1,2},'Data Pengawas MTS-MA'!$P$5:$P$24,'Data Pengawas MTS-MA'!$O$5:$O$24),2,0)),"")</f>
        <v>Leces</v>
      </c>
      <c r="V21" s="358" t="s">
        <v>5096</v>
      </c>
      <c r="W21" s="357" t="str">
        <f t="shared" si="1"/>
        <v>Pengawas MTs, MA Kec. Tegalsiwalan</v>
      </c>
    </row>
    <row r="22" spans="2:23" s="357" customFormat="1" ht="29">
      <c r="B22" s="595" t="s">
        <v>736</v>
      </c>
      <c r="C22" s="596">
        <f>'PETA-PENGAWAS'!L20</f>
        <v>11</v>
      </c>
      <c r="D22" s="355"/>
      <c r="E22" s="596">
        <f>'PETA-PENGAWAS'!N20</f>
        <v>8</v>
      </c>
      <c r="F22" s="596">
        <f t="shared" si="0"/>
        <v>19</v>
      </c>
      <c r="G22" s="593">
        <f>'PETA-PENGAWAS'!P20</f>
        <v>2</v>
      </c>
      <c r="H22" s="593"/>
      <c r="I22" s="493">
        <v>10</v>
      </c>
      <c r="J22" s="377" t="s">
        <v>235</v>
      </c>
      <c r="K22" s="360" t="str">
        <f>IFERROR(IF(J22="","",VLOOKUP(J22,CHOOSE({1,2},'Data Pengawas MTS-MA'!$P$5:$P$24,'Data Pengawas MTS-MA'!$D$5:$D$24),2,0)),"")</f>
        <v>P</v>
      </c>
      <c r="L22" s="380" t="str">
        <f>IFERROR(IF(J22="","",VLOOKUP(J22,CHOOSE({1,2},'Data Pengawas MTS-MA'!$P$5:$P$24,'Data Pengawas MTS-MA'!$M$5:$M$24),2,0)),"")</f>
        <v>26 Juni 2029</v>
      </c>
      <c r="M22" s="378" t="str">
        <f>IFERROR(IF(J22="","",VLOOKUP(J22,CHOOSE({1,2},'Data Pengawas MTS-MA'!$P$5:$P$24,'Data Pengawas MTS-MA'!$H$5:$H$24),2,0)),"")</f>
        <v>Pengawas MTs, MA Kec. Tegalsiwalan,  Banyuanyar</v>
      </c>
      <c r="N22" s="376" t="str">
        <f>IFERROR(TEXT(IF(J22="","",VLOOKUP(J22,CHOOSE({1,2},'Data Pengawas MTS-MA'!$P$5:$P$24,'Data Pengawas MTS-MA'!$F$5:$F$24),2,0)),"DD MMMM YYYY"),"")</f>
        <v>01 Maret 2023</v>
      </c>
      <c r="O22" s="378" t="str">
        <f t="shared" si="2"/>
        <v>Pengawas MTs, MA Kec. Banyuanyar</v>
      </c>
      <c r="P22" s="377" t="str">
        <f>IFERROR(IF(J22="","",VLOOKUP(J22,CHOOSE({1,2},'Data Pengawas MTS-MA'!$P$5:$P$24,'Data Pengawas MTS-MA'!$O$5:$O$24),2,0)),"")</f>
        <v>Leces</v>
      </c>
      <c r="V22" s="358" t="s">
        <v>5091</v>
      </c>
      <c r="W22" s="357" t="str">
        <f t="shared" si="1"/>
        <v>Pengawas MTs, MA Kec. Banyuanyar</v>
      </c>
    </row>
    <row r="23" spans="2:23" s="357" customFormat="1" ht="29">
      <c r="B23" s="595"/>
      <c r="C23" s="596"/>
      <c r="D23" s="355"/>
      <c r="E23" s="596"/>
      <c r="F23" s="596"/>
      <c r="G23" s="593"/>
      <c r="H23" s="593"/>
      <c r="I23" s="493">
        <v>11</v>
      </c>
      <c r="J23" s="377" t="s">
        <v>236</v>
      </c>
      <c r="K23" s="360" t="str">
        <f>IFERROR(IF(J23="","",VLOOKUP(J23,CHOOSE({1,2},'Data Pengawas MTS-MA'!$P$5:$P$24,'Data Pengawas MTS-MA'!$D$5:$D$24),2,0)),"")</f>
        <v>L</v>
      </c>
      <c r="L23" s="380" t="str">
        <f>IFERROR(IF(J23="","",VLOOKUP(J23,CHOOSE({1,2},'Data Pengawas MTS-MA'!$P$5:$P$24,'Data Pengawas MTS-MA'!$M$5:$M$24),2,0)),"")</f>
        <v>12 Juni 2025</v>
      </c>
      <c r="M23" s="378" t="str">
        <f>IFERROR(IF(J23="","",VLOOKUP(J23,CHOOSE({1,2},'Data Pengawas MTS-MA'!$P$5:$P$24,'Data Pengawas MTS-MA'!$H$5:$H$24),2,0)),"")</f>
        <v>Pengawas MA Kec. Banyuanyar, Gending, Maron</v>
      </c>
      <c r="N23" s="376" t="str">
        <f>IFERROR(TEXT(IF(J23="","",VLOOKUP(J23,CHOOSE({1,2},'Data Pengawas MTS-MA'!$P$5:$P$24,'Data Pengawas MTS-MA'!$F$5:$F$24),2,0)),"DD MMMM YYYY"),"")</f>
        <v>02 April 2012</v>
      </c>
      <c r="O23" s="378" t="str">
        <f t="shared" ref="O23" si="5">IFERROR(IF(K23="","",W23),"")</f>
        <v>Pengawas MTs, MA Kec. Banyuanyar</v>
      </c>
      <c r="P23" s="377" t="str">
        <f>IFERROR(IF(J23="","",VLOOKUP(J23,CHOOSE({1,2},'Data Pengawas MTS-MA'!$P$5:$P$24,'Data Pengawas MTS-MA'!$O$5:$O$24),2,0)),"")</f>
        <v>Banyuanyar</v>
      </c>
      <c r="V23" s="358" t="s">
        <v>5091</v>
      </c>
      <c r="W23" s="357" t="str">
        <f t="shared" ref="W23" si="6">"Pengawas MTs, MA Kec. "&amp;V23</f>
        <v>Pengawas MTs, MA Kec. Banyuanyar</v>
      </c>
    </row>
    <row r="24" spans="2:23" s="357" customFormat="1" ht="29">
      <c r="B24" s="354" t="s">
        <v>926</v>
      </c>
      <c r="C24" s="355">
        <f>'PETA-PENGAWAS'!L22</f>
        <v>15</v>
      </c>
      <c r="D24" s="355"/>
      <c r="E24" s="355">
        <f>'PETA-PENGAWAS'!N22</f>
        <v>7</v>
      </c>
      <c r="F24" s="355">
        <f t="shared" si="0"/>
        <v>22</v>
      </c>
      <c r="G24" s="356">
        <f>'PETA-PENGAWAS'!P22</f>
        <v>1</v>
      </c>
      <c r="H24" s="356"/>
      <c r="I24" s="493">
        <v>12</v>
      </c>
      <c r="J24" s="377" t="s">
        <v>231</v>
      </c>
      <c r="K24" s="360" t="str">
        <f>IFERROR(IF(J24="","",VLOOKUP(J24,CHOOSE({1,2},'Data Pengawas MTS-MA'!$P$5:$P$24,'Data Pengawas MTS-MA'!$D$5:$D$24),2,0)),"")</f>
        <v>P</v>
      </c>
      <c r="L24" s="380" t="str">
        <f>IFERROR(IF(J24="","",VLOOKUP(J24,CHOOSE({1,2},'Data Pengawas MTS-MA'!$P$5:$P$24,'Data Pengawas MTS-MA'!$M$5:$M$24),2,0)),"")</f>
        <v>15 April 2029</v>
      </c>
      <c r="M24" s="378" t="str">
        <f>IFERROR(IF(J24="","",VLOOKUP(J24,CHOOSE({1,2},'Data Pengawas MTS-MA'!$P$5:$P$24,'Data Pengawas MTS-MA'!$H$5:$H$24),2,0)),"")</f>
        <v>Pengawas MTs Kec. Gading, Krejengan</v>
      </c>
      <c r="N24" s="376" t="str">
        <f>IFERROR(TEXT(IF(J24="","",VLOOKUP(J24,CHOOSE({1,2},'Data Pengawas MTS-MA'!$P$5:$P$24,'Data Pengawas MTS-MA'!$F$5:$F$24),2,0)),"DD MMMM YYYY"),"")</f>
        <v>01 Juli 2024</v>
      </c>
      <c r="O24" s="378" t="str">
        <f t="shared" si="2"/>
        <v>Pengawas MTs, MA Kec. Gading</v>
      </c>
      <c r="P24" s="377" t="str">
        <f>IFERROR(IF(J24="","",VLOOKUP(J24,CHOOSE({1,2},'Data Pengawas MTS-MA'!$P$5:$P$24,'Data Pengawas MTS-MA'!$O$5:$O$24),2,0)),"")</f>
        <v>Gading</v>
      </c>
      <c r="V24" s="358" t="s">
        <v>5086</v>
      </c>
      <c r="W24" s="357" t="str">
        <f t="shared" si="1"/>
        <v>Pengawas MTs, MA Kec. Gading</v>
      </c>
    </row>
    <row r="25" spans="2:23" s="357" customFormat="1">
      <c r="B25" s="361" t="s">
        <v>1999</v>
      </c>
      <c r="C25" s="355">
        <f>'PETA-PENGAWAS'!L23</f>
        <v>17</v>
      </c>
      <c r="D25" s="355"/>
      <c r="E25" s="355">
        <f>'PETA-PENGAWAS'!N23</f>
        <v>9</v>
      </c>
      <c r="F25" s="355">
        <f t="shared" si="0"/>
        <v>26</v>
      </c>
      <c r="G25" s="356">
        <f>'PETA-PENGAWAS'!P23</f>
        <v>1</v>
      </c>
      <c r="H25" s="356"/>
      <c r="I25" s="493">
        <v>13</v>
      </c>
      <c r="J25" s="377" t="s">
        <v>295</v>
      </c>
      <c r="K25" s="360" t="str">
        <f>IFERROR(IF(J25="","",VLOOKUP(J25,CHOOSE({1,2},'Data Pengawas MTS-MA'!$P$5:$P$24,'Data Pengawas MTS-MA'!$D$5:$D$24),2,0)),"")</f>
        <v>L</v>
      </c>
      <c r="L25" s="380" t="str">
        <f>IFERROR(IF(J25="","",VLOOKUP(J25,CHOOSE({1,2},'Data Pengawas MTS-MA'!$P$5:$P$24,'Data Pengawas MTS-MA'!$M$5:$M$24),2,0)),"")</f>
        <v>16 Februari 2036</v>
      </c>
      <c r="M25" s="378" t="str">
        <f>IFERROR(IF(J25="","",VLOOKUP(J25,CHOOSE({1,2},'Data Pengawas MTS-MA'!$P$5:$P$24,'Data Pengawas MTS-MA'!$H$5:$H$24),2,0)),"")</f>
        <v>Pengawas MTs, MA Kec. Tiris</v>
      </c>
      <c r="N25" s="376" t="str">
        <f>IFERROR(TEXT(IF(J25="","",VLOOKUP(J25,CHOOSE({1,2},'Data Pengawas MTS-MA'!$P$5:$P$24,'Data Pengawas MTS-MA'!$F$5:$F$24),2,0)),"DD MMMM YYYY"),"")</f>
        <v>01 Juli 2024</v>
      </c>
      <c r="O25" s="378" t="str">
        <f t="shared" si="2"/>
        <v>Pengawas MTs, MA Kec. Tiris</v>
      </c>
      <c r="P25" s="377" t="str">
        <f>IFERROR(IF(J25="","",VLOOKUP(J25,CHOOSE({1,2},'Data Pengawas MTS-MA'!$P$5:$P$24,'Data Pengawas MTS-MA'!$O$5:$O$24),2,0)),"")</f>
        <v>Gading</v>
      </c>
      <c r="V25" s="358" t="s">
        <v>5094</v>
      </c>
      <c r="W25" s="357" t="str">
        <f t="shared" si="1"/>
        <v>Pengawas MTs, MA Kec. Tiris</v>
      </c>
    </row>
    <row r="26" spans="2:23" s="357" customFormat="1" ht="29">
      <c r="B26" s="354" t="s">
        <v>1346</v>
      </c>
      <c r="C26" s="355">
        <f>'PETA-PENGAWAS'!L26</f>
        <v>17</v>
      </c>
      <c r="D26" s="355"/>
      <c r="E26" s="355">
        <f>'PETA-PENGAWAS'!N26</f>
        <v>10</v>
      </c>
      <c r="F26" s="355">
        <f t="shared" si="0"/>
        <v>27</v>
      </c>
      <c r="G26" s="356">
        <f>'PETA-PENGAWAS'!P26</f>
        <v>1</v>
      </c>
      <c r="H26" s="356"/>
      <c r="I26" s="493">
        <v>14</v>
      </c>
      <c r="J26" s="377" t="s">
        <v>286</v>
      </c>
      <c r="K26" s="360" t="str">
        <f>IFERROR(IF(J26="","",VLOOKUP(J26,CHOOSE({1,2},'Data Pengawas MTS-MA'!$P$5:$P$24,'Data Pengawas MTS-MA'!$D$5:$D$24),2,0)),"")</f>
        <v>L</v>
      </c>
      <c r="L26" s="380" t="str">
        <f>IFERROR(IF(J26="","",VLOOKUP(J26,CHOOSE({1,2},'Data Pengawas MTS-MA'!$P$5:$P$24,'Data Pengawas MTS-MA'!$M$5:$M$24),2,0)),"")</f>
        <v>23 Maret 2035</v>
      </c>
      <c r="M26" s="378" t="str">
        <f>IFERROR(IF(J26="","",VLOOKUP(J26,CHOOSE({1,2},'Data Pengawas MTS-MA'!$P$5:$P$24,'Data Pengawas MTS-MA'!$H$5:$H$24),2,0)),"")</f>
        <v>Pengawas MTs Kec. Besuk, Krejengan</v>
      </c>
      <c r="N26" s="376" t="str">
        <f>IFERROR(TEXT(IF(J26="","",VLOOKUP(J26,CHOOSE({1,2},'Data Pengawas MTS-MA'!$P$5:$P$24,'Data Pengawas MTS-MA'!$F$5:$F$24),2,0)),"DD MMMM YYYY"),"")</f>
        <v>26 Juni 2024</v>
      </c>
      <c r="O26" s="378" t="str">
        <f t="shared" si="2"/>
        <v>Pengawas MTs, MA Kec. Krucil</v>
      </c>
      <c r="P26" s="377" t="str">
        <f>IFERROR(IF(J26="","",VLOOKUP(J26,CHOOSE({1,2},'Data Pengawas MTS-MA'!$P$5:$P$24,'Data Pengawas MTS-MA'!$O$5:$O$24),2,0)),"")</f>
        <v>Besuk</v>
      </c>
      <c r="V26" s="358" t="s">
        <v>5093</v>
      </c>
      <c r="W26" s="357" t="str">
        <f t="shared" si="1"/>
        <v>Pengawas MTs, MA Kec. Krucil</v>
      </c>
    </row>
    <row r="27" spans="2:23" s="357" customFormat="1" ht="29">
      <c r="B27" s="354" t="s">
        <v>1764</v>
      </c>
      <c r="C27" s="355">
        <f>'PETA-PENGAWAS'!L27</f>
        <v>6</v>
      </c>
      <c r="D27" s="355"/>
      <c r="E27" s="355">
        <f>'PETA-PENGAWAS'!N27</f>
        <v>6</v>
      </c>
      <c r="F27" s="355">
        <f t="shared" si="0"/>
        <v>12</v>
      </c>
      <c r="G27" s="356">
        <f>'PETA-PENGAWAS'!P27</f>
        <v>1</v>
      </c>
      <c r="H27" s="356"/>
      <c r="I27" s="493">
        <v>15</v>
      </c>
      <c r="J27" s="377" t="s">
        <v>229</v>
      </c>
      <c r="K27" s="360" t="str">
        <f>IFERROR(IF(J27="","",VLOOKUP(J27,CHOOSE({1,2},'Data Pengawas MTS-MA'!$P$5:$P$24,'Data Pengawas MTS-MA'!$D$5:$D$24),2,0)),"")</f>
        <v>L</v>
      </c>
      <c r="L27" s="380" t="str">
        <f>IFERROR(IF(J27="","",VLOOKUP(J27,CHOOSE({1,2},'Data Pengawas MTS-MA'!$P$5:$P$24,'Data Pengawas MTS-MA'!$M$5:$M$24),2,0)),"")</f>
        <v>04 April 2031</v>
      </c>
      <c r="M27" s="378" t="str">
        <f>IFERROR(IF(J27="","",VLOOKUP(J27,CHOOSE({1,2},'Data Pengawas MTS-MA'!$P$5:$P$24,'Data Pengawas MTS-MA'!$H$5:$H$24),2,0)),"")</f>
        <v>Pengawas MA Kec.Besuk, Gading, Pajarakan,Krucil</v>
      </c>
      <c r="N27" s="376" t="str">
        <f>IFERROR(TEXT(IF(J27="","",VLOOKUP(J27,CHOOSE({1,2},'Data Pengawas MTS-MA'!$P$5:$P$24,'Data Pengawas MTS-MA'!$F$5:$F$24),2,0)),"DD MMMM YYYY"),"")</f>
        <v>21 September 2020</v>
      </c>
      <c r="O27" s="378" t="str">
        <f t="shared" si="2"/>
        <v>Pengawas MTs, MA Kec. Pajarakan</v>
      </c>
      <c r="P27" s="377" t="str">
        <f>IFERROR(IF(J27="","",VLOOKUP(J27,CHOOSE({1,2},'Data Pengawas MTS-MA'!$P$5:$P$24,'Data Pengawas MTS-MA'!$O$5:$O$24),2,0)),"")</f>
        <v>Besuk</v>
      </c>
      <c r="V27" s="358" t="s">
        <v>5104</v>
      </c>
      <c r="W27" s="357" t="str">
        <f t="shared" si="1"/>
        <v>Pengawas MTs, MA Kec. Pajarakan</v>
      </c>
    </row>
    <row r="28" spans="2:23" s="357" customFormat="1" ht="29">
      <c r="B28" s="354" t="s">
        <v>1245</v>
      </c>
      <c r="C28" s="355">
        <f>'PETA-PENGAWAS'!L28</f>
        <v>12</v>
      </c>
      <c r="D28" s="355"/>
      <c r="E28" s="355">
        <f>'PETA-PENGAWAS'!N28</f>
        <v>10</v>
      </c>
      <c r="F28" s="355">
        <f t="shared" si="0"/>
        <v>22</v>
      </c>
      <c r="G28" s="356">
        <f>'PETA-PENGAWAS'!P28</f>
        <v>1</v>
      </c>
      <c r="H28" s="356"/>
      <c r="I28" s="493">
        <v>16</v>
      </c>
      <c r="J28" s="377" t="s">
        <v>245</v>
      </c>
      <c r="K28" s="360" t="str">
        <f>IFERROR(IF(J28="","",VLOOKUP(J28,CHOOSE({1,2},'Data Pengawas MTS-MA'!$P$5:$P$24,'Data Pengawas MTS-MA'!$D$5:$D$24),2,0)),"")</f>
        <v>P</v>
      </c>
      <c r="L28" s="380" t="str">
        <f>IFERROR(IF(J28="","",VLOOKUP(J28,CHOOSE({1,2},'Data Pengawas MTS-MA'!$P$5:$P$24,'Data Pengawas MTS-MA'!$M$5:$M$24),2,0)),"")</f>
        <v>17 Maret 2038</v>
      </c>
      <c r="M28" s="378" t="str">
        <f>IFERROR(IF(J28="","",VLOOKUP(J28,CHOOSE({1,2},'Data Pengawas MTS-MA'!$P$5:$P$24,'Data Pengawas MTS-MA'!$H$5:$H$24),2,0)),"")</f>
        <v>Pengawas MTs,MA Kec. Krejengan</v>
      </c>
      <c r="N28" s="376" t="str">
        <f>IFERROR(TEXT(IF(J28="","",VLOOKUP(J28,CHOOSE({1,2},'Data Pengawas MTS-MA'!$P$5:$P$24,'Data Pengawas MTS-MA'!$F$5:$F$24),2,0)),"DD MMMM YYYY"),"")</f>
        <v>25 Mei 2023</v>
      </c>
      <c r="O28" s="378" t="str">
        <f t="shared" si="2"/>
        <v>Pengawas MTs, MA Kec. Krejengan</v>
      </c>
      <c r="P28" s="377" t="str">
        <f>IFERROR(IF(J28="","",VLOOKUP(J28,CHOOSE({1,2},'Data Pengawas MTS-MA'!$P$5:$P$24,'Data Pengawas MTS-MA'!$O$5:$O$24),2,0)),"")</f>
        <v>Kraksaan</v>
      </c>
      <c r="V28" s="358" t="s">
        <v>5089</v>
      </c>
      <c r="W28" s="357" t="str">
        <f t="shared" si="1"/>
        <v>Pengawas MTs, MA Kec. Krejengan</v>
      </c>
    </row>
    <row r="29" spans="2:23" s="357" customFormat="1" ht="29">
      <c r="B29" s="595" t="s">
        <v>1168</v>
      </c>
      <c r="C29" s="596">
        <f>'PETA-PENGAWAS'!L29</f>
        <v>14</v>
      </c>
      <c r="D29" s="355"/>
      <c r="E29" s="596">
        <f>'PETA-PENGAWAS'!N29</f>
        <v>11</v>
      </c>
      <c r="F29" s="596">
        <f t="shared" si="0"/>
        <v>25</v>
      </c>
      <c r="G29" s="593">
        <f>'PETA-PENGAWAS'!P29</f>
        <v>2</v>
      </c>
      <c r="H29" s="593"/>
      <c r="I29" s="493">
        <v>17</v>
      </c>
      <c r="J29" s="377" t="s">
        <v>233</v>
      </c>
      <c r="K29" s="360" t="str">
        <f>IFERROR(IF(J29="","",VLOOKUP(J29,CHOOSE({1,2},'Data Pengawas MTS-MA'!$P$5:$P$24,'Data Pengawas MTS-MA'!$D$5:$D$24),2,0)),"")</f>
        <v>L</v>
      </c>
      <c r="L29" s="380" t="str">
        <f>IFERROR(IF(J29="","",VLOOKUP(J29,CHOOSE({1,2},'Data Pengawas MTS-MA'!$P$5:$P$24,'Data Pengawas MTS-MA'!$M$5:$M$24),2,0)),"")</f>
        <v>21 April 2026</v>
      </c>
      <c r="M29" s="378" t="str">
        <f>IFERROR(IF(J29="","",VLOOKUP(J29,CHOOSE({1,2},'Data Pengawas MTS-MA'!$P$5:$P$24,'Data Pengawas MTS-MA'!$H$5:$H$24),2,0)),"")</f>
        <v>Pengawas MA Kec. Kraksaan, Krejengan</v>
      </c>
      <c r="N29" s="376" t="str">
        <f>IFERROR(TEXT(IF(J29="","",VLOOKUP(J29,CHOOSE({1,2},'Data Pengawas MTS-MA'!$P$5:$P$24,'Data Pengawas MTS-MA'!$F$5:$F$24),2,0)),"DD MMMM YYYY"),"")</f>
        <v>25 Mei 2023</v>
      </c>
      <c r="O29" s="378" t="str">
        <f t="shared" si="2"/>
        <v>Pengawas MTs, MA Kec. Kraksaan</v>
      </c>
      <c r="P29" s="377" t="str">
        <f>IFERROR(IF(J29="","",VLOOKUP(J29,CHOOSE({1,2},'Data Pengawas MTS-MA'!$P$5:$P$24,'Data Pengawas MTS-MA'!$O$5:$O$24),2,0)),"")</f>
        <v>Pajarakan</v>
      </c>
      <c r="V29" s="358" t="s">
        <v>5100</v>
      </c>
      <c r="W29" s="357" t="str">
        <f t="shared" si="1"/>
        <v>Pengawas MTs, MA Kec. Kraksaan</v>
      </c>
    </row>
    <row r="30" spans="2:23" s="357" customFormat="1" ht="29">
      <c r="B30" s="595"/>
      <c r="C30" s="596"/>
      <c r="D30" s="355"/>
      <c r="E30" s="596"/>
      <c r="F30" s="596"/>
      <c r="G30" s="593"/>
      <c r="H30" s="593"/>
      <c r="I30" s="606">
        <v>18</v>
      </c>
      <c r="J30" s="377" t="s">
        <v>293</v>
      </c>
      <c r="K30" s="360" t="str">
        <f>IFERROR(IF(J30="","",VLOOKUP(J30,CHOOSE({1,2},'Data Pengawas MTS-MA'!$P$5:$P$24,'Data Pengawas MTS-MA'!$D$5:$D$24),2,0)),"")</f>
        <v>L</v>
      </c>
      <c r="L30" s="380" t="str">
        <f>IFERROR(IF(J30="","",VLOOKUP(J30,CHOOSE({1,2},'Data Pengawas MTS-MA'!$P$5:$P$24,'Data Pengawas MTS-MA'!$M$5:$M$24),2,0)),"")</f>
        <v>09 Juni 2029</v>
      </c>
      <c r="M30" s="378" t="str">
        <f>IFERROR(IF(J30="","",VLOOKUP(J30,CHOOSE({1,2},'Data Pengawas MTS-MA'!$P$5:$P$24,'Data Pengawas MTS-MA'!$H$5:$H$24),2,0)),"")</f>
        <v>Pengawas MTs Kec. Kotaanyar, Pakuniran, Krucil</v>
      </c>
      <c r="N30" s="376" t="str">
        <f>IFERROR(TEXT(IF(J30="","",VLOOKUP(J30,CHOOSE({1,2},'Data Pengawas MTS-MA'!$P$5:$P$24,'Data Pengawas MTS-MA'!$F$5:$F$24),2,0)),"DD MMMM YYYY"),"")</f>
        <v>15 Maret 2018</v>
      </c>
      <c r="O30" s="378" t="str">
        <f t="shared" ref="O30" si="7">IFERROR(IF(K30="","",W30),"")</f>
        <v>Pengawas MTs, MA Kec. Kraksaan</v>
      </c>
      <c r="P30" s="377" t="str">
        <f>IFERROR(IF(J30="","",VLOOKUP(J30,CHOOSE({1,2},'Data Pengawas MTS-MA'!$P$5:$P$24,'Data Pengawas MTS-MA'!$O$5:$O$24),2,0)),"")</f>
        <v>Kotaanyar</v>
      </c>
      <c r="V30" s="358" t="s">
        <v>5100</v>
      </c>
      <c r="W30" s="357" t="str">
        <f t="shared" ref="W30" si="8">"Pengawas MTs, MA Kec. "&amp;V30</f>
        <v>Pengawas MTs, MA Kec. Kraksaan</v>
      </c>
    </row>
    <row r="31" spans="2:23" s="357" customFormat="1" ht="29">
      <c r="B31" s="354" t="s">
        <v>853</v>
      </c>
      <c r="C31" s="355">
        <f>'PETA-PENGAWAS'!L30</f>
        <v>4</v>
      </c>
      <c r="D31" s="355"/>
      <c r="E31" s="355">
        <f>'PETA-PENGAWAS'!N30</f>
        <v>3</v>
      </c>
      <c r="F31" s="355">
        <f t="shared" si="0"/>
        <v>7</v>
      </c>
      <c r="G31" s="356">
        <f>'PETA-PENGAWAS'!P30</f>
        <v>1</v>
      </c>
      <c r="H31" s="356"/>
      <c r="I31" s="606"/>
      <c r="J31" s="377" t="s">
        <v>293</v>
      </c>
      <c r="K31" s="360" t="str">
        <f>IFERROR(IF(J31="","",VLOOKUP(J31,CHOOSE({1,2},'Data Pengawas MTS-MA'!$P$5:$P$24,'Data Pengawas MTS-MA'!$D$5:$D$24),2,0)),"")</f>
        <v>L</v>
      </c>
      <c r="L31" s="380" t="str">
        <f>IFERROR(IF(J31="","",VLOOKUP(J31,CHOOSE({1,2},'Data Pengawas MTS-MA'!$P$5:$P$24,'Data Pengawas MTS-MA'!$M$5:$M$24),2,0)),"")</f>
        <v>09 Juni 2029</v>
      </c>
      <c r="M31" s="378" t="str">
        <f>IFERROR(IF(J31="","",VLOOKUP(J31,CHOOSE({1,2},'Data Pengawas MTS-MA'!$P$5:$P$24,'Data Pengawas MTS-MA'!$H$5:$H$24),2,0)),"")</f>
        <v>Pengawas MTs Kec. Kotaanyar, Pakuniran, Krucil</v>
      </c>
      <c r="N31" s="376" t="str">
        <f>IFERROR(TEXT(IF(J31="","",VLOOKUP(J31,CHOOSE({1,2},'Data Pengawas MTS-MA'!$P$5:$P$24,'Data Pengawas MTS-MA'!$F$5:$F$24),2,0)),"DD MMMM YYYY"),"")</f>
        <v>15 Maret 2018</v>
      </c>
      <c r="O31" s="378" t="str">
        <f t="shared" si="2"/>
        <v>Pengawas MTs, MA Kec. Besuk</v>
      </c>
      <c r="P31" s="377" t="str">
        <f>IFERROR(IF(J31="","",VLOOKUP(J31,CHOOSE({1,2},'Data Pengawas MTS-MA'!$P$5:$P$24,'Data Pengawas MTS-MA'!$O$5:$O$24),2,0)),"")</f>
        <v>Kotaanyar</v>
      </c>
      <c r="V31" s="358" t="s">
        <v>5085</v>
      </c>
      <c r="W31" s="357" t="str">
        <f t="shared" si="1"/>
        <v>Pengawas MTs, MA Kec. Besuk</v>
      </c>
    </row>
    <row r="32" spans="2:23" s="357" customFormat="1">
      <c r="B32" s="354" t="s">
        <v>1109</v>
      </c>
      <c r="C32" s="355">
        <f>'PETA-PENGAWAS'!L31</f>
        <v>6</v>
      </c>
      <c r="D32" s="355"/>
      <c r="E32" s="355">
        <f>'PETA-PENGAWAS'!N31</f>
        <v>4</v>
      </c>
      <c r="F32" s="355">
        <f t="shared" si="0"/>
        <v>10</v>
      </c>
      <c r="G32" s="593">
        <f>'PETA-PENGAWAS'!P31</f>
        <v>1</v>
      </c>
      <c r="H32" s="593"/>
      <c r="I32" s="606">
        <v>19</v>
      </c>
      <c r="J32" s="592" t="s">
        <v>291</v>
      </c>
      <c r="K32" s="593" t="str">
        <f>IFERROR(IF(J32="","",VLOOKUP(J32,CHOOSE({1,2},'Data Pengawas MTS-MA'!$P$5:$P$24,'Data Pengawas MTS-MA'!$D$5:$D$24),2,0)),"")</f>
        <v>L</v>
      </c>
      <c r="L32" s="594" t="str">
        <f>IFERROR(IF(J32="","",VLOOKUP(J32,CHOOSE({1,2},'Data Pengawas MTS-MA'!$P$5:$P$24,'Data Pengawas MTS-MA'!$M$5:$M$24),2,0)),"")</f>
        <v>18 Agustus 2042</v>
      </c>
      <c r="M32" s="576" t="str">
        <f>IFERROR(IF(J32="","",VLOOKUP(J32,CHOOSE({1,2},'Data Pengawas MTS-MA'!$P$5:$P$24,'Data Pengawas MTS-MA'!$H$5:$H$24),2,0)),"")</f>
        <v>Pengawas MA Kec. Kotaanyar, Pakuniran, Paiton</v>
      </c>
      <c r="N32" s="577" t="str">
        <f>IFERROR(TEXT(IF(J32="","",VLOOKUP(J32,CHOOSE({1,2},'Data Pengawas MTS-MA'!$P$5:$P$24,'Data Pengawas MTS-MA'!$F$5:$F$24),2,0)),"DD MMMM YYYY"),"")</f>
        <v>17 Juli 2023</v>
      </c>
      <c r="O32" s="579" t="str">
        <f t="shared" si="2"/>
        <v>Pengawas MTs, MA Kec. Kotaanyar, Pakuniran</v>
      </c>
      <c r="P32" s="581" t="str">
        <f>IFERROR(IF(J32="","",VLOOKUP(J32,CHOOSE({1,2},'Data Pengawas MTS-MA'!$P$5:$P$24,'Data Pengawas MTS-MA'!$O$5:$O$24),2,0)),"")</f>
        <v>Kotaanyar</v>
      </c>
      <c r="V32" s="358" t="s">
        <v>5148</v>
      </c>
      <c r="W32" s="357" t="str">
        <f t="shared" si="1"/>
        <v>Pengawas MTs, MA Kec. Kotaanyar, Pakuniran</v>
      </c>
    </row>
    <row r="33" spans="2:23" s="357" customFormat="1">
      <c r="B33" s="354" t="s">
        <v>1798</v>
      </c>
      <c r="C33" s="355">
        <f>'PETA-PENGAWAS'!L32</f>
        <v>12</v>
      </c>
      <c r="D33" s="355"/>
      <c r="E33" s="355">
        <f>'PETA-PENGAWAS'!N32</f>
        <v>5</v>
      </c>
      <c r="F33" s="355">
        <f>SUM(C33:E33)</f>
        <v>17</v>
      </c>
      <c r="G33" s="593"/>
      <c r="H33" s="593"/>
      <c r="I33" s="606"/>
      <c r="J33" s="592"/>
      <c r="K33" s="593"/>
      <c r="L33" s="594"/>
      <c r="M33" s="576"/>
      <c r="N33" s="578"/>
      <c r="O33" s="580"/>
      <c r="P33" s="582"/>
      <c r="V33" s="358" t="s">
        <v>4318</v>
      </c>
      <c r="W33" s="357" t="str">
        <f t="shared" si="1"/>
        <v>Pengawas MTs, MA Kec. Pakuniran</v>
      </c>
    </row>
    <row r="34" spans="2:23" s="357" customFormat="1">
      <c r="B34" s="354" t="s">
        <v>1689</v>
      </c>
      <c r="C34" s="355">
        <f>'PETA-PENGAWAS'!L33</f>
        <v>17</v>
      </c>
      <c r="D34" s="355"/>
      <c r="E34" s="355">
        <f>'PETA-PENGAWAS'!N33</f>
        <v>11</v>
      </c>
      <c r="F34" s="355">
        <f>SUM(C34:E34)</f>
        <v>28</v>
      </c>
      <c r="G34" s="356">
        <f>'PETA-PENGAWAS'!P33</f>
        <v>1</v>
      </c>
      <c r="H34" s="356"/>
      <c r="I34" s="493">
        <v>20</v>
      </c>
      <c r="J34" s="377" t="s">
        <v>248</v>
      </c>
      <c r="K34" s="360" t="str">
        <f>IF(J34="","",VLOOKUP(J34,CHOOSE({1,2},'Data Pengawas MTS-MA'!$P$5:$P$24,'Data Pengawas MTS-MA'!$D$5:$D$24),2,0))</f>
        <v>L</v>
      </c>
      <c r="L34" s="380" t="str">
        <f>IF(J34="","",VLOOKUP(J34,CHOOSE({1,2},'Data Pengawas MTS-MA'!$P$5:$P$24,'Data Pengawas MTS-MA'!$M$5:$M$24),2,0))</f>
        <v>02 Mei 2027</v>
      </c>
      <c r="M34" s="378" t="str">
        <f>IF(J34="","",VLOOKUP(J34,CHOOSE({1,2},'Data Pengawas MTS-MA'!$P$5:$P$24,'Data Pengawas MTS-MA'!$H$5:$H$24),2,0))</f>
        <v>Pengawas MTs Kec. Paiton</v>
      </c>
      <c r="N34" s="376" t="str">
        <f>TEXT(IF(J34="","",VLOOKUP(J34,CHOOSE({1,2},'Data Pengawas MTS-MA'!$P$5:$P$24,'Data Pengawas MTS-MA'!$F$5:$F$24),2,0)),"DD MMMM YYYY")</f>
        <v>17 Juli 2023</v>
      </c>
      <c r="O34" s="378" t="str">
        <f t="shared" ref="O34" si="9">IF(K34="","",W34)</f>
        <v>Pengawas MTs, MA Kec. Paiton</v>
      </c>
      <c r="P34" s="377" t="str">
        <f>IF(J34="","",VLOOKUP(J34,CHOOSE({1,2},'Data Pengawas MTS-MA'!$P$5:$P$24,'Data Pengawas MTS-MA'!$O$5:$O$24),2,0))</f>
        <v>Kotaanyar</v>
      </c>
      <c r="V34" s="358" t="s">
        <v>5084</v>
      </c>
      <c r="W34" s="357" t="str">
        <f t="shared" si="1"/>
        <v>Pengawas MTs, MA Kec. Paiton</v>
      </c>
    </row>
    <row r="35" spans="2:23">
      <c r="C35" s="349">
        <f>SUM($C$6:$C$34)</f>
        <v>222</v>
      </c>
      <c r="D35" s="349">
        <f>SUM(D6:D34)</f>
        <v>0</v>
      </c>
      <c r="E35" s="349">
        <f>SUM($E$6:$E$34)</f>
        <v>133</v>
      </c>
      <c r="F35" s="349">
        <f>SUM($F$6:$F$34)</f>
        <v>355</v>
      </c>
      <c r="G35" s="349">
        <f>SUM(G6:H34)</f>
        <v>24</v>
      </c>
      <c r="H35" s="345"/>
    </row>
  </sheetData>
  <mergeCells count="74">
    <mergeCell ref="B1:G1"/>
    <mergeCell ref="B2:C2"/>
    <mergeCell ref="J4:J5"/>
    <mergeCell ref="L4:L5"/>
    <mergeCell ref="I4:I5"/>
    <mergeCell ref="B4:B5"/>
    <mergeCell ref="C4:F4"/>
    <mergeCell ref="J1:P1"/>
    <mergeCell ref="M4:M5"/>
    <mergeCell ref="N4:N5"/>
    <mergeCell ref="O4:O5"/>
    <mergeCell ref="P4:P5"/>
    <mergeCell ref="I32:I33"/>
    <mergeCell ref="C19:C20"/>
    <mergeCell ref="E19:E20"/>
    <mergeCell ref="F19:F20"/>
    <mergeCell ref="G19:G20"/>
    <mergeCell ref="I8:I10"/>
    <mergeCell ref="H19:H20"/>
    <mergeCell ref="H29:H30"/>
    <mergeCell ref="I15:I16"/>
    <mergeCell ref="I30:I31"/>
    <mergeCell ref="I11:I12"/>
    <mergeCell ref="H11:H12"/>
    <mergeCell ref="I17:I18"/>
    <mergeCell ref="H16:H17"/>
    <mergeCell ref="G8:G10"/>
    <mergeCell ref="H8:H10"/>
    <mergeCell ref="G32:G33"/>
    <mergeCell ref="H32:H33"/>
    <mergeCell ref="F14:F15"/>
    <mergeCell ref="G14:G15"/>
    <mergeCell ref="H14:H15"/>
    <mergeCell ref="H22:H23"/>
    <mergeCell ref="F16:F17"/>
    <mergeCell ref="G16:G17"/>
    <mergeCell ref="B22:B23"/>
    <mergeCell ref="C22:C23"/>
    <mergeCell ref="E22:E23"/>
    <mergeCell ref="F22:F23"/>
    <mergeCell ref="G22:G23"/>
    <mergeCell ref="B19:B20"/>
    <mergeCell ref="B14:B15"/>
    <mergeCell ref="C14:C15"/>
    <mergeCell ref="E14:E15"/>
    <mergeCell ref="B16:B17"/>
    <mergeCell ref="C16:C17"/>
    <mergeCell ref="E16:E17"/>
    <mergeCell ref="B29:B30"/>
    <mergeCell ref="C29:C30"/>
    <mergeCell ref="E29:E30"/>
    <mergeCell ref="F29:F30"/>
    <mergeCell ref="G29:G30"/>
    <mergeCell ref="J8:J10"/>
    <mergeCell ref="J11:J12"/>
    <mergeCell ref="J32:J33"/>
    <mergeCell ref="K32:K33"/>
    <mergeCell ref="L32:L33"/>
    <mergeCell ref="M32:M33"/>
    <mergeCell ref="N32:N33"/>
    <mergeCell ref="O32:O33"/>
    <mergeCell ref="P32:P33"/>
    <mergeCell ref="K8:K10"/>
    <mergeCell ref="L8:L10"/>
    <mergeCell ref="M8:M10"/>
    <mergeCell ref="N8:N10"/>
    <mergeCell ref="O8:O10"/>
    <mergeCell ref="P8:P10"/>
    <mergeCell ref="K11:K12"/>
    <mergeCell ref="L11:L12"/>
    <mergeCell ref="M11:M12"/>
    <mergeCell ref="N11:N12"/>
    <mergeCell ref="O11:O12"/>
    <mergeCell ref="P11:P12"/>
  </mergeCells>
  <conditionalFormatting sqref="L6:L8 L11 L34 L13:L32">
    <cfRule type="containsText" dxfId="4" priority="3" operator="containsText" text="2027">
      <formula>NOT(ISERROR(SEARCH("2027",L6)))</formula>
    </cfRule>
    <cfRule type="containsText" dxfId="3" priority="4" operator="containsText" text="2026">
      <formula>NOT(ISERROR(SEARCH("2026",L6)))</formula>
    </cfRule>
    <cfRule type="containsText" dxfId="2" priority="5" operator="containsText" text="2025">
      <formula>NOT(ISERROR(SEARCH("2025",L6)))</formula>
    </cfRule>
  </conditionalFormatting>
  <conditionalFormatting sqref="J8:J34">
    <cfRule type="duplicateValues" dxfId="1" priority="1"/>
  </conditionalFormatting>
  <pageMargins left="0.51181102362204722" right="0.31496062992125984" top="0.74803149606299213" bottom="0.55118110236220474" header="0.31496062992125984" footer="0.31496062992125984"/>
  <pageSetup paperSize="9" orientation="landscape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xWindow="455" yWindow="522" count="2">
        <x14:dataValidation type="list" allowBlank="1" showInputMessage="1" showErrorMessage="1" promptTitle="Pilih Pengawas RA-MI" prompt="A. SULHAN_x000a_ABD. GHANI_x000a_ABD. HALIM_x000a_ABD. WAHID_x000a_ABDUL AZIS_x000a_ABDUL HAMID_x000a_ABDUS SAMAT_x000a_AGUS SOLEH_x000a_AMIR MAHMUD_x000a_ANGGRE AFREANDINA_x000a_ASNITI_x000a_">
          <x14:formula1>
            <xm:f>'Data Pengawas MTS-MA'!$P$5:$P$24</xm:f>
          </x14:formula1>
          <xm:sqref>J6:J7</xm:sqref>
        </x14:dataValidation>
        <x14:dataValidation type="list" allowBlank="1" showInputMessage="1" showErrorMessage="1" promptTitle="Pilih Pengawas RA-MI" prompt="A. SULHAN_x000a_ABD. GHANI_x000a_ABD. HALIM_x000a_ABD. WAHID_x000a_ABDUL AZIS_x000a_ABDUL HAMID_x000a_ABDUS SAMAT_x000a_AGUS SOLEH_x000a_AMIR MAHMUD_x000a_ANGGRE AFREANDINA_x000a_ASNITI_x000a_">
          <x14:formula1>
            <xm:f>'Data Pengawas MTS-MA'!$P$5:$P$25</xm:f>
          </x14:formula1>
          <xm:sqref>J8 J11 J34 J13:J32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571"/>
  <sheetViews>
    <sheetView zoomScale="90" zoomScaleNormal="9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K40" sqref="K40"/>
    </sheetView>
  </sheetViews>
  <sheetFormatPr defaultRowHeight="14.5"/>
  <cols>
    <col min="1" max="1" width="5" style="1" customWidth="1"/>
    <col min="2" max="2" width="21.54296875" style="1" hidden="1" customWidth="1"/>
    <col min="3" max="3" width="30.26953125" style="102" customWidth="1"/>
    <col min="4" max="4" width="6.453125" style="102" customWidth="1"/>
    <col min="5" max="5" width="5.1796875" style="60" customWidth="1"/>
    <col min="6" max="6" width="20.81640625" style="3" customWidth="1"/>
    <col min="7" max="7" width="9.7265625" style="1" customWidth="1"/>
    <col min="8" max="8" width="29.81640625" style="185" customWidth="1"/>
    <col min="9" max="9" width="19.1796875" style="185" customWidth="1"/>
    <col min="10" max="10" width="7.26953125" customWidth="1"/>
    <col min="11" max="11" width="10.1796875" customWidth="1"/>
    <col min="12" max="12" width="21.453125" customWidth="1"/>
    <col min="13" max="13" width="48.7265625" customWidth="1"/>
    <col min="14" max="14" width="12.81640625" customWidth="1"/>
    <col min="15" max="15" width="30.26953125" customWidth="1"/>
  </cols>
  <sheetData>
    <row r="2" spans="1:19" ht="15">
      <c r="A2" s="614" t="s">
        <v>228</v>
      </c>
      <c r="B2" s="614"/>
      <c r="C2" s="614"/>
      <c r="D2" s="614"/>
      <c r="E2" s="614"/>
      <c r="F2" s="614"/>
      <c r="G2" s="614"/>
      <c r="H2" s="614"/>
      <c r="I2" s="49"/>
      <c r="J2" s="49"/>
      <c r="K2" s="49"/>
      <c r="L2" s="49"/>
      <c r="M2" s="615" t="s">
        <v>5112</v>
      </c>
      <c r="N2" s="616"/>
      <c r="O2" s="616"/>
      <c r="P2" s="616"/>
      <c r="Q2" s="616"/>
      <c r="R2" s="616"/>
      <c r="S2" s="617"/>
    </row>
    <row r="3" spans="1:19">
      <c r="B3" s="47"/>
      <c r="C3" s="54"/>
      <c r="D3" s="54"/>
      <c r="E3" s="61"/>
      <c r="F3" s="48"/>
      <c r="G3" s="183"/>
      <c r="H3" s="239">
        <v>45658</v>
      </c>
      <c r="I3" s="184"/>
      <c r="J3" s="49"/>
      <c r="K3" s="49"/>
      <c r="L3" s="49"/>
      <c r="M3" s="49"/>
      <c r="N3" s="49"/>
    </row>
    <row r="4" spans="1:19" ht="38.25" customHeight="1">
      <c r="A4" s="4" t="s">
        <v>131</v>
      </c>
      <c r="B4" s="88" t="s">
        <v>133</v>
      </c>
      <c r="C4" s="100" t="s">
        <v>132</v>
      </c>
      <c r="D4" s="247" t="s">
        <v>665</v>
      </c>
      <c r="E4" s="62" t="s">
        <v>2</v>
      </c>
      <c r="F4" s="4" t="s">
        <v>603</v>
      </c>
      <c r="G4" s="4" t="s">
        <v>600</v>
      </c>
      <c r="H4" s="4" t="s">
        <v>5107</v>
      </c>
      <c r="I4" s="4" t="s">
        <v>661</v>
      </c>
      <c r="J4" s="4" t="s">
        <v>660</v>
      </c>
      <c r="K4" s="4" t="s">
        <v>5058</v>
      </c>
      <c r="L4" s="4" t="s">
        <v>662</v>
      </c>
      <c r="M4" s="4" t="s">
        <v>606</v>
      </c>
      <c r="N4" s="4" t="s">
        <v>674</v>
      </c>
      <c r="O4" s="100" t="s">
        <v>132</v>
      </c>
    </row>
    <row r="5" spans="1:19" s="164" customFormat="1" ht="29.15" customHeight="1">
      <c r="A5" s="160">
        <v>1</v>
      </c>
      <c r="B5" s="190" t="s">
        <v>112</v>
      </c>
      <c r="C5" s="191" t="s">
        <v>89</v>
      </c>
      <c r="D5" s="241" t="s">
        <v>663</v>
      </c>
      <c r="E5" s="161" t="s">
        <v>49</v>
      </c>
      <c r="F5" s="186">
        <v>45474</v>
      </c>
      <c r="G5" s="160" t="s">
        <v>316</v>
      </c>
      <c r="H5" s="215" t="s">
        <v>186</v>
      </c>
      <c r="I5" s="238">
        <v>24673</v>
      </c>
      <c r="J5" s="260">
        <f t="shared" ref="J5:J36" ca="1" si="0">DATEDIF(I5,TODAY(),"Y")</f>
        <v>57</v>
      </c>
      <c r="K5" s="260">
        <v>58</v>
      </c>
      <c r="L5" s="272" t="str">
        <f t="shared" ref="L5:L36" si="1">TEXT(EDATE(I5,12*K5),"DD MMMM YYYY")</f>
        <v>20 Juli 2025</v>
      </c>
      <c r="M5" s="135" t="s">
        <v>607</v>
      </c>
      <c r="N5" s="162" t="s">
        <v>5084</v>
      </c>
      <c r="O5" s="163" t="s">
        <v>278</v>
      </c>
    </row>
    <row r="6" spans="1:19" s="164" customFormat="1" ht="29.15" customHeight="1">
      <c r="A6" s="160">
        <v>2</v>
      </c>
      <c r="B6" s="192" t="s">
        <v>110</v>
      </c>
      <c r="C6" s="193" t="s">
        <v>88</v>
      </c>
      <c r="D6" s="236" t="s">
        <v>663</v>
      </c>
      <c r="E6" s="161" t="s">
        <v>49</v>
      </c>
      <c r="F6" s="186">
        <v>45469</v>
      </c>
      <c r="G6" s="160" t="s">
        <v>601</v>
      </c>
      <c r="H6" s="216" t="s">
        <v>174</v>
      </c>
      <c r="I6" s="238">
        <v>27476</v>
      </c>
      <c r="J6" s="235">
        <f t="shared" ca="1" si="0"/>
        <v>49</v>
      </c>
      <c r="K6" s="235">
        <v>60</v>
      </c>
      <c r="L6" s="240" t="str">
        <f t="shared" si="1"/>
        <v>23 Maret 2035</v>
      </c>
      <c r="M6" s="136" t="s">
        <v>5059</v>
      </c>
      <c r="N6" s="162" t="s">
        <v>5085</v>
      </c>
      <c r="O6" s="163" t="s">
        <v>286</v>
      </c>
    </row>
    <row r="7" spans="1:19" s="164" customFormat="1" ht="29.15" customHeight="1">
      <c r="A7" s="160">
        <v>3</v>
      </c>
      <c r="B7" s="194" t="s">
        <v>18</v>
      </c>
      <c r="C7" s="195" t="s">
        <v>6</v>
      </c>
      <c r="D7" s="237" t="s">
        <v>663</v>
      </c>
      <c r="E7" s="166" t="s">
        <v>125</v>
      </c>
      <c r="F7" s="186">
        <v>44197</v>
      </c>
      <c r="G7" s="160" t="s">
        <v>316</v>
      </c>
      <c r="H7" s="217" t="s">
        <v>184</v>
      </c>
      <c r="I7" s="238">
        <v>25759</v>
      </c>
      <c r="J7" s="235">
        <f t="shared" ca="1" si="0"/>
        <v>54</v>
      </c>
      <c r="K7" s="235">
        <v>60</v>
      </c>
      <c r="L7" s="240" t="str">
        <f t="shared" si="1"/>
        <v>10 Juli 2030</v>
      </c>
      <c r="M7" s="137" t="s">
        <v>608</v>
      </c>
      <c r="N7" s="162" t="s">
        <v>5086</v>
      </c>
      <c r="O7" s="165" t="s">
        <v>255</v>
      </c>
    </row>
    <row r="8" spans="1:19" s="164" customFormat="1" ht="29.15" customHeight="1">
      <c r="A8" s="160">
        <v>4</v>
      </c>
      <c r="B8" s="194" t="s">
        <v>19</v>
      </c>
      <c r="C8" s="195" t="s">
        <v>7</v>
      </c>
      <c r="D8" s="237" t="s">
        <v>663</v>
      </c>
      <c r="E8" s="166" t="s">
        <v>48</v>
      </c>
      <c r="F8" s="186" t="s">
        <v>5055</v>
      </c>
      <c r="G8" s="160" t="s">
        <v>316</v>
      </c>
      <c r="H8" s="218" t="s">
        <v>198</v>
      </c>
      <c r="I8" s="238">
        <v>26527</v>
      </c>
      <c r="J8" s="235">
        <f t="shared" ca="1" si="0"/>
        <v>52</v>
      </c>
      <c r="K8" s="235">
        <v>60</v>
      </c>
      <c r="L8" s="240" t="str">
        <f t="shared" si="1"/>
        <v>16 Agustus 2032</v>
      </c>
      <c r="M8" s="138" t="s">
        <v>609</v>
      </c>
      <c r="N8" s="162" t="s">
        <v>5086</v>
      </c>
      <c r="O8" s="165" t="s">
        <v>254</v>
      </c>
    </row>
    <row r="9" spans="1:19" s="164" customFormat="1" ht="29.15" customHeight="1">
      <c r="A9" s="160">
        <v>5</v>
      </c>
      <c r="B9" s="194" t="s">
        <v>21</v>
      </c>
      <c r="C9" s="195" t="s">
        <v>214</v>
      </c>
      <c r="D9" s="237" t="s">
        <v>663</v>
      </c>
      <c r="E9" s="167" t="s">
        <v>150</v>
      </c>
      <c r="F9" s="186">
        <v>45124</v>
      </c>
      <c r="G9" s="160" t="s">
        <v>601</v>
      </c>
      <c r="H9" s="219" t="s">
        <v>164</v>
      </c>
      <c r="I9" s="238">
        <v>24594</v>
      </c>
      <c r="J9" s="262">
        <f t="shared" ca="1" si="0"/>
        <v>57</v>
      </c>
      <c r="K9" s="262">
        <v>60</v>
      </c>
      <c r="L9" s="273" t="str">
        <f t="shared" si="1"/>
        <v>02 Mei 2027</v>
      </c>
      <c r="M9" s="139" t="s">
        <v>610</v>
      </c>
      <c r="N9" s="162" t="s">
        <v>5087</v>
      </c>
      <c r="O9" s="165" t="s">
        <v>248</v>
      </c>
    </row>
    <row r="10" spans="1:19" s="164" customFormat="1" ht="29.15" customHeight="1">
      <c r="A10" s="160">
        <v>6</v>
      </c>
      <c r="B10" s="196" t="s">
        <v>46</v>
      </c>
      <c r="C10" s="197" t="s">
        <v>154</v>
      </c>
      <c r="D10" s="242" t="s">
        <v>663</v>
      </c>
      <c r="E10" s="167" t="s">
        <v>48</v>
      </c>
      <c r="F10" s="186">
        <v>42430</v>
      </c>
      <c r="G10" s="160" t="s">
        <v>316</v>
      </c>
      <c r="H10" s="220" t="s">
        <v>187</v>
      </c>
      <c r="I10" s="238">
        <v>26730</v>
      </c>
      <c r="J10" s="235">
        <f t="shared" ca="1" si="0"/>
        <v>51</v>
      </c>
      <c r="K10" s="235">
        <v>60</v>
      </c>
      <c r="L10" s="240" t="str">
        <f t="shared" si="1"/>
        <v>07 Maret 2033</v>
      </c>
      <c r="M10" s="140" t="s">
        <v>611</v>
      </c>
      <c r="N10" s="162" t="s">
        <v>5086</v>
      </c>
      <c r="O10" s="168" t="s">
        <v>258</v>
      </c>
    </row>
    <row r="11" spans="1:19" s="164" customFormat="1" ht="29.15" customHeight="1">
      <c r="A11" s="160">
        <v>7</v>
      </c>
      <c r="B11" s="194" t="s">
        <v>27</v>
      </c>
      <c r="C11" s="195" t="s">
        <v>11</v>
      </c>
      <c r="D11" s="237" t="s">
        <v>663</v>
      </c>
      <c r="E11" s="167" t="s">
        <v>52</v>
      </c>
      <c r="F11" s="186">
        <v>45474</v>
      </c>
      <c r="G11" s="160" t="s">
        <v>316</v>
      </c>
      <c r="H11" s="215" t="s">
        <v>184</v>
      </c>
      <c r="I11" s="238">
        <v>27929</v>
      </c>
      <c r="J11" s="235">
        <f t="shared" ca="1" si="0"/>
        <v>48</v>
      </c>
      <c r="K11" s="235">
        <v>60</v>
      </c>
      <c r="L11" s="240" t="str">
        <f t="shared" si="1"/>
        <v>18 Juni 2036</v>
      </c>
      <c r="M11" s="135" t="s">
        <v>612</v>
      </c>
      <c r="N11" s="162" t="s">
        <v>5085</v>
      </c>
      <c r="O11" s="165" t="s">
        <v>598</v>
      </c>
    </row>
    <row r="12" spans="1:19" s="164" customFormat="1" ht="29.15" customHeight="1">
      <c r="A12" s="160">
        <v>8</v>
      </c>
      <c r="B12" s="198" t="s">
        <v>99</v>
      </c>
      <c r="C12" s="199" t="s">
        <v>122</v>
      </c>
      <c r="D12" s="171" t="s">
        <v>663</v>
      </c>
      <c r="E12" s="161" t="s">
        <v>49</v>
      </c>
      <c r="F12" s="186">
        <v>45474</v>
      </c>
      <c r="G12" s="160" t="s">
        <v>316</v>
      </c>
      <c r="H12" s="220" t="s">
        <v>192</v>
      </c>
      <c r="I12" s="238">
        <v>28707</v>
      </c>
      <c r="J12" s="235">
        <f t="shared" ca="1" si="0"/>
        <v>46</v>
      </c>
      <c r="K12" s="235">
        <v>60</v>
      </c>
      <c r="L12" s="240" t="str">
        <f t="shared" si="1"/>
        <v>05 Agustus 2038</v>
      </c>
      <c r="M12" s="140" t="s">
        <v>613</v>
      </c>
      <c r="N12" s="162" t="s">
        <v>5088</v>
      </c>
      <c r="O12" s="170" t="s">
        <v>289</v>
      </c>
    </row>
    <row r="13" spans="1:19" s="164" customFormat="1" ht="29.15" customHeight="1">
      <c r="A13" s="160">
        <v>9</v>
      </c>
      <c r="B13" s="198" t="s">
        <v>129</v>
      </c>
      <c r="C13" s="199" t="s">
        <v>145</v>
      </c>
      <c r="D13" s="171" t="s">
        <v>663</v>
      </c>
      <c r="E13" s="171" t="s">
        <v>49</v>
      </c>
      <c r="F13" s="187">
        <v>43556</v>
      </c>
      <c r="G13" s="160" t="s">
        <v>316</v>
      </c>
      <c r="H13" s="220" t="s">
        <v>182</v>
      </c>
      <c r="I13" s="238">
        <v>24816</v>
      </c>
      <c r="J13" s="260">
        <f t="shared" ca="1" si="0"/>
        <v>57</v>
      </c>
      <c r="K13" s="260">
        <v>58</v>
      </c>
      <c r="L13" s="272" t="str">
        <f t="shared" si="1"/>
        <v>10 Desember 2025</v>
      </c>
      <c r="M13" s="140" t="s">
        <v>614</v>
      </c>
      <c r="N13" s="162" t="s">
        <v>5089</v>
      </c>
      <c r="O13" s="170" t="s">
        <v>261</v>
      </c>
    </row>
    <row r="14" spans="1:19" s="164" customFormat="1" ht="29.15" customHeight="1">
      <c r="A14" s="160">
        <v>10</v>
      </c>
      <c r="B14" s="194" t="s">
        <v>114</v>
      </c>
      <c r="C14" s="195" t="s">
        <v>126</v>
      </c>
      <c r="D14" s="237" t="s">
        <v>664</v>
      </c>
      <c r="E14" s="161" t="s">
        <v>49</v>
      </c>
      <c r="F14" s="188">
        <v>44868</v>
      </c>
      <c r="G14" s="160" t="s">
        <v>316</v>
      </c>
      <c r="H14" s="221" t="s">
        <v>187</v>
      </c>
      <c r="I14" s="238">
        <v>30410</v>
      </c>
      <c r="J14" s="235">
        <f t="shared" ca="1" si="0"/>
        <v>41</v>
      </c>
      <c r="K14" s="235">
        <v>60</v>
      </c>
      <c r="L14" s="240" t="str">
        <f t="shared" si="1"/>
        <v>04 April 2043</v>
      </c>
      <c r="M14" s="141" t="s">
        <v>5060</v>
      </c>
      <c r="N14" s="162" t="s">
        <v>5089</v>
      </c>
      <c r="O14" s="165" t="s">
        <v>273</v>
      </c>
    </row>
    <row r="15" spans="1:19" s="164" customFormat="1" ht="29.15" customHeight="1">
      <c r="A15" s="160">
        <v>11</v>
      </c>
      <c r="B15" s="196" t="s">
        <v>101</v>
      </c>
      <c r="C15" s="197" t="s">
        <v>69</v>
      </c>
      <c r="D15" s="242" t="s">
        <v>664</v>
      </c>
      <c r="E15" s="161" t="s">
        <v>49</v>
      </c>
      <c r="F15" s="187">
        <v>44868</v>
      </c>
      <c r="G15" s="160" t="s">
        <v>316</v>
      </c>
      <c r="H15" s="218" t="s">
        <v>181</v>
      </c>
      <c r="I15" s="238">
        <v>26769</v>
      </c>
      <c r="J15" s="235">
        <f t="shared" ca="1" si="0"/>
        <v>51</v>
      </c>
      <c r="K15" s="235">
        <v>60</v>
      </c>
      <c r="L15" s="240" t="str">
        <f t="shared" si="1"/>
        <v>15 April 2033</v>
      </c>
      <c r="M15" s="138" t="s">
        <v>5061</v>
      </c>
      <c r="N15" s="162" t="s">
        <v>5090</v>
      </c>
      <c r="O15" s="168" t="s">
        <v>264</v>
      </c>
    </row>
    <row r="16" spans="1:19" s="164" customFormat="1" ht="29.15" customHeight="1">
      <c r="A16" s="160">
        <v>12</v>
      </c>
      <c r="B16" s="190" t="s">
        <v>119</v>
      </c>
      <c r="C16" s="195" t="s">
        <v>93</v>
      </c>
      <c r="D16" s="237" t="s">
        <v>663</v>
      </c>
      <c r="E16" s="161" t="s">
        <v>49</v>
      </c>
      <c r="F16" s="186">
        <v>44470</v>
      </c>
      <c r="G16" s="160" t="s">
        <v>316</v>
      </c>
      <c r="H16" s="222" t="s">
        <v>186</v>
      </c>
      <c r="I16" s="238">
        <v>24633</v>
      </c>
      <c r="J16" s="260">
        <f t="shared" ca="1" si="0"/>
        <v>57</v>
      </c>
      <c r="K16" s="260">
        <v>58</v>
      </c>
      <c r="L16" s="272" t="str">
        <f t="shared" si="1"/>
        <v>10 Juni 2025</v>
      </c>
      <c r="M16" s="142" t="s">
        <v>615</v>
      </c>
      <c r="N16" s="162" t="s">
        <v>5087</v>
      </c>
      <c r="O16" s="165" t="s">
        <v>275</v>
      </c>
    </row>
    <row r="17" spans="1:15" s="164" customFormat="1" ht="29.15" customHeight="1">
      <c r="A17" s="160">
        <v>13</v>
      </c>
      <c r="B17" s="190" t="s">
        <v>44</v>
      </c>
      <c r="C17" s="191" t="s">
        <v>36</v>
      </c>
      <c r="D17" s="241" t="s">
        <v>663</v>
      </c>
      <c r="E17" s="161" t="s">
        <v>141</v>
      </c>
      <c r="F17" s="187">
        <v>45474</v>
      </c>
      <c r="G17" s="160" t="s">
        <v>316</v>
      </c>
      <c r="H17" s="215" t="s">
        <v>217</v>
      </c>
      <c r="I17" s="238">
        <v>28250</v>
      </c>
      <c r="J17" s="235">
        <f t="shared" ca="1" si="0"/>
        <v>47</v>
      </c>
      <c r="K17" s="235">
        <v>60</v>
      </c>
      <c r="L17" s="240" t="str">
        <f t="shared" si="1"/>
        <v>05 Mei 2037</v>
      </c>
      <c r="M17" s="135" t="s">
        <v>616</v>
      </c>
      <c r="N17" s="162" t="s">
        <v>5091</v>
      </c>
      <c r="O17" s="163" t="s">
        <v>267</v>
      </c>
    </row>
    <row r="18" spans="1:15" s="164" customFormat="1" ht="29.15" customHeight="1">
      <c r="A18" s="160">
        <v>14</v>
      </c>
      <c r="B18" s="200" t="s">
        <v>42</v>
      </c>
      <c r="C18" s="197" t="s">
        <v>144</v>
      </c>
      <c r="D18" s="242" t="s">
        <v>664</v>
      </c>
      <c r="E18" s="161" t="s">
        <v>50</v>
      </c>
      <c r="F18" s="187">
        <v>45474</v>
      </c>
      <c r="G18" s="160" t="s">
        <v>316</v>
      </c>
      <c r="H18" s="215" t="s">
        <v>183</v>
      </c>
      <c r="I18" s="238">
        <v>30309</v>
      </c>
      <c r="J18" s="235">
        <f t="shared" ca="1" si="0"/>
        <v>42</v>
      </c>
      <c r="K18" s="235">
        <v>60</v>
      </c>
      <c r="L18" s="240" t="str">
        <f t="shared" si="1"/>
        <v>24 Desember 2042</v>
      </c>
      <c r="M18" s="135" t="s">
        <v>5062</v>
      </c>
      <c r="N18" s="162" t="s">
        <v>5092</v>
      </c>
      <c r="O18" s="168" t="s">
        <v>304</v>
      </c>
    </row>
    <row r="19" spans="1:15" s="164" customFormat="1" ht="29.15" customHeight="1">
      <c r="A19" s="160">
        <v>15</v>
      </c>
      <c r="B19" s="194" t="s">
        <v>95</v>
      </c>
      <c r="C19" s="195" t="s">
        <v>66</v>
      </c>
      <c r="D19" s="237" t="s">
        <v>663</v>
      </c>
      <c r="E19" s="161" t="s">
        <v>49</v>
      </c>
      <c r="F19" s="186">
        <v>45474</v>
      </c>
      <c r="G19" s="160" t="s">
        <v>316</v>
      </c>
      <c r="H19" s="215" t="s">
        <v>188</v>
      </c>
      <c r="I19" s="238">
        <v>29222</v>
      </c>
      <c r="J19" s="235">
        <f t="shared" ca="1" si="0"/>
        <v>45</v>
      </c>
      <c r="K19" s="235">
        <v>60</v>
      </c>
      <c r="L19" s="240" t="str">
        <f t="shared" si="1"/>
        <v>02 Januari 2040</v>
      </c>
      <c r="M19" s="135" t="s">
        <v>617</v>
      </c>
      <c r="N19" s="162" t="s">
        <v>5092</v>
      </c>
      <c r="O19" s="165" t="s">
        <v>270</v>
      </c>
    </row>
    <row r="20" spans="1:15" s="164" customFormat="1" ht="29.15" customHeight="1">
      <c r="A20" s="160">
        <v>16</v>
      </c>
      <c r="B20" s="201" t="s">
        <v>74</v>
      </c>
      <c r="C20" s="191" t="s">
        <v>75</v>
      </c>
      <c r="D20" s="241" t="s">
        <v>664</v>
      </c>
      <c r="E20" s="161" t="s">
        <v>49</v>
      </c>
      <c r="F20" s="187">
        <v>44823</v>
      </c>
      <c r="G20" s="160" t="s">
        <v>316</v>
      </c>
      <c r="H20" s="218" t="s">
        <v>180</v>
      </c>
      <c r="I20" s="238">
        <v>25530</v>
      </c>
      <c r="J20" s="235">
        <f t="shared" ca="1" si="0"/>
        <v>55</v>
      </c>
      <c r="K20" s="235">
        <v>60</v>
      </c>
      <c r="L20" s="240" t="str">
        <f t="shared" si="1"/>
        <v>23 November 2029</v>
      </c>
      <c r="M20" s="138" t="s">
        <v>5063</v>
      </c>
      <c r="N20" s="162" t="s">
        <v>5093</v>
      </c>
      <c r="O20" s="163" t="s">
        <v>296</v>
      </c>
    </row>
    <row r="21" spans="1:15" s="164" customFormat="1" ht="29.15" customHeight="1">
      <c r="A21" s="160">
        <v>17</v>
      </c>
      <c r="B21" s="202" t="s">
        <v>62</v>
      </c>
      <c r="C21" s="191" t="s">
        <v>61</v>
      </c>
      <c r="D21" s="241" t="s">
        <v>664</v>
      </c>
      <c r="E21" s="172" t="s">
        <v>49</v>
      </c>
      <c r="F21" s="188">
        <v>44868</v>
      </c>
      <c r="G21" s="160" t="s">
        <v>601</v>
      </c>
      <c r="H21" s="218" t="s">
        <v>200</v>
      </c>
      <c r="I21" s="238">
        <v>29872</v>
      </c>
      <c r="J21" s="235">
        <f t="shared" ca="1" si="0"/>
        <v>43</v>
      </c>
      <c r="K21" s="235">
        <v>60</v>
      </c>
      <c r="L21" s="240" t="str">
        <f t="shared" si="1"/>
        <v>13 Oktober 2041</v>
      </c>
      <c r="M21" s="138" t="s">
        <v>5064</v>
      </c>
      <c r="N21" s="162" t="s">
        <v>5093</v>
      </c>
      <c r="O21" s="163" t="s">
        <v>285</v>
      </c>
    </row>
    <row r="22" spans="1:15" s="164" customFormat="1" ht="29.15" customHeight="1">
      <c r="A22" s="160">
        <v>18</v>
      </c>
      <c r="B22" s="196" t="s">
        <v>41</v>
      </c>
      <c r="C22" s="197" t="s">
        <v>33</v>
      </c>
      <c r="D22" s="242" t="s">
        <v>663</v>
      </c>
      <c r="E22" s="161" t="s">
        <v>49</v>
      </c>
      <c r="F22" s="187">
        <v>45108</v>
      </c>
      <c r="G22" s="160" t="s">
        <v>316</v>
      </c>
      <c r="H22" s="223" t="s">
        <v>180</v>
      </c>
      <c r="I22" s="238">
        <v>29589</v>
      </c>
      <c r="J22" s="235">
        <f t="shared" ca="1" si="0"/>
        <v>44</v>
      </c>
      <c r="K22" s="235">
        <v>60</v>
      </c>
      <c r="L22" s="240" t="str">
        <f t="shared" si="1"/>
        <v>03 Januari 2041</v>
      </c>
      <c r="M22" s="143" t="s">
        <v>618</v>
      </c>
      <c r="N22" s="162" t="s">
        <v>5092</v>
      </c>
      <c r="O22" s="168" t="s">
        <v>279</v>
      </c>
    </row>
    <row r="23" spans="1:15" s="164" customFormat="1" ht="29.15" customHeight="1">
      <c r="A23" s="160">
        <v>19</v>
      </c>
      <c r="B23" s="194" t="s">
        <v>120</v>
      </c>
      <c r="C23" s="195" t="s">
        <v>94</v>
      </c>
      <c r="D23" s="237" t="s">
        <v>664</v>
      </c>
      <c r="E23" s="161" t="s">
        <v>49</v>
      </c>
      <c r="F23" s="186">
        <v>45444</v>
      </c>
      <c r="G23" s="160" t="s">
        <v>316</v>
      </c>
      <c r="H23" s="215" t="s">
        <v>218</v>
      </c>
      <c r="I23" s="238">
        <v>26044</v>
      </c>
      <c r="J23" s="235">
        <f t="shared" ca="1" si="0"/>
        <v>53</v>
      </c>
      <c r="K23" s="235">
        <v>60</v>
      </c>
      <c r="L23" s="240" t="str">
        <f t="shared" si="1"/>
        <v>21 April 2031</v>
      </c>
      <c r="M23" s="135" t="s">
        <v>5065</v>
      </c>
      <c r="N23" s="162" t="s">
        <v>5084</v>
      </c>
      <c r="O23" s="165" t="s">
        <v>277</v>
      </c>
    </row>
    <row r="24" spans="1:15" s="164" customFormat="1" ht="29.15" customHeight="1">
      <c r="A24" s="160">
        <v>20</v>
      </c>
      <c r="B24" s="203" t="s">
        <v>72</v>
      </c>
      <c r="C24" s="191" t="s">
        <v>73</v>
      </c>
      <c r="D24" s="241" t="s">
        <v>664</v>
      </c>
      <c r="E24" s="161" t="s">
        <v>49</v>
      </c>
      <c r="F24" s="187">
        <v>44868</v>
      </c>
      <c r="G24" s="160" t="s">
        <v>316</v>
      </c>
      <c r="H24" s="218" t="s">
        <v>180</v>
      </c>
      <c r="I24" s="238">
        <v>25118</v>
      </c>
      <c r="J24" s="261">
        <f t="shared" ca="1" si="0"/>
        <v>56</v>
      </c>
      <c r="K24" s="261">
        <v>58</v>
      </c>
      <c r="L24" s="271" t="str">
        <f t="shared" si="1"/>
        <v>07 Oktober 2026</v>
      </c>
      <c r="M24" s="138" t="s">
        <v>619</v>
      </c>
      <c r="N24" s="162" t="s">
        <v>5093</v>
      </c>
      <c r="O24" s="163" t="s">
        <v>263</v>
      </c>
    </row>
    <row r="25" spans="1:15" s="164" customFormat="1" ht="29.15" customHeight="1">
      <c r="A25" s="160">
        <v>21</v>
      </c>
      <c r="B25" s="204" t="s">
        <v>86</v>
      </c>
      <c r="C25" s="193" t="s">
        <v>140</v>
      </c>
      <c r="D25" s="236" t="s">
        <v>663</v>
      </c>
      <c r="E25" s="173" t="s">
        <v>49</v>
      </c>
      <c r="F25" s="187">
        <v>43174</v>
      </c>
      <c r="G25" s="160" t="s">
        <v>601</v>
      </c>
      <c r="H25" s="224" t="s">
        <v>604</v>
      </c>
      <c r="I25" s="238">
        <v>25363</v>
      </c>
      <c r="J25" s="235">
        <f t="shared" ca="1" si="0"/>
        <v>55</v>
      </c>
      <c r="K25" s="235">
        <v>60</v>
      </c>
      <c r="L25" s="240" t="str">
        <f t="shared" si="1"/>
        <v>09 Juni 2029</v>
      </c>
      <c r="M25" s="144" t="s">
        <v>5066</v>
      </c>
      <c r="N25" s="162" t="s">
        <v>5087</v>
      </c>
      <c r="O25" s="163" t="s">
        <v>293</v>
      </c>
    </row>
    <row r="26" spans="1:15" s="164" customFormat="1" ht="29.15" customHeight="1">
      <c r="A26" s="160">
        <v>22</v>
      </c>
      <c r="B26" s="194" t="s">
        <v>104</v>
      </c>
      <c r="C26" s="195" t="s">
        <v>213</v>
      </c>
      <c r="D26" s="237" t="s">
        <v>663</v>
      </c>
      <c r="E26" s="175" t="s">
        <v>49</v>
      </c>
      <c r="F26" s="186">
        <v>45474</v>
      </c>
      <c r="G26" s="160" t="s">
        <v>316</v>
      </c>
      <c r="H26" s="215" t="s">
        <v>191</v>
      </c>
      <c r="I26" s="238">
        <v>28030</v>
      </c>
      <c r="J26" s="235">
        <f t="shared" ca="1" si="0"/>
        <v>48</v>
      </c>
      <c r="K26" s="235">
        <v>60</v>
      </c>
      <c r="L26" s="240" t="str">
        <f t="shared" si="1"/>
        <v>27 September 2036</v>
      </c>
      <c r="M26" s="135" t="s">
        <v>5067</v>
      </c>
      <c r="N26" s="162" t="s">
        <v>5089</v>
      </c>
      <c r="O26" s="174" t="s">
        <v>300</v>
      </c>
    </row>
    <row r="27" spans="1:15" s="164" customFormat="1" ht="29.15" customHeight="1">
      <c r="A27" s="160">
        <v>23</v>
      </c>
      <c r="B27" s="205" t="s">
        <v>102</v>
      </c>
      <c r="C27" s="193" t="s">
        <v>77</v>
      </c>
      <c r="D27" s="236" t="s">
        <v>663</v>
      </c>
      <c r="E27" s="173" t="s">
        <v>49</v>
      </c>
      <c r="F27" s="187">
        <v>45474</v>
      </c>
      <c r="G27" s="160" t="s">
        <v>602</v>
      </c>
      <c r="H27" s="225" t="s">
        <v>216</v>
      </c>
      <c r="I27" s="238">
        <v>27806</v>
      </c>
      <c r="J27" s="235">
        <f t="shared" ca="1" si="0"/>
        <v>48</v>
      </c>
      <c r="K27" s="235">
        <v>60</v>
      </c>
      <c r="L27" s="240" t="str">
        <f t="shared" si="1"/>
        <v>16 Februari 2036</v>
      </c>
      <c r="M27" s="145" t="s">
        <v>5068</v>
      </c>
      <c r="N27" s="162" t="s">
        <v>5086</v>
      </c>
      <c r="O27" s="163" t="s">
        <v>295</v>
      </c>
    </row>
    <row r="28" spans="1:15" s="164" customFormat="1" ht="29.15" customHeight="1">
      <c r="A28" s="160">
        <v>24</v>
      </c>
      <c r="B28" s="194" t="s">
        <v>105</v>
      </c>
      <c r="C28" s="195" t="s">
        <v>142</v>
      </c>
      <c r="D28" s="237" t="s">
        <v>663</v>
      </c>
      <c r="E28" s="173" t="s">
        <v>49</v>
      </c>
      <c r="F28" s="186" t="s">
        <v>172</v>
      </c>
      <c r="G28" s="160" t="s">
        <v>316</v>
      </c>
      <c r="H28" s="220" t="s">
        <v>182</v>
      </c>
      <c r="I28" s="238">
        <v>30482</v>
      </c>
      <c r="J28" s="235">
        <f t="shared" ca="1" si="0"/>
        <v>41</v>
      </c>
      <c r="K28" s="235">
        <v>60</v>
      </c>
      <c r="L28" s="240" t="str">
        <f t="shared" si="1"/>
        <v>15 Juni 2043</v>
      </c>
      <c r="M28" s="140" t="s">
        <v>5069</v>
      </c>
      <c r="N28" s="162" t="s">
        <v>5088</v>
      </c>
      <c r="O28" s="174" t="s">
        <v>292</v>
      </c>
    </row>
    <row r="29" spans="1:15" s="164" customFormat="1" ht="29.15" customHeight="1">
      <c r="A29" s="160">
        <v>25</v>
      </c>
      <c r="B29" s="192" t="s">
        <v>87</v>
      </c>
      <c r="C29" s="191" t="s">
        <v>139</v>
      </c>
      <c r="D29" s="241" t="s">
        <v>663</v>
      </c>
      <c r="E29" s="173" t="s">
        <v>49</v>
      </c>
      <c r="F29" s="186">
        <v>45124</v>
      </c>
      <c r="G29" s="160" t="s">
        <v>368</v>
      </c>
      <c r="H29" s="216" t="s">
        <v>166</v>
      </c>
      <c r="I29" s="238">
        <v>30181</v>
      </c>
      <c r="J29" s="235">
        <f t="shared" ca="1" si="0"/>
        <v>42</v>
      </c>
      <c r="K29" s="235">
        <v>60</v>
      </c>
      <c r="L29" s="240" t="str">
        <f t="shared" si="1"/>
        <v>18 Agustus 2042</v>
      </c>
      <c r="M29" s="136" t="s">
        <v>5070</v>
      </c>
      <c r="N29" s="162" t="s">
        <v>5087</v>
      </c>
      <c r="O29" s="163" t="s">
        <v>291</v>
      </c>
    </row>
    <row r="30" spans="1:15" s="164" customFormat="1" ht="29.15" customHeight="1">
      <c r="A30" s="160">
        <v>26</v>
      </c>
      <c r="B30" s="190" t="s">
        <v>43</v>
      </c>
      <c r="C30" s="191" t="s">
        <v>160</v>
      </c>
      <c r="D30" s="241" t="s">
        <v>664</v>
      </c>
      <c r="E30" s="161" t="s">
        <v>50</v>
      </c>
      <c r="F30" s="187">
        <v>44868</v>
      </c>
      <c r="G30" s="160" t="s">
        <v>316</v>
      </c>
      <c r="H30" s="226" t="s">
        <v>605</v>
      </c>
      <c r="I30" s="238">
        <v>30328</v>
      </c>
      <c r="J30" s="235">
        <f t="shared" ca="1" si="0"/>
        <v>42</v>
      </c>
      <c r="K30" s="235">
        <v>60</v>
      </c>
      <c r="L30" s="240" t="str">
        <f t="shared" si="1"/>
        <v>12 Januari 2043</v>
      </c>
      <c r="M30" s="146" t="s">
        <v>620</v>
      </c>
      <c r="N30" s="162" t="s">
        <v>5094</v>
      </c>
      <c r="O30" s="163" t="s">
        <v>301</v>
      </c>
    </row>
    <row r="31" spans="1:15" s="164" customFormat="1" ht="29.15" customHeight="1">
      <c r="A31" s="160">
        <v>27</v>
      </c>
      <c r="B31" s="196" t="s">
        <v>40</v>
      </c>
      <c r="C31" s="197" t="s">
        <v>32</v>
      </c>
      <c r="D31" s="242" t="s">
        <v>663</v>
      </c>
      <c r="E31" s="161" t="s">
        <v>141</v>
      </c>
      <c r="F31" s="187">
        <v>45078</v>
      </c>
      <c r="G31" s="160" t="s">
        <v>316</v>
      </c>
      <c r="H31" s="223" t="s">
        <v>198</v>
      </c>
      <c r="I31" s="238">
        <v>27946</v>
      </c>
      <c r="J31" s="235">
        <f t="shared" ca="1" si="0"/>
        <v>48</v>
      </c>
      <c r="K31" s="235">
        <v>60</v>
      </c>
      <c r="L31" s="240" t="str">
        <f t="shared" si="1"/>
        <v>05 Juli 2036</v>
      </c>
      <c r="M31" s="143" t="s">
        <v>621</v>
      </c>
      <c r="N31" s="162" t="s">
        <v>5095</v>
      </c>
      <c r="O31" s="168" t="s">
        <v>266</v>
      </c>
    </row>
    <row r="32" spans="1:15" s="164" customFormat="1" ht="29.15" customHeight="1">
      <c r="A32" s="160">
        <v>28</v>
      </c>
      <c r="B32" s="190" t="s">
        <v>71</v>
      </c>
      <c r="C32" s="206" t="s">
        <v>34</v>
      </c>
      <c r="D32" s="243" t="s">
        <v>663</v>
      </c>
      <c r="E32" s="161" t="s">
        <v>49</v>
      </c>
      <c r="F32" s="187">
        <v>45474</v>
      </c>
      <c r="G32" s="160" t="s">
        <v>316</v>
      </c>
      <c r="H32" s="223" t="s">
        <v>217</v>
      </c>
      <c r="I32" s="238">
        <v>28665</v>
      </c>
      <c r="J32" s="235">
        <f t="shared" ca="1" si="0"/>
        <v>46</v>
      </c>
      <c r="K32" s="235">
        <v>60</v>
      </c>
      <c r="L32" s="240" t="str">
        <f t="shared" si="1"/>
        <v>24 Juni 2038</v>
      </c>
      <c r="M32" s="143" t="s">
        <v>622</v>
      </c>
      <c r="N32" s="162" t="s">
        <v>5096</v>
      </c>
      <c r="O32" s="163" t="s">
        <v>280</v>
      </c>
    </row>
    <row r="33" spans="1:15" s="164" customFormat="1" ht="29.15" customHeight="1">
      <c r="A33" s="160">
        <v>29</v>
      </c>
      <c r="B33" s="202" t="s">
        <v>56</v>
      </c>
      <c r="C33" s="191" t="s">
        <v>149</v>
      </c>
      <c r="D33" s="241" t="s">
        <v>664</v>
      </c>
      <c r="E33" s="172" t="s">
        <v>48</v>
      </c>
      <c r="F33" s="187">
        <v>45071</v>
      </c>
      <c r="G33" s="160" t="s">
        <v>602</v>
      </c>
      <c r="H33" s="227" t="s">
        <v>205</v>
      </c>
      <c r="I33" s="238">
        <v>27872</v>
      </c>
      <c r="J33" s="235">
        <f t="shared" ca="1" si="0"/>
        <v>48</v>
      </c>
      <c r="K33" s="235">
        <v>60</v>
      </c>
      <c r="L33" s="240" t="str">
        <f t="shared" si="1"/>
        <v>22 April 2036</v>
      </c>
      <c r="M33" s="147" t="s">
        <v>623</v>
      </c>
      <c r="N33" s="162" t="s">
        <v>5097</v>
      </c>
      <c r="O33" s="163" t="s">
        <v>246</v>
      </c>
    </row>
    <row r="34" spans="1:15" s="164" customFormat="1" ht="29.15" customHeight="1">
      <c r="A34" s="160">
        <v>30</v>
      </c>
      <c r="B34" s="190" t="s">
        <v>70</v>
      </c>
      <c r="C34" s="266" t="s">
        <v>225</v>
      </c>
      <c r="D34" s="267" t="s">
        <v>663</v>
      </c>
      <c r="E34" s="161" t="s">
        <v>49</v>
      </c>
      <c r="F34" s="186">
        <v>45078</v>
      </c>
      <c r="G34" s="160" t="s">
        <v>316</v>
      </c>
      <c r="H34" s="223" t="s">
        <v>203</v>
      </c>
      <c r="I34" s="238">
        <v>30783</v>
      </c>
      <c r="J34" s="235">
        <f t="shared" ca="1" si="0"/>
        <v>40</v>
      </c>
      <c r="K34" s="235">
        <v>60</v>
      </c>
      <c r="L34" s="240" t="str">
        <f t="shared" si="1"/>
        <v>11 April 2044</v>
      </c>
      <c r="M34" s="143" t="s">
        <v>624</v>
      </c>
      <c r="N34" s="162" t="s">
        <v>5098</v>
      </c>
      <c r="O34" s="163" t="s">
        <v>283</v>
      </c>
    </row>
    <row r="35" spans="1:15" s="164" customFormat="1" ht="29.15" customHeight="1">
      <c r="A35" s="160">
        <v>31</v>
      </c>
      <c r="B35" s="196" t="s">
        <v>38</v>
      </c>
      <c r="C35" s="197" t="s">
        <v>121</v>
      </c>
      <c r="D35" s="242" t="s">
        <v>664</v>
      </c>
      <c r="E35" s="167" t="s">
        <v>135</v>
      </c>
      <c r="F35" s="187">
        <v>45474</v>
      </c>
      <c r="G35" s="160" t="s">
        <v>316</v>
      </c>
      <c r="H35" s="215" t="s">
        <v>192</v>
      </c>
      <c r="I35" s="238">
        <v>25321</v>
      </c>
      <c r="J35" s="235">
        <f t="shared" ca="1" si="0"/>
        <v>55</v>
      </c>
      <c r="K35" s="235">
        <v>60</v>
      </c>
      <c r="L35" s="240" t="str">
        <f t="shared" si="1"/>
        <v>28 April 2029</v>
      </c>
      <c r="M35" s="135" t="s">
        <v>625</v>
      </c>
      <c r="N35" s="162" t="s">
        <v>5092</v>
      </c>
      <c r="O35" s="168" t="s">
        <v>243</v>
      </c>
    </row>
    <row r="36" spans="1:15" s="164" customFormat="1" ht="29.15" customHeight="1">
      <c r="A36" s="160">
        <v>32</v>
      </c>
      <c r="B36" s="207" t="s">
        <v>108</v>
      </c>
      <c r="C36" s="195" t="s">
        <v>84</v>
      </c>
      <c r="D36" s="237" t="s">
        <v>663</v>
      </c>
      <c r="E36" s="161" t="s">
        <v>50</v>
      </c>
      <c r="F36" s="187">
        <v>45078</v>
      </c>
      <c r="G36" s="160" t="s">
        <v>316</v>
      </c>
      <c r="H36" s="223" t="s">
        <v>179</v>
      </c>
      <c r="I36" s="238">
        <v>30147</v>
      </c>
      <c r="J36" s="235">
        <f t="shared" ca="1" si="0"/>
        <v>42</v>
      </c>
      <c r="K36" s="235">
        <v>60</v>
      </c>
      <c r="L36" s="240" t="str">
        <f t="shared" si="1"/>
        <v>15 Juli 2042</v>
      </c>
      <c r="M36" s="143" t="s">
        <v>626</v>
      </c>
      <c r="N36" s="162" t="s">
        <v>5099</v>
      </c>
      <c r="O36" s="165" t="s">
        <v>306</v>
      </c>
    </row>
    <row r="37" spans="1:15" s="164" customFormat="1" ht="29.15" customHeight="1">
      <c r="A37" s="160">
        <v>33</v>
      </c>
      <c r="B37" s="196" t="s">
        <v>39</v>
      </c>
      <c r="C37" s="197" t="s">
        <v>146</v>
      </c>
      <c r="D37" s="242" t="s">
        <v>663</v>
      </c>
      <c r="E37" s="167" t="s">
        <v>49</v>
      </c>
      <c r="F37" s="187">
        <v>45474</v>
      </c>
      <c r="G37" s="160" t="s">
        <v>316</v>
      </c>
      <c r="H37" s="215" t="s">
        <v>192</v>
      </c>
      <c r="I37" s="238">
        <v>26480</v>
      </c>
      <c r="J37" s="235">
        <f t="shared" ref="J37:J67" ca="1" si="2">DATEDIF(I37,TODAY(),"Y")</f>
        <v>52</v>
      </c>
      <c r="K37" s="235">
        <v>60</v>
      </c>
      <c r="L37" s="240" t="str">
        <f t="shared" ref="L37:L67" si="3">TEXT(EDATE(I37,12*K37),"DD MMMM YYYY")</f>
        <v>30 Juni 2032</v>
      </c>
      <c r="M37" s="148" t="s">
        <v>627</v>
      </c>
      <c r="N37" s="162" t="s">
        <v>5092</v>
      </c>
      <c r="O37" s="168" t="s">
        <v>262</v>
      </c>
    </row>
    <row r="38" spans="1:15" s="164" customFormat="1" ht="29.15" customHeight="1">
      <c r="A38" s="160">
        <v>34</v>
      </c>
      <c r="B38" s="194" t="s">
        <v>63</v>
      </c>
      <c r="C38" s="191" t="s">
        <v>158</v>
      </c>
      <c r="D38" s="241" t="s">
        <v>663</v>
      </c>
      <c r="E38" s="161" t="s">
        <v>48</v>
      </c>
      <c r="F38" s="189">
        <v>45474</v>
      </c>
      <c r="G38" s="160" t="s">
        <v>316</v>
      </c>
      <c r="H38" s="215" t="s">
        <v>188</v>
      </c>
      <c r="I38" s="238">
        <v>24965</v>
      </c>
      <c r="J38" s="235">
        <f t="shared" ca="1" si="2"/>
        <v>56</v>
      </c>
      <c r="K38" s="235">
        <v>60</v>
      </c>
      <c r="L38" s="240" t="str">
        <f t="shared" si="3"/>
        <v>07 Mei 2028</v>
      </c>
      <c r="M38" s="135" t="s">
        <v>628</v>
      </c>
      <c r="N38" s="162" t="s">
        <v>5100</v>
      </c>
      <c r="O38" s="163" t="s">
        <v>239</v>
      </c>
    </row>
    <row r="39" spans="1:15" s="164" customFormat="1" ht="29.15" customHeight="1">
      <c r="A39" s="160">
        <v>35</v>
      </c>
      <c r="B39" s="194" t="s">
        <v>115</v>
      </c>
      <c r="C39" s="195" t="s">
        <v>91</v>
      </c>
      <c r="D39" s="237" t="s">
        <v>663</v>
      </c>
      <c r="E39" s="176" t="s">
        <v>48</v>
      </c>
      <c r="F39" s="186">
        <v>44652</v>
      </c>
      <c r="G39" s="160" t="s">
        <v>316</v>
      </c>
      <c r="H39" s="217" t="s">
        <v>185</v>
      </c>
      <c r="I39" s="238">
        <v>26131</v>
      </c>
      <c r="J39" s="235">
        <f t="shared" ca="1" si="2"/>
        <v>53</v>
      </c>
      <c r="K39" s="235">
        <v>60</v>
      </c>
      <c r="L39" s="240" t="str">
        <f t="shared" si="3"/>
        <v>17 Juli 2031</v>
      </c>
      <c r="M39" s="137" t="s">
        <v>629</v>
      </c>
      <c r="N39" s="162" t="s">
        <v>5101</v>
      </c>
      <c r="O39" s="165" t="s">
        <v>256</v>
      </c>
    </row>
    <row r="40" spans="1:15" s="164" customFormat="1" ht="29.15" customHeight="1">
      <c r="A40" s="160">
        <v>36</v>
      </c>
      <c r="B40" s="194" t="s">
        <v>130</v>
      </c>
      <c r="C40" s="195" t="s">
        <v>226</v>
      </c>
      <c r="D40" s="237" t="s">
        <v>663</v>
      </c>
      <c r="E40" s="161" t="s">
        <v>49</v>
      </c>
      <c r="F40" s="187">
        <v>45474</v>
      </c>
      <c r="G40" s="160" t="s">
        <v>316</v>
      </c>
      <c r="H40" s="215" t="s">
        <v>189</v>
      </c>
      <c r="I40" s="238">
        <v>25301</v>
      </c>
      <c r="J40" s="262">
        <f t="shared" ca="1" si="2"/>
        <v>55</v>
      </c>
      <c r="K40" s="262">
        <v>58</v>
      </c>
      <c r="L40" s="273" t="str">
        <f t="shared" si="3"/>
        <v>08 April 2027</v>
      </c>
      <c r="M40" s="135" t="s">
        <v>630</v>
      </c>
      <c r="N40" s="162" t="s">
        <v>5100</v>
      </c>
      <c r="O40" s="174" t="s">
        <v>282</v>
      </c>
    </row>
    <row r="41" spans="1:15" s="164" customFormat="1" ht="29.15" customHeight="1">
      <c r="A41" s="160">
        <v>37</v>
      </c>
      <c r="B41" s="208" t="s">
        <v>157</v>
      </c>
      <c r="C41" s="195" t="s">
        <v>4</v>
      </c>
      <c r="D41" s="237" t="s">
        <v>664</v>
      </c>
      <c r="E41" s="177" t="s">
        <v>211</v>
      </c>
      <c r="F41" s="186">
        <v>44193</v>
      </c>
      <c r="G41" s="160" t="s">
        <v>316</v>
      </c>
      <c r="H41" s="217" t="s">
        <v>176</v>
      </c>
      <c r="I41" s="238">
        <v>26699</v>
      </c>
      <c r="J41" s="235">
        <f t="shared" ca="1" si="2"/>
        <v>51</v>
      </c>
      <c r="K41" s="235">
        <v>60</v>
      </c>
      <c r="L41" s="240" t="str">
        <f t="shared" si="3"/>
        <v>04 Februari 2033</v>
      </c>
      <c r="M41" s="137" t="s">
        <v>5071</v>
      </c>
      <c r="N41" s="162" t="s">
        <v>5090</v>
      </c>
      <c r="O41" s="165" t="s">
        <v>230</v>
      </c>
    </row>
    <row r="42" spans="1:15" s="164" customFormat="1" ht="29.15" customHeight="1">
      <c r="A42" s="160">
        <v>38</v>
      </c>
      <c r="B42" s="194" t="s">
        <v>28</v>
      </c>
      <c r="C42" s="209" t="s">
        <v>12</v>
      </c>
      <c r="D42" s="167" t="s">
        <v>663</v>
      </c>
      <c r="E42" s="161" t="s">
        <v>48</v>
      </c>
      <c r="F42" s="186">
        <v>45474</v>
      </c>
      <c r="G42" s="160" t="s">
        <v>316</v>
      </c>
      <c r="H42" s="226" t="s">
        <v>179</v>
      </c>
      <c r="I42" s="238">
        <v>24722</v>
      </c>
      <c r="J42" s="262">
        <f t="shared" ca="1" si="2"/>
        <v>57</v>
      </c>
      <c r="K42" s="262">
        <v>60</v>
      </c>
      <c r="L42" s="273" t="str">
        <f t="shared" si="3"/>
        <v>07 September 2027</v>
      </c>
      <c r="M42" s="146" t="s">
        <v>631</v>
      </c>
      <c r="N42" s="162" t="s">
        <v>5102</v>
      </c>
      <c r="O42" s="180" t="s">
        <v>237</v>
      </c>
    </row>
    <row r="43" spans="1:15" s="164" customFormat="1" ht="29.15" customHeight="1">
      <c r="A43" s="160">
        <v>39</v>
      </c>
      <c r="B43" s="198" t="s">
        <v>127</v>
      </c>
      <c r="C43" s="199" t="s">
        <v>68</v>
      </c>
      <c r="D43" s="171" t="s">
        <v>664</v>
      </c>
      <c r="E43" s="166" t="s">
        <v>48</v>
      </c>
      <c r="F43" s="187">
        <v>45474</v>
      </c>
      <c r="G43" s="160" t="s">
        <v>316</v>
      </c>
      <c r="H43" s="220" t="s">
        <v>181</v>
      </c>
      <c r="I43" s="238">
        <v>24436</v>
      </c>
      <c r="J43" s="261">
        <f t="shared" ca="1" si="2"/>
        <v>58</v>
      </c>
      <c r="K43" s="261">
        <v>60</v>
      </c>
      <c r="L43" s="271" t="str">
        <f t="shared" si="3"/>
        <v>25 November 2026</v>
      </c>
      <c r="M43" s="140" t="s">
        <v>632</v>
      </c>
      <c r="N43" s="162" t="s">
        <v>5103</v>
      </c>
      <c r="O43" s="170" t="s">
        <v>252</v>
      </c>
    </row>
    <row r="44" spans="1:15" s="164" customFormat="1" ht="29.15" customHeight="1">
      <c r="A44" s="160">
        <v>40</v>
      </c>
      <c r="B44" s="194" t="s">
        <v>106</v>
      </c>
      <c r="C44" s="195" t="s">
        <v>80</v>
      </c>
      <c r="D44" s="237" t="s">
        <v>663</v>
      </c>
      <c r="E44" s="161" t="s">
        <v>49</v>
      </c>
      <c r="F44" s="187">
        <v>45474</v>
      </c>
      <c r="G44" s="160" t="s">
        <v>316</v>
      </c>
      <c r="H44" s="215" t="s">
        <v>191</v>
      </c>
      <c r="I44" s="238">
        <v>29423</v>
      </c>
      <c r="J44" s="235">
        <f t="shared" ca="1" si="2"/>
        <v>44</v>
      </c>
      <c r="K44" s="235">
        <v>60</v>
      </c>
      <c r="L44" s="240" t="str">
        <f t="shared" si="3"/>
        <v>21 Juli 2040</v>
      </c>
      <c r="M44" s="135" t="s">
        <v>633</v>
      </c>
      <c r="N44" s="162" t="s">
        <v>5100</v>
      </c>
      <c r="O44" s="174" t="s">
        <v>284</v>
      </c>
    </row>
    <row r="45" spans="1:15" s="164" customFormat="1" ht="29.15" customHeight="1">
      <c r="A45" s="160">
        <v>41</v>
      </c>
      <c r="B45" s="194" t="s">
        <v>22</v>
      </c>
      <c r="C45" s="195" t="s">
        <v>153</v>
      </c>
      <c r="D45" s="237" t="s">
        <v>663</v>
      </c>
      <c r="E45" s="161" t="s">
        <v>125</v>
      </c>
      <c r="F45" s="186">
        <v>40603</v>
      </c>
      <c r="G45" s="160" t="s">
        <v>347</v>
      </c>
      <c r="H45" s="228" t="s">
        <v>220</v>
      </c>
      <c r="I45" s="238">
        <v>24205</v>
      </c>
      <c r="J45" s="261">
        <f t="shared" ca="1" si="2"/>
        <v>58</v>
      </c>
      <c r="K45" s="261">
        <v>60</v>
      </c>
      <c r="L45" s="271" t="str">
        <f t="shared" si="3"/>
        <v>08 April 2026</v>
      </c>
      <c r="M45" s="149" t="s">
        <v>634</v>
      </c>
      <c r="N45" s="162" t="s">
        <v>5096</v>
      </c>
      <c r="O45" s="165" t="s">
        <v>232</v>
      </c>
    </row>
    <row r="46" spans="1:15" s="164" customFormat="1" ht="29.15" customHeight="1">
      <c r="A46" s="160">
        <v>42</v>
      </c>
      <c r="B46" s="194" t="s">
        <v>17</v>
      </c>
      <c r="C46" s="195" t="s">
        <v>29</v>
      </c>
      <c r="D46" s="237" t="s">
        <v>663</v>
      </c>
      <c r="E46" s="167" t="s">
        <v>135</v>
      </c>
      <c r="F46" s="186">
        <v>44868</v>
      </c>
      <c r="G46" s="160" t="s">
        <v>316</v>
      </c>
      <c r="H46" s="229" t="s">
        <v>197</v>
      </c>
      <c r="I46" s="238">
        <v>25217</v>
      </c>
      <c r="J46" s="235">
        <f t="shared" ca="1" si="2"/>
        <v>56</v>
      </c>
      <c r="K46" s="235">
        <v>60</v>
      </c>
      <c r="L46" s="240" t="str">
        <f t="shared" si="3"/>
        <v>14 Januari 2029</v>
      </c>
      <c r="M46" s="150" t="s">
        <v>5072</v>
      </c>
      <c r="N46" s="162" t="s">
        <v>5089</v>
      </c>
      <c r="O46" s="165" t="s">
        <v>242</v>
      </c>
    </row>
    <row r="47" spans="1:15" s="164" customFormat="1" ht="29.15" customHeight="1">
      <c r="A47" s="160">
        <v>43</v>
      </c>
      <c r="B47" s="192" t="s">
        <v>111</v>
      </c>
      <c r="C47" s="191" t="s">
        <v>148</v>
      </c>
      <c r="D47" s="241" t="s">
        <v>664</v>
      </c>
      <c r="E47" s="173" t="s">
        <v>48</v>
      </c>
      <c r="F47" s="187">
        <v>45071</v>
      </c>
      <c r="G47" s="160" t="s">
        <v>602</v>
      </c>
      <c r="H47" s="227" t="s">
        <v>207</v>
      </c>
      <c r="I47" s="238">
        <v>28566</v>
      </c>
      <c r="J47" s="235">
        <f t="shared" ca="1" si="2"/>
        <v>46</v>
      </c>
      <c r="K47" s="235">
        <v>60</v>
      </c>
      <c r="L47" s="240" t="str">
        <f t="shared" si="3"/>
        <v>17 Maret 2038</v>
      </c>
      <c r="M47" s="147" t="s">
        <v>5073</v>
      </c>
      <c r="N47" s="162" t="s">
        <v>5100</v>
      </c>
      <c r="O47" s="163" t="s">
        <v>245</v>
      </c>
    </row>
    <row r="48" spans="1:15" s="164" customFormat="1" ht="29.15" customHeight="1">
      <c r="A48" s="160">
        <v>44</v>
      </c>
      <c r="B48" s="196" t="s">
        <v>128</v>
      </c>
      <c r="C48" s="197" t="s">
        <v>30</v>
      </c>
      <c r="D48" s="242" t="s">
        <v>664</v>
      </c>
      <c r="E48" s="167" t="s">
        <v>51</v>
      </c>
      <c r="F48" s="187">
        <v>45080</v>
      </c>
      <c r="G48" s="160" t="s">
        <v>316</v>
      </c>
      <c r="H48" s="223" t="s">
        <v>204</v>
      </c>
      <c r="I48" s="238">
        <v>29143</v>
      </c>
      <c r="J48" s="235">
        <f t="shared" ca="1" si="2"/>
        <v>45</v>
      </c>
      <c r="K48" s="235">
        <v>60</v>
      </c>
      <c r="L48" s="240" t="str">
        <f t="shared" si="3"/>
        <v>15 Oktober 2039</v>
      </c>
      <c r="M48" s="143" t="s">
        <v>635</v>
      </c>
      <c r="N48" s="162" t="s">
        <v>5092</v>
      </c>
      <c r="O48" s="168" t="s">
        <v>259</v>
      </c>
    </row>
    <row r="49" spans="1:15" s="164" customFormat="1" ht="29.15" customHeight="1">
      <c r="A49" s="160">
        <v>45</v>
      </c>
      <c r="B49" s="196" t="s">
        <v>37</v>
      </c>
      <c r="C49" s="197" t="s">
        <v>31</v>
      </c>
      <c r="D49" s="242" t="s">
        <v>664</v>
      </c>
      <c r="E49" s="167" t="s">
        <v>49</v>
      </c>
      <c r="F49" s="187">
        <v>45474</v>
      </c>
      <c r="G49" s="160" t="s">
        <v>316</v>
      </c>
      <c r="H49" s="215" t="s">
        <v>188</v>
      </c>
      <c r="I49" s="238">
        <v>25270</v>
      </c>
      <c r="J49" s="235">
        <f t="shared" ca="1" si="2"/>
        <v>55</v>
      </c>
      <c r="K49" s="235">
        <v>60</v>
      </c>
      <c r="L49" s="240" t="str">
        <f t="shared" si="3"/>
        <v>08 Maret 2029</v>
      </c>
      <c r="M49" s="135" t="s">
        <v>5074</v>
      </c>
      <c r="N49" s="162" t="s">
        <v>5092</v>
      </c>
      <c r="O49" s="168" t="s">
        <v>268</v>
      </c>
    </row>
    <row r="50" spans="1:15" s="164" customFormat="1" ht="29.15" customHeight="1">
      <c r="A50" s="160">
        <v>46</v>
      </c>
      <c r="B50" s="190" t="s">
        <v>117</v>
      </c>
      <c r="C50" s="195" t="s">
        <v>92</v>
      </c>
      <c r="D50" s="237" t="s">
        <v>664</v>
      </c>
      <c r="E50" s="161" t="s">
        <v>50</v>
      </c>
      <c r="F50" s="187">
        <v>45474</v>
      </c>
      <c r="G50" s="160" t="s">
        <v>316</v>
      </c>
      <c r="H50" s="215" t="s">
        <v>191</v>
      </c>
      <c r="I50" s="238">
        <v>26681</v>
      </c>
      <c r="J50" s="235">
        <f t="shared" ca="1" si="2"/>
        <v>52</v>
      </c>
      <c r="K50" s="235">
        <v>60</v>
      </c>
      <c r="L50" s="240" t="str">
        <f t="shared" si="3"/>
        <v>17 Januari 2033</v>
      </c>
      <c r="M50" s="135" t="s">
        <v>638</v>
      </c>
      <c r="N50" s="162" t="s">
        <v>5100</v>
      </c>
      <c r="O50" s="165" t="s">
        <v>303</v>
      </c>
    </row>
    <row r="51" spans="1:15" s="164" customFormat="1" ht="29.15" customHeight="1">
      <c r="A51" s="160">
        <v>47</v>
      </c>
      <c r="B51" s="202" t="s">
        <v>55</v>
      </c>
      <c r="C51" s="191" t="s">
        <v>54</v>
      </c>
      <c r="D51" s="241" t="s">
        <v>664</v>
      </c>
      <c r="E51" s="172" t="s">
        <v>125</v>
      </c>
      <c r="F51" s="187">
        <v>44986</v>
      </c>
      <c r="G51" s="160" t="s">
        <v>601</v>
      </c>
      <c r="H51" s="227" t="s">
        <v>222</v>
      </c>
      <c r="I51" s="238">
        <v>25380</v>
      </c>
      <c r="J51" s="235">
        <f t="shared" ca="1" si="2"/>
        <v>55</v>
      </c>
      <c r="K51" s="235">
        <v>60</v>
      </c>
      <c r="L51" s="240" t="str">
        <f t="shared" si="3"/>
        <v>26 Juni 2029</v>
      </c>
      <c r="M51" s="147" t="s">
        <v>636</v>
      </c>
      <c r="N51" s="162" t="s">
        <v>5090</v>
      </c>
      <c r="O51" s="163" t="s">
        <v>235</v>
      </c>
    </row>
    <row r="52" spans="1:15" s="164" customFormat="1" ht="29.15" customHeight="1">
      <c r="A52" s="160">
        <v>48</v>
      </c>
      <c r="B52" s="192" t="s">
        <v>47</v>
      </c>
      <c r="C52" s="191" t="s">
        <v>151</v>
      </c>
      <c r="D52" s="241" t="s">
        <v>663</v>
      </c>
      <c r="E52" s="175" t="s">
        <v>125</v>
      </c>
      <c r="F52" s="187">
        <v>45078</v>
      </c>
      <c r="G52" s="160" t="s">
        <v>602</v>
      </c>
      <c r="H52" s="216" t="s">
        <v>206</v>
      </c>
      <c r="I52" s="238">
        <v>26059</v>
      </c>
      <c r="J52" s="235">
        <f t="shared" ca="1" si="2"/>
        <v>53</v>
      </c>
      <c r="K52" s="235">
        <v>60</v>
      </c>
      <c r="L52" s="240" t="str">
        <f t="shared" si="3"/>
        <v>06 Mei 2031</v>
      </c>
      <c r="M52" s="136" t="s">
        <v>637</v>
      </c>
      <c r="N52" s="162" t="s">
        <v>5098</v>
      </c>
      <c r="O52" s="163" t="s">
        <v>241</v>
      </c>
    </row>
    <row r="53" spans="1:15" s="164" customFormat="1" ht="29.15" customHeight="1">
      <c r="A53" s="160">
        <v>49</v>
      </c>
      <c r="B53" s="194" t="s">
        <v>113</v>
      </c>
      <c r="C53" s="210" t="s">
        <v>90</v>
      </c>
      <c r="D53" s="244" t="s">
        <v>664</v>
      </c>
      <c r="E53" s="161" t="s">
        <v>49</v>
      </c>
      <c r="F53" s="187">
        <v>45474</v>
      </c>
      <c r="G53" s="160" t="s">
        <v>316</v>
      </c>
      <c r="H53" s="215" t="s">
        <v>186</v>
      </c>
      <c r="I53" s="238">
        <v>26554</v>
      </c>
      <c r="J53" s="235">
        <f t="shared" ca="1" si="2"/>
        <v>52</v>
      </c>
      <c r="K53" s="235">
        <v>60</v>
      </c>
      <c r="L53" s="240" t="str">
        <f t="shared" si="3"/>
        <v>12 September 2032</v>
      </c>
      <c r="M53" s="135" t="s">
        <v>639</v>
      </c>
      <c r="N53" s="162" t="s">
        <v>5100</v>
      </c>
      <c r="O53" s="163" t="s">
        <v>297</v>
      </c>
    </row>
    <row r="54" spans="1:15" s="164" customFormat="1" ht="29.15" customHeight="1">
      <c r="A54" s="160">
        <v>50</v>
      </c>
      <c r="B54" s="203" t="s">
        <v>103</v>
      </c>
      <c r="C54" s="193" t="s">
        <v>78</v>
      </c>
      <c r="D54" s="236" t="s">
        <v>664</v>
      </c>
      <c r="E54" s="161" t="s">
        <v>50</v>
      </c>
      <c r="F54" s="187">
        <v>45078</v>
      </c>
      <c r="G54" s="160" t="s">
        <v>316</v>
      </c>
      <c r="H54" s="223" t="s">
        <v>187</v>
      </c>
      <c r="I54" s="238">
        <v>29338</v>
      </c>
      <c r="J54" s="235">
        <f t="shared" ca="1" si="2"/>
        <v>44</v>
      </c>
      <c r="K54" s="235">
        <v>60</v>
      </c>
      <c r="L54" s="240" t="str">
        <f t="shared" si="3"/>
        <v>27 April 2040</v>
      </c>
      <c r="M54" s="143" t="s">
        <v>5075</v>
      </c>
      <c r="N54" s="162" t="s">
        <v>5104</v>
      </c>
      <c r="O54" s="163" t="s">
        <v>305</v>
      </c>
    </row>
    <row r="55" spans="1:15" s="164" customFormat="1" ht="29.15" customHeight="1">
      <c r="A55" s="160">
        <v>51</v>
      </c>
      <c r="B55" s="201" t="s">
        <v>76</v>
      </c>
      <c r="C55" s="268" t="s">
        <v>123</v>
      </c>
      <c r="D55" s="269" t="s">
        <v>663</v>
      </c>
      <c r="E55" s="161" t="s">
        <v>49</v>
      </c>
      <c r="F55" s="186">
        <v>44868</v>
      </c>
      <c r="G55" s="160" t="s">
        <v>316</v>
      </c>
      <c r="H55" s="221" t="s">
        <v>180</v>
      </c>
      <c r="I55" s="238">
        <v>27927</v>
      </c>
      <c r="J55" s="235">
        <f t="shared" ca="1" si="2"/>
        <v>48</v>
      </c>
      <c r="K55" s="235">
        <v>60</v>
      </c>
      <c r="L55" s="240" t="str">
        <f t="shared" si="3"/>
        <v>16 Juni 2036</v>
      </c>
      <c r="M55" s="141" t="s">
        <v>640</v>
      </c>
      <c r="N55" s="162" t="s">
        <v>5093</v>
      </c>
      <c r="O55" s="163" t="s">
        <v>272</v>
      </c>
    </row>
    <row r="56" spans="1:15" s="164" customFormat="1" ht="29.15" customHeight="1">
      <c r="A56" s="160">
        <v>52</v>
      </c>
      <c r="B56" s="201" t="s">
        <v>65</v>
      </c>
      <c r="C56" s="211" t="s">
        <v>199</v>
      </c>
      <c r="D56" s="245" t="s">
        <v>663</v>
      </c>
      <c r="E56" s="179" t="s">
        <v>50</v>
      </c>
      <c r="F56" s="188">
        <v>44868</v>
      </c>
      <c r="G56" s="160" t="s">
        <v>316</v>
      </c>
      <c r="H56" s="218" t="s">
        <v>182</v>
      </c>
      <c r="I56" s="238">
        <v>30510</v>
      </c>
      <c r="J56" s="235">
        <f t="shared" ca="1" si="2"/>
        <v>41</v>
      </c>
      <c r="K56" s="235">
        <v>60</v>
      </c>
      <c r="L56" s="240" t="str">
        <f t="shared" si="3"/>
        <v>13 Juli 2043</v>
      </c>
      <c r="M56" s="138" t="s">
        <v>641</v>
      </c>
      <c r="N56" s="162" t="s">
        <v>5084</v>
      </c>
      <c r="O56" s="178" t="s">
        <v>302</v>
      </c>
    </row>
    <row r="57" spans="1:15" s="164" customFormat="1" ht="29.15" customHeight="1">
      <c r="A57" s="160">
        <v>53</v>
      </c>
      <c r="B57" s="202" t="s">
        <v>60</v>
      </c>
      <c r="C57" s="212" t="s">
        <v>59</v>
      </c>
      <c r="D57" s="246" t="s">
        <v>663</v>
      </c>
      <c r="E57" s="161" t="s">
        <v>49</v>
      </c>
      <c r="F57" s="186">
        <v>44470</v>
      </c>
      <c r="G57" s="160" t="s">
        <v>602</v>
      </c>
      <c r="H57" s="230" t="s">
        <v>209</v>
      </c>
      <c r="I57" s="238">
        <v>28706</v>
      </c>
      <c r="J57" s="235">
        <f t="shared" ca="1" si="2"/>
        <v>46</v>
      </c>
      <c r="K57" s="235">
        <v>60</v>
      </c>
      <c r="L57" s="240" t="str">
        <f t="shared" si="3"/>
        <v>04 Agustus 2038</v>
      </c>
      <c r="M57" s="151" t="s">
        <v>642</v>
      </c>
      <c r="N57" s="162" t="s">
        <v>5097</v>
      </c>
      <c r="O57" s="163" t="s">
        <v>287</v>
      </c>
    </row>
    <row r="58" spans="1:15" s="164" customFormat="1" ht="29.15" customHeight="1">
      <c r="A58" s="160">
        <v>54</v>
      </c>
      <c r="B58" s="192" t="s">
        <v>124</v>
      </c>
      <c r="C58" s="191" t="s">
        <v>138</v>
      </c>
      <c r="D58" s="241" t="s">
        <v>664</v>
      </c>
      <c r="E58" s="175" t="s">
        <v>125</v>
      </c>
      <c r="F58" s="187">
        <v>45200</v>
      </c>
      <c r="G58" s="160" t="s">
        <v>601</v>
      </c>
      <c r="H58" s="231" t="s">
        <v>223</v>
      </c>
      <c r="I58" s="238">
        <v>26296</v>
      </c>
      <c r="J58" s="235">
        <f t="shared" ca="1" si="2"/>
        <v>53</v>
      </c>
      <c r="K58" s="235">
        <v>60</v>
      </c>
      <c r="L58" s="240" t="str">
        <f t="shared" si="3"/>
        <v>29 Desember 2031</v>
      </c>
      <c r="M58" s="152" t="s">
        <v>643</v>
      </c>
      <c r="N58" s="162" t="s">
        <v>5105</v>
      </c>
      <c r="O58" s="163" t="s">
        <v>238</v>
      </c>
    </row>
    <row r="59" spans="1:15" s="164" customFormat="1" ht="29.15" customHeight="1">
      <c r="A59" s="160">
        <v>55</v>
      </c>
      <c r="B59" s="194" t="s">
        <v>64</v>
      </c>
      <c r="C59" s="211" t="s">
        <v>159</v>
      </c>
      <c r="D59" s="245" t="s">
        <v>663</v>
      </c>
      <c r="E59" s="179" t="s">
        <v>49</v>
      </c>
      <c r="F59" s="187">
        <v>45566</v>
      </c>
      <c r="G59" s="160" t="s">
        <v>316</v>
      </c>
      <c r="H59" s="215" t="s">
        <v>188</v>
      </c>
      <c r="I59" s="238">
        <v>27394</v>
      </c>
      <c r="J59" s="235">
        <f t="shared" ca="1" si="2"/>
        <v>50</v>
      </c>
      <c r="K59" s="235">
        <v>60</v>
      </c>
      <c r="L59" s="240" t="str">
        <f t="shared" si="3"/>
        <v>31 Desember 2034</v>
      </c>
      <c r="M59" s="135" t="s">
        <v>659</v>
      </c>
      <c r="N59" s="162" t="s">
        <v>5088</v>
      </c>
      <c r="O59" s="178" t="s">
        <v>269</v>
      </c>
    </row>
    <row r="60" spans="1:15" s="164" customFormat="1" ht="29.15" customHeight="1">
      <c r="A60" s="160">
        <v>56</v>
      </c>
      <c r="B60" s="213" t="s">
        <v>109</v>
      </c>
      <c r="C60" s="195" t="s">
        <v>85</v>
      </c>
      <c r="D60" s="237" t="s">
        <v>663</v>
      </c>
      <c r="E60" s="175" t="s">
        <v>150</v>
      </c>
      <c r="F60" s="187">
        <v>44193</v>
      </c>
      <c r="G60" s="160" t="s">
        <v>601</v>
      </c>
      <c r="H60" s="227" t="s">
        <v>165</v>
      </c>
      <c r="I60" s="238">
        <v>24995</v>
      </c>
      <c r="J60" s="235">
        <f t="shared" ca="1" si="2"/>
        <v>56</v>
      </c>
      <c r="K60" s="235">
        <v>60</v>
      </c>
      <c r="L60" s="240" t="str">
        <f t="shared" si="3"/>
        <v>06 Juni 2028</v>
      </c>
      <c r="M60" s="153" t="s">
        <v>5076</v>
      </c>
      <c r="N60" s="162" t="s">
        <v>5090</v>
      </c>
      <c r="O60" s="165" t="s">
        <v>249</v>
      </c>
    </row>
    <row r="61" spans="1:15" s="164" customFormat="1" ht="29.15" customHeight="1">
      <c r="A61" s="160">
        <v>57</v>
      </c>
      <c r="B61" s="194" t="s">
        <v>96</v>
      </c>
      <c r="C61" s="209" t="s">
        <v>215</v>
      </c>
      <c r="D61" s="167" t="s">
        <v>663</v>
      </c>
      <c r="E61" s="161" t="s">
        <v>49</v>
      </c>
      <c r="F61" s="186">
        <v>45474</v>
      </c>
      <c r="G61" s="160" t="s">
        <v>316</v>
      </c>
      <c r="H61" s="215" t="s">
        <v>219</v>
      </c>
      <c r="I61" s="238">
        <v>26612</v>
      </c>
      <c r="J61" s="235">
        <f t="shared" ca="1" si="2"/>
        <v>52</v>
      </c>
      <c r="K61" s="235">
        <v>60</v>
      </c>
      <c r="L61" s="240" t="str">
        <f t="shared" si="3"/>
        <v>09 November 2032</v>
      </c>
      <c r="M61" s="135" t="s">
        <v>644</v>
      </c>
      <c r="N61" s="162" t="s">
        <v>5091</v>
      </c>
      <c r="O61" s="165" t="s">
        <v>271</v>
      </c>
    </row>
    <row r="62" spans="1:15" s="164" customFormat="1" ht="29.15" customHeight="1">
      <c r="A62" s="160">
        <v>58</v>
      </c>
      <c r="B62" s="214" t="s">
        <v>81</v>
      </c>
      <c r="C62" s="195" t="s">
        <v>202</v>
      </c>
      <c r="D62" s="237" t="s">
        <v>663</v>
      </c>
      <c r="E62" s="161" t="s">
        <v>49</v>
      </c>
      <c r="F62" s="186">
        <v>45474</v>
      </c>
      <c r="G62" s="160" t="s">
        <v>316</v>
      </c>
      <c r="H62" s="230" t="s">
        <v>197</v>
      </c>
      <c r="I62" s="238">
        <v>25614</v>
      </c>
      <c r="J62" s="235">
        <f t="shared" ca="1" si="2"/>
        <v>54</v>
      </c>
      <c r="K62" s="235">
        <v>60</v>
      </c>
      <c r="L62" s="240" t="str">
        <f t="shared" si="3"/>
        <v>15 Februari 2030</v>
      </c>
      <c r="M62" s="154" t="s">
        <v>645</v>
      </c>
      <c r="N62" s="162" t="s">
        <v>4318</v>
      </c>
      <c r="O62" s="165" t="s">
        <v>288</v>
      </c>
    </row>
    <row r="63" spans="1:15" s="164" customFormat="1" ht="29.15" customHeight="1">
      <c r="A63" s="160">
        <v>59</v>
      </c>
      <c r="B63" s="194" t="s">
        <v>20</v>
      </c>
      <c r="C63" s="191" t="s">
        <v>8</v>
      </c>
      <c r="D63" s="241" t="s">
        <v>663</v>
      </c>
      <c r="E63" s="167" t="s">
        <v>135</v>
      </c>
      <c r="F63" s="186">
        <v>45474</v>
      </c>
      <c r="G63" s="160" t="s">
        <v>316</v>
      </c>
      <c r="H63" s="215" t="s">
        <v>177</v>
      </c>
      <c r="I63" s="238">
        <v>26364</v>
      </c>
      <c r="J63" s="235">
        <f t="shared" ca="1" si="2"/>
        <v>52</v>
      </c>
      <c r="K63" s="235">
        <v>60</v>
      </c>
      <c r="L63" s="240" t="str">
        <f t="shared" si="3"/>
        <v>06 Maret 2032</v>
      </c>
      <c r="M63" s="135" t="s">
        <v>646</v>
      </c>
      <c r="N63" s="162" t="s">
        <v>5090</v>
      </c>
      <c r="O63" s="163" t="s">
        <v>244</v>
      </c>
    </row>
    <row r="64" spans="1:15" s="164" customFormat="1" ht="29.15" customHeight="1">
      <c r="A64" s="160">
        <v>60</v>
      </c>
      <c r="B64" s="194" t="s">
        <v>23</v>
      </c>
      <c r="C64" s="195" t="s">
        <v>9</v>
      </c>
      <c r="D64" s="237" t="s">
        <v>664</v>
      </c>
      <c r="E64" s="161" t="s">
        <v>125</v>
      </c>
      <c r="F64" s="186">
        <v>45071</v>
      </c>
      <c r="G64" s="160" t="s">
        <v>347</v>
      </c>
      <c r="H64" s="228" t="s">
        <v>162</v>
      </c>
      <c r="I64" s="238">
        <v>24218</v>
      </c>
      <c r="J64" s="261">
        <f t="shared" ca="1" si="2"/>
        <v>58</v>
      </c>
      <c r="K64" s="261">
        <v>60</v>
      </c>
      <c r="L64" s="271" t="str">
        <f t="shared" si="3"/>
        <v>21 April 2026</v>
      </c>
      <c r="M64" s="149" t="s">
        <v>647</v>
      </c>
      <c r="N64" s="162" t="s">
        <v>5104</v>
      </c>
      <c r="O64" s="165" t="s">
        <v>233</v>
      </c>
    </row>
    <row r="65" spans="1:15" s="164" customFormat="1" ht="29.15" customHeight="1">
      <c r="A65" s="160">
        <v>61</v>
      </c>
      <c r="B65" s="208" t="s">
        <v>13</v>
      </c>
      <c r="C65" s="195" t="s">
        <v>3</v>
      </c>
      <c r="D65" s="237" t="s">
        <v>664</v>
      </c>
      <c r="E65" s="161" t="s">
        <v>125</v>
      </c>
      <c r="F65" s="186">
        <v>45474</v>
      </c>
      <c r="G65" s="160" t="s">
        <v>601</v>
      </c>
      <c r="H65" s="232" t="s">
        <v>221</v>
      </c>
      <c r="I65" s="238">
        <v>25308</v>
      </c>
      <c r="J65" s="235">
        <f t="shared" ca="1" si="2"/>
        <v>55</v>
      </c>
      <c r="K65" s="235">
        <v>60</v>
      </c>
      <c r="L65" s="240" t="str">
        <f t="shared" si="3"/>
        <v>15 April 2029</v>
      </c>
      <c r="M65" s="155" t="s">
        <v>648</v>
      </c>
      <c r="N65" s="274" t="s">
        <v>5086</v>
      </c>
      <c r="O65" s="165" t="s">
        <v>231</v>
      </c>
    </row>
    <row r="66" spans="1:15" s="164" customFormat="1" ht="29.15" customHeight="1">
      <c r="A66" s="160">
        <v>62</v>
      </c>
      <c r="B66" s="207" t="s">
        <v>107</v>
      </c>
      <c r="C66" s="195" t="s">
        <v>83</v>
      </c>
      <c r="D66" s="237" t="s">
        <v>664</v>
      </c>
      <c r="E66" s="161" t="s">
        <v>48</v>
      </c>
      <c r="F66" s="186">
        <v>44868</v>
      </c>
      <c r="G66" s="160" t="s">
        <v>316</v>
      </c>
      <c r="H66" s="230" t="s">
        <v>178</v>
      </c>
      <c r="I66" s="238">
        <v>27205</v>
      </c>
      <c r="J66" s="235">
        <f t="shared" ca="1" si="2"/>
        <v>50</v>
      </c>
      <c r="K66" s="235">
        <v>60</v>
      </c>
      <c r="L66" s="240" t="str">
        <f t="shared" si="3"/>
        <v>25 Juni 2034</v>
      </c>
      <c r="M66" s="154" t="s">
        <v>649</v>
      </c>
      <c r="N66" s="180" t="s">
        <v>5103</v>
      </c>
      <c r="O66" s="165" t="s">
        <v>251</v>
      </c>
    </row>
    <row r="67" spans="1:15" s="164" customFormat="1" ht="29.15" customHeight="1">
      <c r="A67" s="160">
        <v>63</v>
      </c>
      <c r="B67" s="196" t="s">
        <v>100</v>
      </c>
      <c r="C67" s="197" t="s">
        <v>169</v>
      </c>
      <c r="D67" s="242" t="s">
        <v>663</v>
      </c>
      <c r="E67" s="161" t="s">
        <v>49</v>
      </c>
      <c r="F67" s="186">
        <v>44675</v>
      </c>
      <c r="G67" s="160" t="s">
        <v>316</v>
      </c>
      <c r="H67" s="220" t="s">
        <v>181</v>
      </c>
      <c r="I67" s="238">
        <v>29660</v>
      </c>
      <c r="J67" s="235">
        <f t="shared" ca="1" si="2"/>
        <v>43</v>
      </c>
      <c r="K67" s="235">
        <v>60</v>
      </c>
      <c r="L67" s="240" t="str">
        <f t="shared" si="3"/>
        <v>15 Maret 2041</v>
      </c>
      <c r="M67" s="140" t="s">
        <v>650</v>
      </c>
      <c r="N67" s="169" t="s">
        <v>5095</v>
      </c>
      <c r="O67" s="168" t="s">
        <v>276</v>
      </c>
    </row>
    <row r="68" spans="1:15" s="164" customFormat="1" ht="29.15" customHeight="1">
      <c r="A68" s="160">
        <v>64</v>
      </c>
      <c r="B68" s="194" t="s">
        <v>25</v>
      </c>
      <c r="C68" s="195" t="s">
        <v>170</v>
      </c>
      <c r="D68" s="237" t="s">
        <v>663</v>
      </c>
      <c r="E68" s="175" t="s">
        <v>211</v>
      </c>
      <c r="F68" s="186">
        <v>44095</v>
      </c>
      <c r="G68" s="160" t="s">
        <v>347</v>
      </c>
      <c r="H68" s="231" t="s">
        <v>173</v>
      </c>
      <c r="I68" s="238">
        <v>26027</v>
      </c>
      <c r="J68" s="235">
        <f t="shared" ref="J68:J82" ca="1" si="4">DATEDIF(I68,TODAY(),"Y")</f>
        <v>53</v>
      </c>
      <c r="K68" s="235">
        <v>60</v>
      </c>
      <c r="L68" s="240" t="str">
        <f t="shared" ref="L68:L82" si="5">TEXT(EDATE(I68,12*K68),"DD MMMM YYYY")</f>
        <v>04 April 2031</v>
      </c>
      <c r="M68" s="156" t="s">
        <v>651</v>
      </c>
      <c r="N68" s="275" t="s">
        <v>5085</v>
      </c>
      <c r="O68" s="165" t="s">
        <v>229</v>
      </c>
    </row>
    <row r="69" spans="1:15" s="164" customFormat="1" ht="29.15" customHeight="1">
      <c r="A69" s="160">
        <v>65</v>
      </c>
      <c r="B69" s="208" t="s">
        <v>14</v>
      </c>
      <c r="C69" s="195" t="s">
        <v>53</v>
      </c>
      <c r="D69" s="237" t="s">
        <v>664</v>
      </c>
      <c r="E69" s="166" t="s">
        <v>125</v>
      </c>
      <c r="F69" s="186">
        <v>44197</v>
      </c>
      <c r="G69" s="160" t="s">
        <v>316</v>
      </c>
      <c r="H69" s="217" t="s">
        <v>186</v>
      </c>
      <c r="I69" s="238">
        <v>25791</v>
      </c>
      <c r="J69" s="235">
        <f t="shared" ca="1" si="4"/>
        <v>54</v>
      </c>
      <c r="K69" s="235">
        <v>60</v>
      </c>
      <c r="L69" s="240" t="str">
        <f t="shared" si="5"/>
        <v>11 Agustus 2030</v>
      </c>
      <c r="M69" s="157" t="s">
        <v>652</v>
      </c>
      <c r="N69" s="274" t="s">
        <v>5084</v>
      </c>
      <c r="O69" s="165" t="s">
        <v>253</v>
      </c>
    </row>
    <row r="70" spans="1:15" s="164" customFormat="1" ht="29.15" customHeight="1">
      <c r="A70" s="160">
        <v>66</v>
      </c>
      <c r="B70" s="196" t="s">
        <v>45</v>
      </c>
      <c r="C70" s="197" t="s">
        <v>147</v>
      </c>
      <c r="D70" s="242" t="s">
        <v>663</v>
      </c>
      <c r="E70" s="167" t="s">
        <v>48</v>
      </c>
      <c r="F70" s="186">
        <v>44536</v>
      </c>
      <c r="G70" s="160" t="s">
        <v>316</v>
      </c>
      <c r="H70" s="220" t="s">
        <v>190</v>
      </c>
      <c r="I70" s="238">
        <v>24569</v>
      </c>
      <c r="J70" s="262">
        <f t="shared" ca="1" si="4"/>
        <v>57</v>
      </c>
      <c r="K70" s="262">
        <v>60</v>
      </c>
      <c r="L70" s="273" t="str">
        <f t="shared" si="5"/>
        <v>07 April 2027</v>
      </c>
      <c r="M70" s="140" t="s">
        <v>5077</v>
      </c>
      <c r="N70" s="169" t="s">
        <v>5086</v>
      </c>
      <c r="O70" s="168" t="s">
        <v>257</v>
      </c>
    </row>
    <row r="71" spans="1:15" s="164" customFormat="1" ht="29.15" customHeight="1">
      <c r="A71" s="160">
        <v>67</v>
      </c>
      <c r="B71" s="194" t="s">
        <v>26</v>
      </c>
      <c r="C71" s="195" t="s">
        <v>10</v>
      </c>
      <c r="D71" s="237" t="s">
        <v>664</v>
      </c>
      <c r="E71" s="161" t="s">
        <v>48</v>
      </c>
      <c r="F71" s="186">
        <v>41001</v>
      </c>
      <c r="G71" s="160" t="s">
        <v>347</v>
      </c>
      <c r="H71" s="231" t="s">
        <v>163</v>
      </c>
      <c r="I71" s="238">
        <v>23905</v>
      </c>
      <c r="J71" s="260">
        <f t="shared" ca="1" si="4"/>
        <v>59</v>
      </c>
      <c r="K71" s="260">
        <v>60</v>
      </c>
      <c r="L71" s="272" t="str">
        <f t="shared" si="5"/>
        <v>12 Juni 2025</v>
      </c>
      <c r="M71" s="156" t="s">
        <v>653</v>
      </c>
      <c r="N71" s="275" t="s">
        <v>5091</v>
      </c>
      <c r="O71" s="165" t="s">
        <v>236</v>
      </c>
    </row>
    <row r="72" spans="1:15" s="164" customFormat="1" ht="29.15" customHeight="1">
      <c r="A72" s="160">
        <v>68</v>
      </c>
      <c r="B72" s="194" t="s">
        <v>16</v>
      </c>
      <c r="C72" s="195" t="s">
        <v>5</v>
      </c>
      <c r="D72" s="237" t="s">
        <v>664</v>
      </c>
      <c r="E72" s="167" t="s">
        <v>150</v>
      </c>
      <c r="F72" s="186">
        <v>45474</v>
      </c>
      <c r="G72" s="160" t="s">
        <v>316</v>
      </c>
      <c r="H72" s="233" t="s">
        <v>224</v>
      </c>
      <c r="I72" s="238">
        <v>25637</v>
      </c>
      <c r="J72" s="235">
        <f t="shared" ca="1" si="4"/>
        <v>54</v>
      </c>
      <c r="K72" s="235">
        <v>60</v>
      </c>
      <c r="L72" s="240" t="str">
        <f t="shared" si="5"/>
        <v>10 Maret 2030</v>
      </c>
      <c r="M72" s="158" t="s">
        <v>5078</v>
      </c>
      <c r="N72" s="275" t="s">
        <v>5106</v>
      </c>
      <c r="O72" s="165" t="s">
        <v>234</v>
      </c>
    </row>
    <row r="73" spans="1:15" s="164" customFormat="1" ht="29.15" customHeight="1">
      <c r="A73" s="160">
        <v>69</v>
      </c>
      <c r="B73" s="202" t="s">
        <v>58</v>
      </c>
      <c r="C73" s="191" t="s">
        <v>57</v>
      </c>
      <c r="D73" s="241" t="s">
        <v>663</v>
      </c>
      <c r="E73" s="172" t="s">
        <v>48</v>
      </c>
      <c r="F73" s="188">
        <v>45071</v>
      </c>
      <c r="G73" s="160" t="s">
        <v>602</v>
      </c>
      <c r="H73" s="227" t="s">
        <v>208</v>
      </c>
      <c r="I73" s="238">
        <v>30068</v>
      </c>
      <c r="J73" s="235">
        <f t="shared" ca="1" si="4"/>
        <v>42</v>
      </c>
      <c r="K73" s="235">
        <v>60</v>
      </c>
      <c r="L73" s="240" t="str">
        <f t="shared" si="5"/>
        <v>27 April 2042</v>
      </c>
      <c r="M73" s="147" t="s">
        <v>654</v>
      </c>
      <c r="N73" s="174" t="s">
        <v>5088</v>
      </c>
      <c r="O73" s="163" t="s">
        <v>250</v>
      </c>
    </row>
    <row r="74" spans="1:15" s="164" customFormat="1" ht="29.15" customHeight="1">
      <c r="A74" s="160">
        <v>70</v>
      </c>
      <c r="B74" s="192" t="s">
        <v>116</v>
      </c>
      <c r="C74" s="195" t="s">
        <v>212</v>
      </c>
      <c r="D74" s="237" t="s">
        <v>663</v>
      </c>
      <c r="E74" s="175" t="s">
        <v>49</v>
      </c>
      <c r="F74" s="187">
        <v>45124</v>
      </c>
      <c r="G74" s="160" t="s">
        <v>601</v>
      </c>
      <c r="H74" s="216" t="s">
        <v>210</v>
      </c>
      <c r="I74" s="238">
        <v>26911</v>
      </c>
      <c r="J74" s="235">
        <f t="shared" ca="1" si="4"/>
        <v>51</v>
      </c>
      <c r="K74" s="235">
        <v>60</v>
      </c>
      <c r="L74" s="240" t="str">
        <f t="shared" si="5"/>
        <v>04 September 2033</v>
      </c>
      <c r="M74" s="136" t="s">
        <v>5079</v>
      </c>
      <c r="N74" s="163" t="s">
        <v>5098</v>
      </c>
      <c r="O74" s="165" t="s">
        <v>299</v>
      </c>
    </row>
    <row r="75" spans="1:15" s="164" customFormat="1" ht="29.15" customHeight="1">
      <c r="A75" s="160">
        <v>71</v>
      </c>
      <c r="B75" s="196" t="s">
        <v>167</v>
      </c>
      <c r="C75" s="197" t="s">
        <v>155</v>
      </c>
      <c r="D75" s="242" t="s">
        <v>663</v>
      </c>
      <c r="E75" s="181" t="s">
        <v>49</v>
      </c>
      <c r="F75" s="186">
        <v>45499</v>
      </c>
      <c r="G75" s="160" t="s">
        <v>316</v>
      </c>
      <c r="H75" s="215" t="s">
        <v>197</v>
      </c>
      <c r="I75" s="238">
        <v>28412</v>
      </c>
      <c r="J75" s="235">
        <f t="shared" ca="1" si="4"/>
        <v>47</v>
      </c>
      <c r="K75" s="235">
        <v>60</v>
      </c>
      <c r="L75" s="240" t="str">
        <f t="shared" si="5"/>
        <v>14 Oktober 2037</v>
      </c>
      <c r="M75" s="148" t="s">
        <v>5080</v>
      </c>
      <c r="N75" s="274" t="s">
        <v>5089</v>
      </c>
      <c r="O75" s="168" t="s">
        <v>265</v>
      </c>
    </row>
    <row r="76" spans="1:15" s="164" customFormat="1" ht="29.15" customHeight="1">
      <c r="A76" s="160">
        <v>72</v>
      </c>
      <c r="B76" s="194" t="s">
        <v>24</v>
      </c>
      <c r="C76" s="195" t="s">
        <v>168</v>
      </c>
      <c r="D76" s="237" t="s">
        <v>664</v>
      </c>
      <c r="E76" s="167" t="s">
        <v>51</v>
      </c>
      <c r="F76" s="186">
        <v>44536</v>
      </c>
      <c r="G76" s="160" t="s">
        <v>316</v>
      </c>
      <c r="H76" s="217" t="s">
        <v>183</v>
      </c>
      <c r="I76" s="238">
        <v>25395</v>
      </c>
      <c r="J76" s="235">
        <f t="shared" ca="1" si="4"/>
        <v>55</v>
      </c>
      <c r="K76" s="235">
        <v>60</v>
      </c>
      <c r="L76" s="240" t="str">
        <f t="shared" si="5"/>
        <v>11 Juli 2029</v>
      </c>
      <c r="M76" s="137" t="s">
        <v>655</v>
      </c>
      <c r="N76" s="275" t="s">
        <v>5091</v>
      </c>
      <c r="O76" s="165" t="s">
        <v>260</v>
      </c>
    </row>
    <row r="77" spans="1:15" s="164" customFormat="1" ht="29.15" customHeight="1">
      <c r="A77" s="160">
        <v>73</v>
      </c>
      <c r="B77" s="190" t="s">
        <v>156</v>
      </c>
      <c r="C77" s="191" t="s">
        <v>35</v>
      </c>
      <c r="D77" s="241" t="s">
        <v>664</v>
      </c>
      <c r="E77" s="161" t="s">
        <v>141</v>
      </c>
      <c r="F77" s="188">
        <v>44868</v>
      </c>
      <c r="G77" s="160" t="s">
        <v>316</v>
      </c>
      <c r="H77" s="234" t="s">
        <v>184</v>
      </c>
      <c r="I77" s="238">
        <v>25411</v>
      </c>
      <c r="J77" s="235">
        <f t="shared" ca="1" si="4"/>
        <v>55</v>
      </c>
      <c r="K77" s="235">
        <v>60</v>
      </c>
      <c r="L77" s="240" t="str">
        <f t="shared" si="5"/>
        <v>27 Juli 2029</v>
      </c>
      <c r="M77" s="159" t="s">
        <v>5081</v>
      </c>
      <c r="N77" s="275" t="s">
        <v>4318</v>
      </c>
      <c r="O77" s="163" t="s">
        <v>274</v>
      </c>
    </row>
    <row r="78" spans="1:15" s="164" customFormat="1" ht="29.15" customHeight="1">
      <c r="A78" s="160">
        <v>74</v>
      </c>
      <c r="B78" s="194" t="s">
        <v>97</v>
      </c>
      <c r="C78" s="209" t="s">
        <v>137</v>
      </c>
      <c r="D78" s="167" t="s">
        <v>663</v>
      </c>
      <c r="E78" s="270" t="s">
        <v>49</v>
      </c>
      <c r="F78" s="186">
        <v>42430</v>
      </c>
      <c r="G78" s="160" t="s">
        <v>316</v>
      </c>
      <c r="H78" s="217" t="s">
        <v>192</v>
      </c>
      <c r="I78" s="238">
        <v>27220</v>
      </c>
      <c r="J78" s="235">
        <f t="shared" ca="1" si="4"/>
        <v>50</v>
      </c>
      <c r="K78" s="235">
        <v>60</v>
      </c>
      <c r="L78" s="240" t="str">
        <f t="shared" si="5"/>
        <v>10 Juli 2034</v>
      </c>
      <c r="M78" s="137" t="s">
        <v>656</v>
      </c>
      <c r="N78" s="275" t="s">
        <v>5096</v>
      </c>
      <c r="O78" s="165" t="s">
        <v>298</v>
      </c>
    </row>
    <row r="79" spans="1:15" s="164" customFormat="1" ht="29.15" customHeight="1">
      <c r="A79" s="160">
        <v>75</v>
      </c>
      <c r="B79" s="194" t="s">
        <v>98</v>
      </c>
      <c r="C79" s="195" t="s">
        <v>67</v>
      </c>
      <c r="D79" s="237" t="s">
        <v>664</v>
      </c>
      <c r="E79" s="182" t="s">
        <v>49</v>
      </c>
      <c r="F79" s="187">
        <v>45474</v>
      </c>
      <c r="G79" s="160" t="s">
        <v>316</v>
      </c>
      <c r="H79" s="215" t="s">
        <v>198</v>
      </c>
      <c r="I79" s="238">
        <v>29902</v>
      </c>
      <c r="J79" s="235">
        <f t="shared" ca="1" si="4"/>
        <v>43</v>
      </c>
      <c r="K79" s="235">
        <v>60</v>
      </c>
      <c r="L79" s="240" t="str">
        <f t="shared" si="5"/>
        <v>12 November 2041</v>
      </c>
      <c r="M79" s="135" t="s">
        <v>5082</v>
      </c>
      <c r="N79" s="275" t="s">
        <v>5091</v>
      </c>
      <c r="O79" s="165" t="s">
        <v>294</v>
      </c>
    </row>
    <row r="80" spans="1:15" s="164" customFormat="1" ht="29.15" customHeight="1">
      <c r="A80" s="160">
        <v>76</v>
      </c>
      <c r="B80" s="194" t="s">
        <v>15</v>
      </c>
      <c r="C80" s="195" t="s">
        <v>143</v>
      </c>
      <c r="D80" s="237" t="s">
        <v>664</v>
      </c>
      <c r="E80" s="161" t="s">
        <v>48</v>
      </c>
      <c r="F80" s="186">
        <v>44197</v>
      </c>
      <c r="G80" s="160" t="s">
        <v>316</v>
      </c>
      <c r="H80" s="217" t="s">
        <v>178</v>
      </c>
      <c r="I80" s="238">
        <v>25366</v>
      </c>
      <c r="J80" s="235">
        <f t="shared" ca="1" si="4"/>
        <v>55</v>
      </c>
      <c r="K80" s="235">
        <v>60</v>
      </c>
      <c r="L80" s="240" t="str">
        <f t="shared" si="5"/>
        <v>12 Juni 2029</v>
      </c>
      <c r="M80" s="137" t="s">
        <v>657</v>
      </c>
      <c r="N80" s="275" t="s">
        <v>5098</v>
      </c>
      <c r="O80" s="165" t="s">
        <v>240</v>
      </c>
    </row>
    <row r="81" spans="1:15" s="164" customFormat="1" ht="29.15" customHeight="1">
      <c r="A81" s="160">
        <v>77</v>
      </c>
      <c r="B81" s="194" t="s">
        <v>82</v>
      </c>
      <c r="C81" s="195" t="s">
        <v>79</v>
      </c>
      <c r="D81" s="237" t="s">
        <v>663</v>
      </c>
      <c r="E81" s="161" t="s">
        <v>49</v>
      </c>
      <c r="F81" s="187">
        <v>45474</v>
      </c>
      <c r="G81" s="160" t="s">
        <v>316</v>
      </c>
      <c r="H81" s="215" t="s">
        <v>189</v>
      </c>
      <c r="I81" s="238">
        <v>29944</v>
      </c>
      <c r="J81" s="235">
        <f t="shared" ca="1" si="4"/>
        <v>43</v>
      </c>
      <c r="K81" s="235">
        <v>60</v>
      </c>
      <c r="L81" s="240" t="str">
        <f t="shared" si="5"/>
        <v>24 Desember 2041</v>
      </c>
      <c r="M81" s="135" t="s">
        <v>658</v>
      </c>
      <c r="N81" s="275" t="s">
        <v>5104</v>
      </c>
      <c r="O81" s="174" t="s">
        <v>281</v>
      </c>
    </row>
    <row r="82" spans="1:15" s="164" customFormat="1" ht="29.15" customHeight="1">
      <c r="A82" s="160">
        <v>78</v>
      </c>
      <c r="B82" s="190" t="s">
        <v>118</v>
      </c>
      <c r="C82" s="195" t="s">
        <v>134</v>
      </c>
      <c r="D82" s="237" t="s">
        <v>664</v>
      </c>
      <c r="E82" s="161" t="s">
        <v>48</v>
      </c>
      <c r="F82" s="187">
        <v>44986</v>
      </c>
      <c r="G82" s="160" t="s">
        <v>316</v>
      </c>
      <c r="H82" s="230" t="s">
        <v>184</v>
      </c>
      <c r="I82" s="238">
        <v>28811</v>
      </c>
      <c r="J82" s="235">
        <f t="shared" ca="1" si="4"/>
        <v>46</v>
      </c>
      <c r="K82" s="235">
        <v>60</v>
      </c>
      <c r="L82" s="240" t="str">
        <f t="shared" si="5"/>
        <v>17 November 2038</v>
      </c>
      <c r="M82" s="154" t="s">
        <v>5083</v>
      </c>
      <c r="N82" s="180" t="s">
        <v>5084</v>
      </c>
      <c r="O82" s="165" t="s">
        <v>247</v>
      </c>
    </row>
    <row r="84" spans="1:15">
      <c r="C84" s="1"/>
      <c r="D84" s="1"/>
      <c r="E84" s="1"/>
      <c r="F84" s="1"/>
    </row>
    <row r="85" spans="1:15">
      <c r="C85" s="1"/>
      <c r="D85" s="1"/>
      <c r="E85" s="1"/>
      <c r="F85" s="1"/>
    </row>
    <row r="86" spans="1:15">
      <c r="C86" s="1"/>
      <c r="D86" s="1"/>
      <c r="E86" s="1"/>
      <c r="F86" s="1"/>
    </row>
    <row r="87" spans="1:15">
      <c r="C87" s="1"/>
      <c r="D87" s="1"/>
      <c r="E87" s="1"/>
      <c r="F87" s="1"/>
    </row>
    <row r="88" spans="1:15">
      <c r="C88" s="1"/>
      <c r="D88" s="1"/>
      <c r="E88" s="1"/>
      <c r="F88" s="1"/>
    </row>
    <row r="89" spans="1:15">
      <c r="C89" s="1"/>
      <c r="D89" s="1"/>
      <c r="E89" s="1"/>
      <c r="F89" s="1"/>
    </row>
    <row r="90" spans="1:15">
      <c r="C90" s="1"/>
      <c r="D90" s="1"/>
      <c r="E90" s="1"/>
      <c r="F90" s="1"/>
    </row>
    <row r="91" spans="1:15">
      <c r="C91" s="1"/>
      <c r="D91" s="1"/>
      <c r="E91" s="1"/>
      <c r="F91" s="1"/>
    </row>
    <row r="92" spans="1:15">
      <c r="C92" s="1"/>
      <c r="D92" s="1"/>
      <c r="E92" s="1"/>
      <c r="F92" s="1"/>
    </row>
    <row r="93" spans="1:15">
      <c r="C93" s="1"/>
      <c r="D93" s="1"/>
      <c r="E93" s="1"/>
      <c r="F93" s="1"/>
    </row>
    <row r="94" spans="1:15">
      <c r="C94" s="1"/>
      <c r="D94" s="1"/>
      <c r="E94" s="1"/>
      <c r="F94" s="1"/>
    </row>
    <row r="95" spans="1:15">
      <c r="C95" s="1"/>
      <c r="D95" s="1"/>
      <c r="E95" s="1"/>
      <c r="F95" s="1"/>
    </row>
    <row r="96" spans="1:15">
      <c r="C96" s="1"/>
      <c r="D96" s="1"/>
      <c r="E96" s="1"/>
      <c r="F96" s="1"/>
    </row>
    <row r="97" spans="3:6">
      <c r="C97" s="1"/>
      <c r="D97" s="1"/>
      <c r="E97" s="1"/>
      <c r="F97" s="1"/>
    </row>
    <row r="98" spans="3:6">
      <c r="C98" s="1"/>
      <c r="D98" s="1"/>
      <c r="E98" s="1"/>
      <c r="F98" s="1"/>
    </row>
    <row r="99" spans="3:6">
      <c r="C99" s="1"/>
      <c r="D99" s="1"/>
      <c r="E99" s="1"/>
      <c r="F99" s="1"/>
    </row>
    <row r="100" spans="3:6">
      <c r="C100" s="1"/>
      <c r="D100" s="1"/>
      <c r="E100" s="1"/>
      <c r="F100" s="1"/>
    </row>
    <row r="101" spans="3:6">
      <c r="C101" s="1"/>
      <c r="D101" s="1"/>
      <c r="E101" s="1"/>
      <c r="F101" s="1"/>
    </row>
    <row r="102" spans="3:6">
      <c r="C102" s="1"/>
      <c r="D102" s="1"/>
      <c r="E102" s="1"/>
      <c r="F102" s="1"/>
    </row>
    <row r="103" spans="3:6">
      <c r="C103" s="1"/>
      <c r="D103" s="1"/>
      <c r="E103" s="1"/>
      <c r="F103" s="1"/>
    </row>
    <row r="104" spans="3:6">
      <c r="C104" s="1"/>
      <c r="D104" s="1"/>
      <c r="E104" s="1"/>
      <c r="F104" s="1"/>
    </row>
    <row r="105" spans="3:6">
      <c r="C105" s="1"/>
      <c r="D105" s="1"/>
      <c r="E105" s="1"/>
      <c r="F105" s="1"/>
    </row>
    <row r="106" spans="3:6">
      <c r="C106" s="1"/>
      <c r="D106" s="1"/>
      <c r="E106" s="1"/>
      <c r="F106" s="1"/>
    </row>
    <row r="107" spans="3:6">
      <c r="C107" s="1"/>
      <c r="D107" s="1"/>
      <c r="E107" s="1"/>
      <c r="F107" s="1"/>
    </row>
    <row r="108" spans="3:6">
      <c r="C108" s="1"/>
      <c r="D108" s="1"/>
      <c r="E108" s="1"/>
      <c r="F108" s="1"/>
    </row>
    <row r="109" spans="3:6">
      <c r="C109" s="1"/>
      <c r="D109" s="1"/>
      <c r="E109" s="1"/>
      <c r="F109" s="1"/>
    </row>
    <row r="110" spans="3:6">
      <c r="C110" s="1"/>
      <c r="D110" s="1"/>
      <c r="E110" s="1"/>
      <c r="F110" s="1"/>
    </row>
    <row r="111" spans="3:6">
      <c r="C111" s="1"/>
      <c r="D111" s="1"/>
      <c r="E111" s="1"/>
      <c r="F111" s="1"/>
    </row>
    <row r="112" spans="3:6">
      <c r="C112" s="1"/>
      <c r="D112" s="1"/>
      <c r="E112" s="1"/>
      <c r="F112" s="1"/>
    </row>
    <row r="113" spans="3:6">
      <c r="C113" s="1"/>
      <c r="D113" s="1"/>
      <c r="E113" s="1"/>
      <c r="F113" s="1"/>
    </row>
    <row r="114" spans="3:6">
      <c r="C114" s="1"/>
      <c r="D114" s="1"/>
      <c r="E114" s="1"/>
      <c r="F114" s="1"/>
    </row>
    <row r="115" spans="3:6">
      <c r="C115" s="1"/>
      <c r="D115" s="1"/>
      <c r="E115" s="1"/>
      <c r="F115" s="1"/>
    </row>
    <row r="116" spans="3:6">
      <c r="C116" s="1"/>
      <c r="D116" s="1"/>
      <c r="E116" s="1"/>
      <c r="F116" s="1"/>
    </row>
    <row r="117" spans="3:6">
      <c r="C117" s="1"/>
      <c r="D117" s="1"/>
      <c r="E117" s="1"/>
      <c r="F117" s="1"/>
    </row>
    <row r="118" spans="3:6">
      <c r="C118" s="1"/>
      <c r="D118" s="1"/>
      <c r="E118" s="1"/>
      <c r="F118" s="1"/>
    </row>
    <row r="119" spans="3:6">
      <c r="C119" s="1"/>
      <c r="D119" s="1"/>
      <c r="E119" s="1"/>
      <c r="F119" s="1"/>
    </row>
    <row r="120" spans="3:6">
      <c r="C120" s="1"/>
      <c r="D120" s="1"/>
      <c r="E120" s="1"/>
      <c r="F120" s="1"/>
    </row>
    <row r="121" spans="3:6">
      <c r="C121" s="1"/>
      <c r="D121" s="1"/>
      <c r="E121" s="1"/>
      <c r="F121" s="1"/>
    </row>
    <row r="122" spans="3:6">
      <c r="C122" s="1"/>
      <c r="D122" s="1"/>
      <c r="E122" s="1"/>
      <c r="F122" s="1"/>
    </row>
    <row r="123" spans="3:6">
      <c r="C123" s="1"/>
      <c r="D123" s="1"/>
      <c r="E123" s="1"/>
      <c r="F123" s="1"/>
    </row>
    <row r="124" spans="3:6">
      <c r="C124" s="1"/>
      <c r="D124" s="1"/>
      <c r="E124" s="1"/>
      <c r="F124" s="1"/>
    </row>
    <row r="125" spans="3:6">
      <c r="C125" s="1"/>
      <c r="D125" s="1"/>
      <c r="E125" s="1"/>
      <c r="F125" s="1"/>
    </row>
    <row r="126" spans="3:6">
      <c r="C126" s="1"/>
      <c r="D126" s="1"/>
      <c r="E126" s="1"/>
      <c r="F126" s="1"/>
    </row>
    <row r="127" spans="3:6">
      <c r="C127" s="1"/>
      <c r="D127" s="1"/>
      <c r="E127" s="1"/>
      <c r="F127" s="1"/>
    </row>
    <row r="128" spans="3:6">
      <c r="C128" s="1"/>
      <c r="D128" s="1"/>
      <c r="E128" s="1"/>
      <c r="F128" s="1"/>
    </row>
    <row r="129" spans="3:6">
      <c r="C129" s="1"/>
      <c r="D129" s="1"/>
      <c r="E129" s="1"/>
      <c r="F129" s="1"/>
    </row>
    <row r="130" spans="3:6">
      <c r="C130" s="1"/>
      <c r="D130" s="1"/>
      <c r="E130" s="1"/>
      <c r="F130" s="1"/>
    </row>
    <row r="131" spans="3:6">
      <c r="C131" s="1"/>
      <c r="D131" s="1"/>
      <c r="E131" s="1"/>
      <c r="F131" s="1"/>
    </row>
    <row r="132" spans="3:6">
      <c r="C132" s="1"/>
      <c r="D132" s="1"/>
      <c r="E132" s="1"/>
      <c r="F132" s="1"/>
    </row>
    <row r="133" spans="3:6">
      <c r="C133" s="1"/>
      <c r="D133" s="1"/>
      <c r="E133" s="1"/>
      <c r="F133" s="1"/>
    </row>
    <row r="134" spans="3:6">
      <c r="C134" s="1"/>
      <c r="D134" s="1"/>
      <c r="E134" s="1"/>
      <c r="F134" s="1"/>
    </row>
    <row r="135" spans="3:6">
      <c r="C135" s="1"/>
      <c r="D135" s="1"/>
      <c r="E135" s="1"/>
      <c r="F135" s="1"/>
    </row>
    <row r="136" spans="3:6">
      <c r="C136" s="1"/>
      <c r="D136" s="1"/>
      <c r="E136" s="1"/>
      <c r="F136" s="1"/>
    </row>
    <row r="137" spans="3:6">
      <c r="C137" s="1"/>
      <c r="D137" s="1"/>
      <c r="E137" s="1"/>
      <c r="F137" s="1"/>
    </row>
    <row r="138" spans="3:6">
      <c r="C138" s="1"/>
      <c r="D138" s="1"/>
      <c r="E138" s="1"/>
      <c r="F138" s="1"/>
    </row>
    <row r="139" spans="3:6">
      <c r="C139" s="1"/>
      <c r="D139" s="1"/>
      <c r="E139" s="1"/>
      <c r="F139" s="1"/>
    </row>
    <row r="140" spans="3:6">
      <c r="C140" s="1"/>
      <c r="D140" s="1"/>
      <c r="E140" s="1"/>
      <c r="F140" s="1"/>
    </row>
    <row r="141" spans="3:6">
      <c r="C141" s="1"/>
      <c r="D141" s="1"/>
      <c r="E141" s="1"/>
      <c r="F141" s="1"/>
    </row>
    <row r="142" spans="3:6">
      <c r="C142" s="1"/>
      <c r="D142" s="1"/>
      <c r="E142" s="1"/>
      <c r="F142" s="1"/>
    </row>
    <row r="143" spans="3:6">
      <c r="C143" s="1"/>
      <c r="D143" s="1"/>
      <c r="E143" s="1"/>
      <c r="F143" s="1"/>
    </row>
    <row r="144" spans="3:6">
      <c r="C144" s="1"/>
      <c r="D144" s="1"/>
      <c r="E144" s="1"/>
      <c r="F144" s="1"/>
    </row>
    <row r="145" spans="3:6">
      <c r="C145" s="1"/>
      <c r="D145" s="1"/>
      <c r="E145" s="1"/>
      <c r="F145" s="1"/>
    </row>
    <row r="146" spans="3:6">
      <c r="C146" s="1"/>
      <c r="D146" s="1"/>
      <c r="E146" s="1"/>
      <c r="F146" s="1"/>
    </row>
    <row r="147" spans="3:6">
      <c r="C147" s="1"/>
      <c r="D147" s="1"/>
      <c r="E147" s="1"/>
      <c r="F147" s="1"/>
    </row>
    <row r="148" spans="3:6">
      <c r="C148" s="1"/>
      <c r="D148" s="1"/>
      <c r="E148" s="1"/>
      <c r="F148" s="1"/>
    </row>
    <row r="149" spans="3:6">
      <c r="C149" s="1"/>
      <c r="D149" s="1"/>
      <c r="E149" s="1"/>
      <c r="F149" s="1"/>
    </row>
    <row r="150" spans="3:6">
      <c r="C150" s="1"/>
      <c r="D150" s="1"/>
      <c r="E150" s="1"/>
      <c r="F150" s="1"/>
    </row>
    <row r="151" spans="3:6">
      <c r="C151" s="1"/>
      <c r="D151" s="1"/>
      <c r="E151" s="1"/>
      <c r="F151" s="1"/>
    </row>
    <row r="152" spans="3:6">
      <c r="C152" s="1"/>
      <c r="D152" s="1"/>
      <c r="E152" s="1"/>
      <c r="F152" s="1"/>
    </row>
    <row r="153" spans="3:6">
      <c r="C153" s="1"/>
      <c r="D153" s="1"/>
      <c r="E153" s="1"/>
      <c r="F153" s="1"/>
    </row>
    <row r="154" spans="3:6">
      <c r="C154" s="1"/>
      <c r="D154" s="1"/>
      <c r="E154" s="1"/>
      <c r="F154" s="1"/>
    </row>
    <row r="155" spans="3:6">
      <c r="C155" s="1"/>
      <c r="D155" s="1"/>
      <c r="E155" s="1"/>
      <c r="F155" s="1"/>
    </row>
    <row r="156" spans="3:6">
      <c r="C156" s="1"/>
      <c r="D156" s="1"/>
      <c r="E156" s="1"/>
      <c r="F156" s="1"/>
    </row>
    <row r="157" spans="3:6">
      <c r="C157" s="1"/>
      <c r="D157" s="1"/>
      <c r="E157" s="1"/>
      <c r="F157" s="1"/>
    </row>
    <row r="158" spans="3:6">
      <c r="C158" s="1"/>
      <c r="D158" s="1"/>
      <c r="E158" s="1"/>
      <c r="F158" s="1"/>
    </row>
    <row r="159" spans="3:6">
      <c r="C159" s="1"/>
      <c r="D159" s="1"/>
      <c r="E159" s="1"/>
      <c r="F159" s="1"/>
    </row>
    <row r="160" spans="3:6">
      <c r="C160" s="1"/>
      <c r="D160" s="1"/>
      <c r="E160" s="1"/>
      <c r="F160" s="1"/>
    </row>
    <row r="161" spans="3:6">
      <c r="C161" s="1"/>
      <c r="D161" s="1"/>
      <c r="E161" s="1"/>
      <c r="F161" s="1"/>
    </row>
    <row r="162" spans="3:6">
      <c r="C162" s="1"/>
      <c r="D162" s="1"/>
      <c r="E162" s="1"/>
      <c r="F162" s="1"/>
    </row>
    <row r="163" spans="3:6">
      <c r="C163" s="1"/>
      <c r="D163" s="1"/>
      <c r="E163" s="1"/>
      <c r="F163" s="1"/>
    </row>
    <row r="164" spans="3:6">
      <c r="C164" s="1"/>
      <c r="D164" s="1"/>
      <c r="E164" s="1"/>
      <c r="F164" s="1"/>
    </row>
    <row r="165" spans="3:6">
      <c r="C165" s="1"/>
      <c r="D165" s="1"/>
      <c r="E165" s="1"/>
      <c r="F165" s="1"/>
    </row>
    <row r="166" spans="3:6">
      <c r="C166" s="1"/>
      <c r="D166" s="1"/>
      <c r="E166" s="1"/>
      <c r="F166" s="1"/>
    </row>
    <row r="167" spans="3:6">
      <c r="C167" s="1"/>
      <c r="D167" s="1"/>
      <c r="E167" s="1"/>
      <c r="F167" s="1"/>
    </row>
    <row r="168" spans="3:6">
      <c r="C168" s="1"/>
      <c r="D168" s="1"/>
      <c r="E168" s="1"/>
      <c r="F168" s="1"/>
    </row>
    <row r="169" spans="3:6">
      <c r="C169" s="1"/>
      <c r="D169" s="1"/>
      <c r="E169" s="1"/>
      <c r="F169" s="1"/>
    </row>
    <row r="170" spans="3:6">
      <c r="C170" s="1"/>
      <c r="D170" s="1"/>
      <c r="E170" s="1"/>
      <c r="F170" s="1"/>
    </row>
    <row r="171" spans="3:6">
      <c r="C171" s="1"/>
      <c r="D171" s="1"/>
      <c r="E171" s="1"/>
      <c r="F171" s="1"/>
    </row>
    <row r="172" spans="3:6">
      <c r="C172" s="1"/>
      <c r="D172" s="1"/>
      <c r="E172" s="1"/>
      <c r="F172" s="1"/>
    </row>
    <row r="173" spans="3:6">
      <c r="C173" s="1"/>
      <c r="D173" s="1"/>
      <c r="E173" s="1"/>
      <c r="F173" s="1"/>
    </row>
    <row r="174" spans="3:6">
      <c r="C174" s="1"/>
      <c r="D174" s="1"/>
      <c r="E174" s="1"/>
      <c r="F174" s="1"/>
    </row>
    <row r="175" spans="3:6">
      <c r="C175" s="1"/>
      <c r="D175" s="1"/>
      <c r="E175" s="1"/>
      <c r="F175" s="1"/>
    </row>
    <row r="176" spans="3:6">
      <c r="C176" s="1"/>
      <c r="D176" s="1"/>
      <c r="E176" s="1"/>
      <c r="F176" s="1"/>
    </row>
    <row r="177" spans="3:6">
      <c r="C177" s="1"/>
      <c r="D177" s="1"/>
      <c r="E177" s="1"/>
      <c r="F177" s="1"/>
    </row>
    <row r="178" spans="3:6">
      <c r="C178" s="1"/>
      <c r="D178" s="1"/>
      <c r="E178" s="1"/>
      <c r="F178" s="1"/>
    </row>
    <row r="179" spans="3:6">
      <c r="C179" s="1"/>
      <c r="D179" s="1"/>
      <c r="E179" s="1"/>
      <c r="F179" s="1"/>
    </row>
    <row r="180" spans="3:6">
      <c r="C180" s="1"/>
      <c r="D180" s="1"/>
      <c r="E180" s="1"/>
      <c r="F180" s="1"/>
    </row>
    <row r="181" spans="3:6">
      <c r="C181" s="1"/>
      <c r="D181" s="1"/>
      <c r="E181" s="1"/>
      <c r="F181" s="1"/>
    </row>
    <row r="182" spans="3:6">
      <c r="C182" s="1"/>
      <c r="D182" s="1"/>
      <c r="E182" s="1"/>
      <c r="F182" s="1"/>
    </row>
    <row r="183" spans="3:6">
      <c r="C183" s="1"/>
      <c r="D183" s="1"/>
      <c r="E183" s="1"/>
      <c r="F183" s="1"/>
    </row>
    <row r="184" spans="3:6">
      <c r="C184" s="1"/>
      <c r="D184" s="1"/>
      <c r="E184" s="1"/>
      <c r="F184" s="1"/>
    </row>
    <row r="185" spans="3:6">
      <c r="C185" s="1"/>
      <c r="D185" s="1"/>
      <c r="E185" s="1"/>
      <c r="F185" s="1"/>
    </row>
    <row r="186" spans="3:6">
      <c r="C186" s="1"/>
      <c r="D186" s="1"/>
      <c r="E186" s="1"/>
      <c r="F186" s="1"/>
    </row>
    <row r="187" spans="3:6">
      <c r="C187" s="1"/>
      <c r="D187" s="1"/>
      <c r="E187" s="1"/>
      <c r="F187" s="1"/>
    </row>
    <row r="188" spans="3:6">
      <c r="C188" s="1"/>
      <c r="D188" s="1"/>
      <c r="E188" s="1"/>
      <c r="F188" s="1"/>
    </row>
    <row r="189" spans="3:6">
      <c r="C189" s="1"/>
      <c r="D189" s="1"/>
      <c r="E189" s="1"/>
      <c r="F189" s="1"/>
    </row>
    <row r="190" spans="3:6">
      <c r="C190" s="1"/>
      <c r="D190" s="1"/>
      <c r="E190" s="1"/>
      <c r="F190" s="1"/>
    </row>
    <row r="191" spans="3:6">
      <c r="C191" s="1"/>
      <c r="D191" s="1"/>
      <c r="E191" s="1"/>
      <c r="F191" s="1"/>
    </row>
    <row r="192" spans="3:6">
      <c r="C192" s="1"/>
      <c r="D192" s="1"/>
      <c r="E192" s="1"/>
      <c r="F192" s="1"/>
    </row>
    <row r="193" spans="3:6">
      <c r="C193" s="1"/>
      <c r="D193" s="1"/>
      <c r="E193" s="1"/>
      <c r="F193" s="1"/>
    </row>
    <row r="194" spans="3:6">
      <c r="C194" s="1"/>
      <c r="D194" s="1"/>
      <c r="E194" s="1"/>
      <c r="F194" s="1"/>
    </row>
    <row r="195" spans="3:6">
      <c r="C195" s="1"/>
      <c r="D195" s="1"/>
      <c r="E195" s="1"/>
      <c r="F195" s="1"/>
    </row>
    <row r="196" spans="3:6">
      <c r="C196" s="1"/>
      <c r="D196" s="1"/>
      <c r="E196" s="1"/>
      <c r="F196" s="1"/>
    </row>
    <row r="197" spans="3:6">
      <c r="C197" s="1"/>
      <c r="D197" s="1"/>
      <c r="E197" s="1"/>
      <c r="F197" s="1"/>
    </row>
    <row r="198" spans="3:6">
      <c r="C198" s="1"/>
      <c r="D198" s="1"/>
      <c r="E198" s="1"/>
      <c r="F198" s="1"/>
    </row>
    <row r="199" spans="3:6">
      <c r="C199" s="1"/>
      <c r="D199" s="1"/>
      <c r="E199" s="1"/>
      <c r="F199" s="1"/>
    </row>
    <row r="200" spans="3:6">
      <c r="C200" s="1"/>
      <c r="D200" s="1"/>
      <c r="E200" s="1"/>
      <c r="F200" s="1"/>
    </row>
    <row r="201" spans="3:6">
      <c r="C201" s="1"/>
      <c r="D201" s="1"/>
      <c r="E201" s="1"/>
      <c r="F201" s="1"/>
    </row>
    <row r="202" spans="3:6">
      <c r="C202" s="1"/>
      <c r="D202" s="1"/>
      <c r="E202" s="1"/>
      <c r="F202" s="1"/>
    </row>
    <row r="203" spans="3:6">
      <c r="C203" s="1"/>
      <c r="D203" s="1"/>
      <c r="E203" s="1"/>
      <c r="F203" s="1"/>
    </row>
    <row r="204" spans="3:6">
      <c r="C204" s="1"/>
      <c r="D204" s="1"/>
      <c r="E204" s="1"/>
      <c r="F204" s="1"/>
    </row>
    <row r="205" spans="3:6">
      <c r="C205" s="1"/>
      <c r="D205" s="1"/>
      <c r="E205" s="1"/>
      <c r="F205" s="1"/>
    </row>
    <row r="206" spans="3:6">
      <c r="C206" s="1"/>
      <c r="D206" s="1"/>
      <c r="E206" s="1"/>
      <c r="F206" s="1"/>
    </row>
    <row r="207" spans="3:6">
      <c r="C207" s="1"/>
      <c r="D207" s="1"/>
      <c r="E207" s="1"/>
      <c r="F207" s="1"/>
    </row>
    <row r="208" spans="3:6">
      <c r="C208" s="1"/>
      <c r="D208" s="1"/>
      <c r="E208" s="1"/>
      <c r="F208" s="1"/>
    </row>
    <row r="209" spans="3:6">
      <c r="C209" s="1"/>
      <c r="D209" s="1"/>
      <c r="E209" s="1"/>
      <c r="F209" s="1"/>
    </row>
    <row r="210" spans="3:6">
      <c r="C210" s="1"/>
      <c r="D210" s="1"/>
      <c r="E210" s="1"/>
      <c r="F210" s="1"/>
    </row>
    <row r="211" spans="3:6">
      <c r="C211" s="1"/>
      <c r="D211" s="1"/>
      <c r="E211" s="1"/>
      <c r="F211" s="1"/>
    </row>
    <row r="212" spans="3:6">
      <c r="C212" s="1"/>
      <c r="D212" s="1"/>
      <c r="E212" s="1"/>
      <c r="F212" s="1"/>
    </row>
    <row r="213" spans="3:6">
      <c r="C213" s="1"/>
      <c r="D213" s="1"/>
      <c r="E213" s="1"/>
      <c r="F213" s="1"/>
    </row>
    <row r="214" spans="3:6">
      <c r="C214" s="1"/>
      <c r="D214" s="1"/>
      <c r="E214" s="1"/>
      <c r="F214" s="1"/>
    </row>
    <row r="215" spans="3:6">
      <c r="C215" s="1"/>
      <c r="D215" s="1"/>
      <c r="E215" s="1"/>
      <c r="F215" s="1"/>
    </row>
    <row r="216" spans="3:6">
      <c r="C216" s="1"/>
      <c r="D216" s="1"/>
      <c r="E216" s="1"/>
      <c r="F216" s="1"/>
    </row>
    <row r="217" spans="3:6">
      <c r="C217" s="1"/>
      <c r="D217" s="1"/>
      <c r="E217" s="1"/>
      <c r="F217" s="1"/>
    </row>
    <row r="218" spans="3:6">
      <c r="C218" s="1"/>
      <c r="D218" s="1"/>
      <c r="E218" s="1"/>
      <c r="F218" s="1"/>
    </row>
    <row r="219" spans="3:6">
      <c r="C219" s="1"/>
      <c r="D219" s="1"/>
      <c r="E219" s="1"/>
      <c r="F219" s="1"/>
    </row>
    <row r="220" spans="3:6">
      <c r="C220" s="1"/>
      <c r="D220" s="1"/>
      <c r="E220" s="1"/>
      <c r="F220" s="1"/>
    </row>
    <row r="221" spans="3:6">
      <c r="C221" s="1"/>
      <c r="D221" s="1"/>
      <c r="E221" s="1"/>
      <c r="F221" s="1"/>
    </row>
    <row r="222" spans="3:6">
      <c r="C222" s="1"/>
      <c r="D222" s="1"/>
      <c r="E222" s="1"/>
      <c r="F222" s="1"/>
    </row>
    <row r="223" spans="3:6">
      <c r="C223" s="1"/>
      <c r="D223" s="1"/>
      <c r="E223" s="1"/>
      <c r="F223" s="1"/>
    </row>
    <row r="224" spans="3:6">
      <c r="C224" s="1"/>
      <c r="D224" s="1"/>
      <c r="E224" s="1"/>
      <c r="F224" s="1"/>
    </row>
    <row r="225" spans="3:6">
      <c r="C225" s="1"/>
      <c r="D225" s="1"/>
      <c r="E225" s="1"/>
      <c r="F225" s="1"/>
    </row>
    <row r="226" spans="3:6">
      <c r="C226" s="1"/>
      <c r="D226" s="1"/>
      <c r="E226" s="1"/>
      <c r="F226" s="1"/>
    </row>
    <row r="227" spans="3:6">
      <c r="C227" s="1"/>
      <c r="D227" s="1"/>
      <c r="E227" s="1"/>
      <c r="F227" s="1"/>
    </row>
    <row r="228" spans="3:6">
      <c r="C228" s="1"/>
      <c r="D228" s="1"/>
      <c r="E228" s="1"/>
      <c r="F228" s="1"/>
    </row>
    <row r="229" spans="3:6">
      <c r="C229" s="1"/>
      <c r="D229" s="1"/>
      <c r="E229" s="1"/>
      <c r="F229" s="1"/>
    </row>
    <row r="230" spans="3:6">
      <c r="C230" s="1"/>
      <c r="D230" s="1"/>
      <c r="E230" s="1"/>
      <c r="F230" s="1"/>
    </row>
    <row r="231" spans="3:6">
      <c r="C231" s="1"/>
      <c r="D231" s="1"/>
      <c r="E231" s="1"/>
      <c r="F231" s="1"/>
    </row>
    <row r="232" spans="3:6">
      <c r="C232" s="1"/>
      <c r="D232" s="1"/>
      <c r="E232" s="1"/>
      <c r="F232" s="1"/>
    </row>
    <row r="233" spans="3:6">
      <c r="C233" s="1"/>
      <c r="D233" s="1"/>
      <c r="E233" s="1"/>
      <c r="F233" s="1"/>
    </row>
    <row r="234" spans="3:6">
      <c r="C234" s="1"/>
      <c r="D234" s="1"/>
      <c r="E234" s="1"/>
      <c r="F234" s="1"/>
    </row>
    <row r="235" spans="3:6">
      <c r="C235" s="1"/>
      <c r="D235" s="1"/>
      <c r="E235" s="1"/>
      <c r="F235" s="1"/>
    </row>
    <row r="236" spans="3:6">
      <c r="C236" s="1"/>
      <c r="D236" s="1"/>
      <c r="E236" s="1"/>
      <c r="F236" s="1"/>
    </row>
    <row r="237" spans="3:6">
      <c r="C237" s="1"/>
      <c r="D237" s="1"/>
      <c r="E237" s="1"/>
      <c r="F237" s="1"/>
    </row>
    <row r="238" spans="3:6">
      <c r="C238" s="1"/>
      <c r="D238" s="1"/>
      <c r="E238" s="1"/>
      <c r="F238" s="1"/>
    </row>
    <row r="239" spans="3:6">
      <c r="C239" s="1"/>
      <c r="D239" s="1"/>
      <c r="E239" s="1"/>
      <c r="F239" s="1"/>
    </row>
    <row r="240" spans="3:6">
      <c r="C240" s="1"/>
      <c r="D240" s="1"/>
      <c r="E240" s="1"/>
      <c r="F240" s="1"/>
    </row>
    <row r="241" spans="3:6">
      <c r="C241" s="1"/>
      <c r="D241" s="1"/>
      <c r="E241" s="1"/>
      <c r="F241" s="1"/>
    </row>
    <row r="242" spans="3:6">
      <c r="C242" s="1"/>
      <c r="D242" s="1"/>
      <c r="E242" s="1"/>
      <c r="F242" s="1"/>
    </row>
    <row r="243" spans="3:6">
      <c r="C243" s="1"/>
      <c r="D243" s="1"/>
      <c r="E243" s="1"/>
      <c r="F243" s="1"/>
    </row>
    <row r="244" spans="3:6">
      <c r="C244" s="1"/>
      <c r="D244" s="1"/>
      <c r="E244" s="1"/>
      <c r="F244" s="1"/>
    </row>
    <row r="245" spans="3:6">
      <c r="C245" s="1"/>
      <c r="D245" s="1"/>
      <c r="E245" s="1"/>
      <c r="F245" s="1"/>
    </row>
    <row r="246" spans="3:6">
      <c r="C246" s="1"/>
      <c r="D246" s="1"/>
      <c r="E246" s="1"/>
      <c r="F246" s="1"/>
    </row>
    <row r="247" spans="3:6">
      <c r="C247" s="1"/>
      <c r="D247" s="1"/>
      <c r="E247" s="1"/>
      <c r="F247" s="1"/>
    </row>
    <row r="248" spans="3:6">
      <c r="C248" s="1"/>
      <c r="D248" s="1"/>
      <c r="E248" s="1"/>
      <c r="F248" s="1"/>
    </row>
    <row r="249" spans="3:6">
      <c r="C249" s="1"/>
      <c r="D249" s="1"/>
      <c r="E249" s="1"/>
      <c r="F249" s="1"/>
    </row>
    <row r="250" spans="3:6">
      <c r="C250" s="1"/>
      <c r="D250" s="1"/>
      <c r="E250" s="1"/>
      <c r="F250" s="1"/>
    </row>
    <row r="251" spans="3:6">
      <c r="C251" s="1"/>
      <c r="D251" s="1"/>
      <c r="E251" s="1"/>
      <c r="F251" s="1"/>
    </row>
    <row r="252" spans="3:6">
      <c r="C252" s="1"/>
      <c r="D252" s="1"/>
      <c r="E252" s="1"/>
      <c r="F252" s="1"/>
    </row>
    <row r="253" spans="3:6">
      <c r="C253" s="1"/>
      <c r="D253" s="1"/>
      <c r="E253" s="1"/>
      <c r="F253" s="1"/>
    </row>
    <row r="254" spans="3:6">
      <c r="C254" s="1"/>
      <c r="D254" s="1"/>
      <c r="E254" s="1"/>
      <c r="F254" s="1"/>
    </row>
    <row r="255" spans="3:6">
      <c r="C255" s="1"/>
      <c r="D255" s="1"/>
      <c r="E255" s="1"/>
      <c r="F255" s="1"/>
    </row>
    <row r="256" spans="3:6">
      <c r="C256" s="1"/>
      <c r="D256" s="1"/>
      <c r="E256" s="1"/>
      <c r="F256" s="1"/>
    </row>
    <row r="257" spans="3:6">
      <c r="C257" s="1"/>
      <c r="D257" s="1"/>
      <c r="E257" s="1"/>
      <c r="F257" s="1"/>
    </row>
    <row r="258" spans="3:6">
      <c r="C258" s="1"/>
      <c r="D258" s="1"/>
      <c r="E258" s="1"/>
      <c r="F258" s="1"/>
    </row>
    <row r="259" spans="3:6">
      <c r="C259" s="1"/>
      <c r="D259" s="1"/>
      <c r="E259" s="1"/>
      <c r="F259" s="1"/>
    </row>
    <row r="260" spans="3:6">
      <c r="C260" s="1"/>
      <c r="D260" s="1"/>
      <c r="E260" s="1"/>
      <c r="F260" s="1"/>
    </row>
    <row r="261" spans="3:6">
      <c r="C261" s="1"/>
      <c r="D261" s="1"/>
      <c r="E261" s="1"/>
      <c r="F261" s="1"/>
    </row>
    <row r="262" spans="3:6">
      <c r="C262" s="1"/>
      <c r="D262" s="1"/>
      <c r="E262" s="1"/>
      <c r="F262" s="1"/>
    </row>
    <row r="263" spans="3:6">
      <c r="C263" s="1"/>
      <c r="D263" s="1"/>
      <c r="E263" s="1"/>
      <c r="F263" s="1"/>
    </row>
    <row r="264" spans="3:6">
      <c r="C264" s="1"/>
      <c r="D264" s="1"/>
      <c r="E264" s="1"/>
      <c r="F264" s="1"/>
    </row>
    <row r="265" spans="3:6">
      <c r="C265" s="1"/>
      <c r="D265" s="1"/>
      <c r="E265" s="1"/>
      <c r="F265" s="1"/>
    </row>
    <row r="266" spans="3:6">
      <c r="C266" s="1"/>
      <c r="D266" s="1"/>
      <c r="E266" s="1"/>
      <c r="F266" s="1"/>
    </row>
    <row r="267" spans="3:6">
      <c r="C267" s="1"/>
      <c r="D267" s="1"/>
      <c r="E267" s="1"/>
      <c r="F267" s="1"/>
    </row>
    <row r="268" spans="3:6">
      <c r="C268" s="1"/>
      <c r="D268" s="1"/>
      <c r="E268" s="1"/>
      <c r="F268" s="1"/>
    </row>
    <row r="269" spans="3:6">
      <c r="C269" s="1"/>
      <c r="D269" s="1"/>
      <c r="E269" s="1"/>
      <c r="F269" s="1"/>
    </row>
    <row r="270" spans="3:6">
      <c r="C270" s="1"/>
      <c r="D270" s="1"/>
      <c r="E270" s="1"/>
      <c r="F270" s="1"/>
    </row>
    <row r="271" spans="3:6">
      <c r="C271" s="1"/>
      <c r="D271" s="1"/>
      <c r="E271" s="1"/>
      <c r="F271" s="1"/>
    </row>
    <row r="272" spans="3:6">
      <c r="C272" s="1"/>
      <c r="D272" s="1"/>
      <c r="E272" s="1"/>
      <c r="F272" s="1"/>
    </row>
    <row r="273" spans="3:6">
      <c r="C273" s="1"/>
      <c r="D273" s="1"/>
      <c r="E273" s="1"/>
      <c r="F273" s="1"/>
    </row>
    <row r="274" spans="3:6">
      <c r="C274" s="1"/>
      <c r="D274" s="1"/>
      <c r="E274" s="1"/>
      <c r="F274" s="1"/>
    </row>
    <row r="275" spans="3:6">
      <c r="C275" s="1"/>
      <c r="D275" s="1"/>
      <c r="E275" s="1"/>
      <c r="F275" s="1"/>
    </row>
    <row r="276" spans="3:6">
      <c r="C276" s="1"/>
      <c r="D276" s="1"/>
      <c r="E276" s="1"/>
      <c r="F276" s="1"/>
    </row>
    <row r="277" spans="3:6">
      <c r="C277" s="1"/>
      <c r="D277" s="1"/>
      <c r="E277" s="1"/>
      <c r="F277" s="1"/>
    </row>
    <row r="278" spans="3:6">
      <c r="C278" s="1"/>
      <c r="D278" s="1"/>
      <c r="E278" s="1"/>
      <c r="F278" s="1"/>
    </row>
    <row r="279" spans="3:6">
      <c r="C279" s="1"/>
      <c r="D279" s="1"/>
      <c r="E279" s="1"/>
      <c r="F279" s="1"/>
    </row>
    <row r="280" spans="3:6">
      <c r="C280" s="1"/>
      <c r="D280" s="1"/>
      <c r="E280" s="1"/>
      <c r="F280" s="1"/>
    </row>
    <row r="281" spans="3:6">
      <c r="C281" s="1"/>
      <c r="D281" s="1"/>
      <c r="E281" s="1"/>
      <c r="F281" s="1"/>
    </row>
    <row r="282" spans="3:6">
      <c r="C282" s="1"/>
      <c r="D282" s="1"/>
      <c r="E282" s="1"/>
      <c r="F282" s="1"/>
    </row>
    <row r="283" spans="3:6">
      <c r="C283" s="1"/>
      <c r="D283" s="1"/>
      <c r="E283" s="1"/>
      <c r="F283" s="1"/>
    </row>
    <row r="284" spans="3:6">
      <c r="C284" s="1"/>
      <c r="D284" s="1"/>
      <c r="E284" s="1"/>
      <c r="F284" s="1"/>
    </row>
    <row r="285" spans="3:6">
      <c r="C285" s="1"/>
      <c r="D285" s="1"/>
      <c r="E285" s="1"/>
      <c r="F285" s="1"/>
    </row>
    <row r="286" spans="3:6">
      <c r="C286" s="1"/>
      <c r="D286" s="1"/>
      <c r="E286" s="1"/>
      <c r="F286" s="1"/>
    </row>
    <row r="287" spans="3:6">
      <c r="C287" s="1"/>
      <c r="D287" s="1"/>
      <c r="E287" s="1"/>
      <c r="F287" s="1"/>
    </row>
    <row r="288" spans="3:6">
      <c r="C288" s="1"/>
      <c r="D288" s="1"/>
      <c r="E288" s="1"/>
      <c r="F288" s="1"/>
    </row>
    <row r="289" spans="3:6">
      <c r="C289" s="1"/>
      <c r="D289" s="1"/>
      <c r="E289" s="1"/>
      <c r="F289" s="1"/>
    </row>
    <row r="290" spans="3:6">
      <c r="C290" s="1"/>
      <c r="D290" s="1"/>
      <c r="E290" s="1"/>
      <c r="F290" s="1"/>
    </row>
    <row r="291" spans="3:6">
      <c r="C291" s="1"/>
      <c r="D291" s="1"/>
      <c r="E291" s="1"/>
      <c r="F291" s="1"/>
    </row>
    <row r="292" spans="3:6">
      <c r="C292" s="1"/>
      <c r="D292" s="1"/>
      <c r="E292" s="1"/>
      <c r="F292" s="1"/>
    </row>
    <row r="293" spans="3:6">
      <c r="C293" s="1"/>
      <c r="D293" s="1"/>
      <c r="E293" s="1"/>
      <c r="F293" s="1"/>
    </row>
    <row r="294" spans="3:6">
      <c r="C294" s="1"/>
      <c r="D294" s="1"/>
      <c r="E294" s="1"/>
      <c r="F294" s="1"/>
    </row>
    <row r="295" spans="3:6">
      <c r="C295" s="1"/>
      <c r="D295" s="1"/>
      <c r="E295" s="1"/>
      <c r="F295" s="1"/>
    </row>
    <row r="296" spans="3:6">
      <c r="C296" s="1"/>
      <c r="D296" s="1"/>
      <c r="E296" s="1"/>
      <c r="F296" s="1"/>
    </row>
    <row r="297" spans="3:6">
      <c r="C297" s="1"/>
      <c r="D297" s="1"/>
      <c r="E297" s="1"/>
      <c r="F297" s="1"/>
    </row>
    <row r="298" spans="3:6">
      <c r="C298" s="1"/>
      <c r="D298" s="1"/>
      <c r="E298" s="1"/>
      <c r="F298" s="1"/>
    </row>
    <row r="299" spans="3:6">
      <c r="C299" s="1"/>
      <c r="D299" s="1"/>
      <c r="E299" s="1"/>
      <c r="F299" s="1"/>
    </row>
    <row r="300" spans="3:6">
      <c r="C300" s="1"/>
      <c r="D300" s="1"/>
      <c r="E300" s="1"/>
      <c r="F300" s="1"/>
    </row>
    <row r="301" spans="3:6">
      <c r="C301" s="1"/>
      <c r="D301" s="1"/>
      <c r="E301" s="1"/>
      <c r="F301" s="1"/>
    </row>
    <row r="302" spans="3:6">
      <c r="C302" s="1"/>
      <c r="D302" s="1"/>
      <c r="E302" s="1"/>
      <c r="F302" s="1"/>
    </row>
    <row r="303" spans="3:6">
      <c r="C303" s="1"/>
      <c r="D303" s="1"/>
      <c r="E303" s="1"/>
      <c r="F303" s="1"/>
    </row>
    <row r="304" spans="3:6">
      <c r="C304" s="1"/>
      <c r="D304" s="1"/>
      <c r="E304" s="1"/>
      <c r="F304" s="1"/>
    </row>
    <row r="305" spans="3:6">
      <c r="C305" s="1"/>
      <c r="D305" s="1"/>
      <c r="E305" s="1"/>
      <c r="F305" s="1"/>
    </row>
    <row r="306" spans="3:6">
      <c r="C306" s="1"/>
      <c r="D306" s="1"/>
      <c r="E306" s="1"/>
      <c r="F306" s="1"/>
    </row>
    <row r="307" spans="3:6">
      <c r="C307" s="1"/>
      <c r="D307" s="1"/>
      <c r="E307" s="1"/>
      <c r="F307" s="1"/>
    </row>
    <row r="308" spans="3:6">
      <c r="C308" s="1"/>
      <c r="D308" s="1"/>
      <c r="E308" s="1"/>
      <c r="F308" s="1"/>
    </row>
    <row r="309" spans="3:6">
      <c r="C309" s="1"/>
      <c r="D309" s="1"/>
      <c r="E309" s="1"/>
      <c r="F309" s="1"/>
    </row>
    <row r="310" spans="3:6">
      <c r="C310" s="1"/>
      <c r="D310" s="1"/>
      <c r="E310" s="1"/>
      <c r="F310" s="1"/>
    </row>
    <row r="311" spans="3:6">
      <c r="C311" s="1"/>
      <c r="D311" s="1"/>
      <c r="E311" s="1"/>
      <c r="F311" s="1"/>
    </row>
    <row r="312" spans="3:6">
      <c r="C312" s="1"/>
      <c r="D312" s="1"/>
      <c r="E312" s="1"/>
      <c r="F312" s="1"/>
    </row>
    <row r="313" spans="3:6">
      <c r="C313" s="1"/>
      <c r="D313" s="1"/>
      <c r="E313" s="1"/>
      <c r="F313" s="1"/>
    </row>
    <row r="314" spans="3:6">
      <c r="C314" s="1"/>
      <c r="D314" s="1"/>
      <c r="E314" s="1"/>
      <c r="F314" s="1"/>
    </row>
    <row r="315" spans="3:6">
      <c r="C315" s="1"/>
      <c r="D315" s="1"/>
      <c r="E315" s="1"/>
      <c r="F315" s="1"/>
    </row>
    <row r="316" spans="3:6">
      <c r="C316" s="1"/>
      <c r="D316" s="1"/>
      <c r="E316" s="1"/>
      <c r="F316" s="1"/>
    </row>
    <row r="317" spans="3:6">
      <c r="C317" s="1"/>
      <c r="D317" s="1"/>
      <c r="E317" s="1"/>
      <c r="F317" s="1"/>
    </row>
    <row r="318" spans="3:6">
      <c r="C318" s="1"/>
      <c r="D318" s="1"/>
      <c r="E318" s="1"/>
      <c r="F318" s="1"/>
    </row>
    <row r="319" spans="3:6">
      <c r="C319" s="1"/>
      <c r="D319" s="1"/>
      <c r="E319" s="1"/>
      <c r="F319" s="1"/>
    </row>
    <row r="320" spans="3:6">
      <c r="C320" s="1"/>
      <c r="D320" s="1"/>
      <c r="E320" s="1"/>
      <c r="F320" s="1"/>
    </row>
    <row r="321" spans="3:6">
      <c r="C321" s="1"/>
      <c r="D321" s="1"/>
      <c r="E321" s="1"/>
      <c r="F321" s="1"/>
    </row>
    <row r="322" spans="3:6">
      <c r="C322" s="1"/>
      <c r="D322" s="1"/>
      <c r="E322" s="1"/>
      <c r="F322" s="1"/>
    </row>
    <row r="323" spans="3:6">
      <c r="C323" s="1"/>
      <c r="D323" s="1"/>
      <c r="E323" s="1"/>
      <c r="F323" s="1"/>
    </row>
    <row r="324" spans="3:6">
      <c r="C324" s="1"/>
      <c r="D324" s="1"/>
      <c r="E324" s="1"/>
      <c r="F324" s="1"/>
    </row>
    <row r="325" spans="3:6">
      <c r="C325" s="1"/>
      <c r="D325" s="1"/>
      <c r="E325" s="1"/>
      <c r="F325" s="1"/>
    </row>
    <row r="326" spans="3:6">
      <c r="C326" s="1"/>
      <c r="D326" s="1"/>
      <c r="E326" s="1"/>
      <c r="F326" s="1"/>
    </row>
    <row r="327" spans="3:6">
      <c r="C327" s="1"/>
      <c r="D327" s="1"/>
      <c r="E327" s="1"/>
      <c r="F327" s="1"/>
    </row>
    <row r="328" spans="3:6">
      <c r="C328" s="1"/>
      <c r="D328" s="1"/>
      <c r="E328" s="1"/>
      <c r="F328" s="1"/>
    </row>
    <row r="329" spans="3:6">
      <c r="C329" s="1"/>
      <c r="D329" s="1"/>
      <c r="E329" s="1"/>
      <c r="F329" s="1"/>
    </row>
    <row r="330" spans="3:6">
      <c r="C330" s="1"/>
      <c r="D330" s="1"/>
      <c r="E330" s="1"/>
      <c r="F330" s="1"/>
    </row>
    <row r="331" spans="3:6">
      <c r="C331" s="1"/>
      <c r="D331" s="1"/>
      <c r="E331" s="1"/>
      <c r="F331" s="1"/>
    </row>
    <row r="332" spans="3:6">
      <c r="C332" s="1"/>
      <c r="D332" s="1"/>
      <c r="E332" s="1"/>
      <c r="F332" s="1"/>
    </row>
    <row r="333" spans="3:6">
      <c r="C333" s="1"/>
      <c r="D333" s="1"/>
      <c r="E333" s="1"/>
      <c r="F333" s="1"/>
    </row>
    <row r="334" spans="3:6">
      <c r="C334" s="1"/>
      <c r="D334" s="1"/>
      <c r="E334" s="1"/>
      <c r="F334" s="1"/>
    </row>
    <row r="335" spans="3:6">
      <c r="C335" s="1"/>
      <c r="D335" s="1"/>
      <c r="E335" s="1"/>
      <c r="F335" s="1"/>
    </row>
    <row r="336" spans="3:6">
      <c r="C336" s="1"/>
      <c r="D336" s="1"/>
      <c r="E336" s="1"/>
      <c r="F336" s="1"/>
    </row>
    <row r="337" spans="3:6">
      <c r="C337" s="1"/>
      <c r="D337" s="1"/>
      <c r="E337" s="1"/>
      <c r="F337" s="1"/>
    </row>
    <row r="338" spans="3:6">
      <c r="C338" s="1"/>
      <c r="D338" s="1"/>
      <c r="E338" s="1"/>
      <c r="F338" s="1"/>
    </row>
    <row r="339" spans="3:6">
      <c r="C339" s="1"/>
      <c r="D339" s="1"/>
      <c r="E339" s="1"/>
      <c r="F339" s="1"/>
    </row>
    <row r="340" spans="3:6">
      <c r="C340" s="1"/>
      <c r="D340" s="1"/>
      <c r="E340" s="1"/>
      <c r="F340" s="1"/>
    </row>
    <row r="341" spans="3:6">
      <c r="C341" s="1"/>
      <c r="D341" s="1"/>
      <c r="E341" s="1"/>
      <c r="F341" s="1"/>
    </row>
    <row r="342" spans="3:6">
      <c r="C342" s="1"/>
      <c r="D342" s="1"/>
      <c r="E342" s="1"/>
      <c r="F342" s="1"/>
    </row>
    <row r="343" spans="3:6">
      <c r="C343" s="1"/>
      <c r="D343" s="1"/>
      <c r="E343" s="1"/>
      <c r="F343" s="1"/>
    </row>
    <row r="344" spans="3:6">
      <c r="C344" s="1"/>
      <c r="D344" s="1"/>
      <c r="E344" s="1"/>
      <c r="F344" s="1"/>
    </row>
    <row r="345" spans="3:6">
      <c r="C345" s="1"/>
      <c r="D345" s="1"/>
      <c r="E345" s="1"/>
      <c r="F345" s="1"/>
    </row>
    <row r="346" spans="3:6">
      <c r="C346" s="1"/>
      <c r="D346" s="1"/>
      <c r="E346" s="1"/>
      <c r="F346" s="1"/>
    </row>
    <row r="347" spans="3:6">
      <c r="C347" s="1"/>
      <c r="D347" s="1"/>
      <c r="E347" s="1"/>
      <c r="F347" s="1"/>
    </row>
    <row r="348" spans="3:6">
      <c r="C348" s="1"/>
      <c r="D348" s="1"/>
      <c r="E348" s="1"/>
      <c r="F348" s="1"/>
    </row>
    <row r="349" spans="3:6">
      <c r="C349" s="1"/>
      <c r="D349" s="1"/>
      <c r="E349" s="1"/>
      <c r="F349" s="1"/>
    </row>
    <row r="350" spans="3:6">
      <c r="C350" s="1"/>
      <c r="D350" s="1"/>
      <c r="E350" s="1"/>
      <c r="F350" s="1"/>
    </row>
    <row r="351" spans="3:6">
      <c r="C351" s="1"/>
      <c r="D351" s="1"/>
      <c r="E351" s="1"/>
      <c r="F351" s="1"/>
    </row>
    <row r="352" spans="3:6">
      <c r="C352" s="1"/>
      <c r="D352" s="1"/>
      <c r="E352" s="1"/>
      <c r="F352" s="1"/>
    </row>
    <row r="353" spans="3:6">
      <c r="C353" s="1"/>
      <c r="D353" s="1"/>
      <c r="E353" s="1"/>
      <c r="F353" s="1"/>
    </row>
    <row r="354" spans="3:6">
      <c r="C354" s="1"/>
      <c r="D354" s="1"/>
      <c r="E354" s="1"/>
      <c r="F354" s="1"/>
    </row>
    <row r="355" spans="3:6">
      <c r="C355" s="1"/>
      <c r="D355" s="1"/>
      <c r="E355" s="1"/>
      <c r="F355" s="1"/>
    </row>
    <row r="356" spans="3:6">
      <c r="C356" s="1"/>
      <c r="D356" s="1"/>
      <c r="E356" s="1"/>
      <c r="F356" s="1"/>
    </row>
    <row r="357" spans="3:6">
      <c r="C357" s="1"/>
      <c r="D357" s="1"/>
      <c r="E357" s="1"/>
      <c r="F357" s="1"/>
    </row>
    <row r="358" spans="3:6">
      <c r="C358" s="1"/>
      <c r="D358" s="1"/>
      <c r="E358" s="1"/>
      <c r="F358" s="1"/>
    </row>
    <row r="359" spans="3:6">
      <c r="C359" s="1"/>
      <c r="D359" s="1"/>
      <c r="E359" s="1"/>
      <c r="F359" s="1"/>
    </row>
    <row r="360" spans="3:6">
      <c r="C360" s="1"/>
      <c r="D360" s="1"/>
      <c r="E360" s="1"/>
      <c r="F360" s="1"/>
    </row>
    <row r="361" spans="3:6">
      <c r="C361" s="1"/>
      <c r="D361" s="1"/>
      <c r="E361" s="1"/>
      <c r="F361" s="1"/>
    </row>
    <row r="362" spans="3:6">
      <c r="C362" s="1"/>
      <c r="D362" s="1"/>
      <c r="E362" s="1"/>
      <c r="F362" s="1"/>
    </row>
    <row r="363" spans="3:6">
      <c r="C363" s="1"/>
      <c r="D363" s="1"/>
      <c r="E363" s="1"/>
      <c r="F363" s="1"/>
    </row>
    <row r="364" spans="3:6">
      <c r="C364" s="1"/>
      <c r="D364" s="1"/>
      <c r="E364" s="1"/>
      <c r="F364" s="1"/>
    </row>
    <row r="365" spans="3:6">
      <c r="C365" s="1"/>
      <c r="D365" s="1"/>
      <c r="E365" s="1"/>
      <c r="F365" s="1"/>
    </row>
    <row r="366" spans="3:6">
      <c r="C366" s="1"/>
      <c r="D366" s="1"/>
      <c r="E366" s="1"/>
      <c r="F366" s="1"/>
    </row>
    <row r="367" spans="3:6">
      <c r="C367" s="1"/>
      <c r="D367" s="1"/>
      <c r="E367" s="1"/>
      <c r="F367" s="1"/>
    </row>
    <row r="368" spans="3:6">
      <c r="C368" s="1"/>
      <c r="D368" s="1"/>
      <c r="E368" s="1"/>
      <c r="F368" s="1"/>
    </row>
    <row r="369" spans="3:6">
      <c r="C369" s="1"/>
      <c r="D369" s="1"/>
      <c r="E369" s="1"/>
      <c r="F369" s="1"/>
    </row>
    <row r="370" spans="3:6">
      <c r="C370" s="1"/>
      <c r="D370" s="1"/>
      <c r="E370" s="1"/>
      <c r="F370" s="1"/>
    </row>
    <row r="371" spans="3:6">
      <c r="C371" s="1"/>
      <c r="D371" s="1"/>
      <c r="E371" s="1"/>
      <c r="F371" s="1"/>
    </row>
    <row r="372" spans="3:6">
      <c r="C372" s="1"/>
      <c r="D372" s="1"/>
      <c r="E372" s="1"/>
      <c r="F372" s="1"/>
    </row>
    <row r="373" spans="3:6">
      <c r="C373" s="1"/>
      <c r="D373" s="1"/>
      <c r="E373" s="1"/>
      <c r="F373" s="1"/>
    </row>
    <row r="374" spans="3:6">
      <c r="C374" s="1"/>
      <c r="D374" s="1"/>
      <c r="E374" s="1"/>
      <c r="F374" s="1"/>
    </row>
    <row r="375" spans="3:6">
      <c r="C375" s="1"/>
      <c r="D375" s="1"/>
      <c r="E375" s="1"/>
      <c r="F375" s="1"/>
    </row>
    <row r="376" spans="3:6">
      <c r="C376" s="1"/>
      <c r="D376" s="1"/>
      <c r="E376" s="1"/>
      <c r="F376" s="1"/>
    </row>
    <row r="377" spans="3:6">
      <c r="C377" s="1"/>
      <c r="D377" s="1"/>
      <c r="E377" s="1"/>
      <c r="F377" s="1"/>
    </row>
    <row r="378" spans="3:6">
      <c r="C378" s="1"/>
      <c r="D378" s="1"/>
      <c r="E378" s="1"/>
      <c r="F378" s="1"/>
    </row>
    <row r="379" spans="3:6">
      <c r="C379" s="1"/>
      <c r="D379" s="1"/>
      <c r="E379" s="1"/>
      <c r="F379" s="1"/>
    </row>
    <row r="380" spans="3:6">
      <c r="C380" s="1"/>
      <c r="D380" s="1"/>
      <c r="E380" s="1"/>
      <c r="F380" s="1"/>
    </row>
    <row r="381" spans="3:6">
      <c r="C381" s="1"/>
      <c r="D381" s="1"/>
      <c r="E381" s="1"/>
      <c r="F381" s="1"/>
    </row>
    <row r="382" spans="3:6">
      <c r="C382" s="1"/>
      <c r="D382" s="1"/>
      <c r="E382" s="1"/>
      <c r="F382" s="1"/>
    </row>
    <row r="383" spans="3:6">
      <c r="C383" s="1"/>
      <c r="D383" s="1"/>
      <c r="E383" s="1"/>
      <c r="F383" s="1"/>
    </row>
    <row r="384" spans="3:6">
      <c r="C384" s="1"/>
      <c r="D384" s="1"/>
      <c r="E384" s="1"/>
      <c r="F384" s="1"/>
    </row>
    <row r="385" spans="3:6">
      <c r="C385" s="1"/>
      <c r="D385" s="1"/>
      <c r="E385" s="1"/>
      <c r="F385" s="1"/>
    </row>
    <row r="386" spans="3:6">
      <c r="C386" s="1"/>
      <c r="D386" s="1"/>
      <c r="E386" s="1"/>
      <c r="F386" s="1"/>
    </row>
    <row r="387" spans="3:6">
      <c r="C387" s="1"/>
      <c r="D387" s="1"/>
      <c r="E387" s="1"/>
      <c r="F387" s="1"/>
    </row>
    <row r="388" spans="3:6">
      <c r="C388" s="1"/>
      <c r="D388" s="1"/>
      <c r="E388" s="1"/>
      <c r="F388" s="1"/>
    </row>
    <row r="389" spans="3:6">
      <c r="C389" s="1"/>
      <c r="D389" s="1"/>
      <c r="E389" s="1"/>
      <c r="F389" s="1"/>
    </row>
    <row r="390" spans="3:6">
      <c r="C390" s="1"/>
      <c r="D390" s="1"/>
      <c r="E390" s="1"/>
      <c r="F390" s="1"/>
    </row>
    <row r="391" spans="3:6">
      <c r="C391" s="1"/>
      <c r="D391" s="1"/>
      <c r="E391" s="1"/>
      <c r="F391" s="1"/>
    </row>
    <row r="392" spans="3:6">
      <c r="C392" s="1"/>
      <c r="D392" s="1"/>
      <c r="E392" s="1"/>
      <c r="F392" s="1"/>
    </row>
    <row r="393" spans="3:6">
      <c r="C393" s="1"/>
      <c r="D393" s="1"/>
      <c r="E393" s="1"/>
      <c r="F393" s="1"/>
    </row>
    <row r="394" spans="3:6">
      <c r="C394" s="1"/>
      <c r="D394" s="1"/>
      <c r="E394" s="1"/>
      <c r="F394" s="1"/>
    </row>
    <row r="395" spans="3:6">
      <c r="C395" s="1"/>
      <c r="D395" s="1"/>
      <c r="E395" s="1"/>
      <c r="F395" s="1"/>
    </row>
    <row r="396" spans="3:6">
      <c r="C396" s="1"/>
      <c r="D396" s="1"/>
      <c r="E396" s="1"/>
      <c r="F396" s="1"/>
    </row>
    <row r="397" spans="3:6">
      <c r="C397" s="1"/>
      <c r="D397" s="1"/>
      <c r="E397" s="1"/>
      <c r="F397" s="1"/>
    </row>
    <row r="398" spans="3:6">
      <c r="C398" s="1"/>
      <c r="D398" s="1"/>
      <c r="E398" s="1"/>
      <c r="F398" s="1"/>
    </row>
    <row r="399" spans="3:6">
      <c r="C399" s="1"/>
      <c r="D399" s="1"/>
      <c r="E399" s="1"/>
      <c r="F399" s="1"/>
    </row>
    <row r="400" spans="3:6">
      <c r="C400" s="1"/>
      <c r="D400" s="1"/>
      <c r="E400" s="1"/>
      <c r="F400" s="1"/>
    </row>
    <row r="401" spans="3:6">
      <c r="C401" s="1"/>
      <c r="D401" s="1"/>
      <c r="E401" s="1"/>
      <c r="F401" s="1"/>
    </row>
    <row r="402" spans="3:6">
      <c r="C402" s="1"/>
      <c r="D402" s="1"/>
      <c r="E402" s="1"/>
      <c r="F402" s="1"/>
    </row>
    <row r="403" spans="3:6">
      <c r="C403" s="1"/>
      <c r="D403" s="1"/>
      <c r="E403" s="1"/>
      <c r="F403" s="1"/>
    </row>
    <row r="404" spans="3:6">
      <c r="C404" s="1"/>
      <c r="D404" s="1"/>
      <c r="E404" s="1"/>
      <c r="F404" s="1"/>
    </row>
    <row r="405" spans="3:6">
      <c r="C405" s="1"/>
      <c r="D405" s="1"/>
      <c r="E405" s="1"/>
      <c r="F405" s="1"/>
    </row>
    <row r="406" spans="3:6">
      <c r="C406" s="1"/>
      <c r="D406" s="1"/>
      <c r="E406" s="1"/>
      <c r="F406" s="1"/>
    </row>
    <row r="407" spans="3:6">
      <c r="C407" s="1"/>
      <c r="D407" s="1"/>
      <c r="E407" s="1"/>
      <c r="F407" s="1"/>
    </row>
    <row r="408" spans="3:6">
      <c r="C408" s="1"/>
      <c r="D408" s="1"/>
      <c r="E408" s="1"/>
      <c r="F408" s="1"/>
    </row>
    <row r="409" spans="3:6">
      <c r="C409" s="1"/>
      <c r="D409" s="1"/>
      <c r="E409" s="1"/>
      <c r="F409" s="1"/>
    </row>
    <row r="410" spans="3:6">
      <c r="C410" s="1"/>
      <c r="D410" s="1"/>
      <c r="E410" s="1"/>
      <c r="F410" s="1"/>
    </row>
    <row r="411" spans="3:6">
      <c r="C411" s="1"/>
      <c r="D411" s="1"/>
      <c r="E411" s="1"/>
      <c r="F411" s="1"/>
    </row>
    <row r="412" spans="3:6">
      <c r="C412" s="1"/>
      <c r="D412" s="1"/>
      <c r="E412" s="1"/>
      <c r="F412" s="1"/>
    </row>
    <row r="413" spans="3:6">
      <c r="C413" s="1"/>
      <c r="D413" s="1"/>
      <c r="E413" s="1"/>
      <c r="F413" s="1"/>
    </row>
    <row r="414" spans="3:6">
      <c r="C414" s="1"/>
      <c r="D414" s="1"/>
      <c r="E414" s="1"/>
      <c r="F414" s="1"/>
    </row>
    <row r="415" spans="3:6">
      <c r="C415" s="1"/>
      <c r="D415" s="1"/>
      <c r="E415" s="1"/>
      <c r="F415" s="1"/>
    </row>
    <row r="416" spans="3:6">
      <c r="C416" s="1"/>
      <c r="D416" s="1"/>
      <c r="E416" s="1"/>
      <c r="F416" s="1"/>
    </row>
    <row r="417" spans="3:6">
      <c r="C417" s="1"/>
      <c r="D417" s="1"/>
      <c r="E417" s="1"/>
      <c r="F417" s="1"/>
    </row>
    <row r="418" spans="3:6">
      <c r="C418" s="1"/>
      <c r="D418" s="1"/>
      <c r="E418" s="1"/>
      <c r="F418" s="1"/>
    </row>
    <row r="419" spans="3:6">
      <c r="C419" s="1"/>
      <c r="D419" s="1"/>
      <c r="E419" s="1"/>
      <c r="F419" s="1"/>
    </row>
    <row r="420" spans="3:6">
      <c r="C420" s="1"/>
      <c r="D420" s="1"/>
      <c r="E420" s="1"/>
      <c r="F420" s="1"/>
    </row>
    <row r="421" spans="3:6">
      <c r="C421" s="1"/>
      <c r="D421" s="1"/>
      <c r="E421" s="1"/>
      <c r="F421" s="1"/>
    </row>
    <row r="422" spans="3:6">
      <c r="C422" s="1"/>
      <c r="D422" s="1"/>
      <c r="E422" s="1"/>
      <c r="F422" s="1"/>
    </row>
    <row r="423" spans="3:6">
      <c r="C423" s="1"/>
      <c r="D423" s="1"/>
      <c r="E423" s="1"/>
      <c r="F423" s="1"/>
    </row>
    <row r="424" spans="3:6">
      <c r="C424" s="1"/>
      <c r="D424" s="1"/>
      <c r="E424" s="1"/>
      <c r="F424" s="1"/>
    </row>
    <row r="425" spans="3:6">
      <c r="C425" s="1"/>
      <c r="D425" s="1"/>
      <c r="E425" s="1"/>
      <c r="F425" s="1"/>
    </row>
    <row r="426" spans="3:6">
      <c r="C426" s="1"/>
      <c r="D426" s="1"/>
      <c r="E426" s="1"/>
      <c r="F426" s="1"/>
    </row>
    <row r="427" spans="3:6">
      <c r="C427" s="1"/>
      <c r="D427" s="1"/>
      <c r="E427" s="1"/>
      <c r="F427" s="1"/>
    </row>
    <row r="428" spans="3:6">
      <c r="C428" s="1"/>
      <c r="D428" s="1"/>
      <c r="E428" s="1"/>
      <c r="F428" s="1"/>
    </row>
    <row r="429" spans="3:6">
      <c r="C429" s="1"/>
      <c r="D429" s="1"/>
      <c r="E429" s="1"/>
      <c r="F429" s="1"/>
    </row>
    <row r="430" spans="3:6">
      <c r="C430" s="1"/>
      <c r="D430" s="1"/>
      <c r="E430" s="1"/>
      <c r="F430" s="1"/>
    </row>
    <row r="431" spans="3:6">
      <c r="C431" s="1"/>
      <c r="D431" s="1"/>
      <c r="E431" s="1"/>
      <c r="F431" s="1"/>
    </row>
    <row r="432" spans="3:6">
      <c r="C432" s="1"/>
      <c r="D432" s="1"/>
      <c r="E432" s="1"/>
      <c r="F432" s="1"/>
    </row>
    <row r="433" spans="3:6">
      <c r="C433" s="1"/>
      <c r="D433" s="1"/>
      <c r="E433" s="1"/>
      <c r="F433" s="1"/>
    </row>
    <row r="434" spans="3:6">
      <c r="C434" s="1"/>
      <c r="D434" s="1"/>
      <c r="E434" s="1"/>
      <c r="F434" s="1"/>
    </row>
    <row r="435" spans="3:6">
      <c r="C435" s="1"/>
      <c r="D435" s="1"/>
      <c r="E435" s="1"/>
      <c r="F435" s="1"/>
    </row>
    <row r="436" spans="3:6">
      <c r="C436" s="1"/>
      <c r="D436" s="1"/>
      <c r="E436" s="1"/>
      <c r="F436" s="1"/>
    </row>
    <row r="437" spans="3:6">
      <c r="C437" s="1"/>
      <c r="D437" s="1"/>
      <c r="E437" s="1"/>
      <c r="F437" s="1"/>
    </row>
    <row r="438" spans="3:6">
      <c r="C438" s="1"/>
      <c r="D438" s="1"/>
      <c r="E438" s="1"/>
      <c r="F438" s="1"/>
    </row>
    <row r="439" spans="3:6">
      <c r="C439" s="1"/>
      <c r="D439" s="1"/>
      <c r="E439" s="1"/>
      <c r="F439" s="1"/>
    </row>
    <row r="440" spans="3:6">
      <c r="C440" s="1"/>
      <c r="D440" s="1"/>
      <c r="E440" s="1"/>
      <c r="F440" s="1"/>
    </row>
    <row r="441" spans="3:6">
      <c r="C441" s="1"/>
      <c r="D441" s="1"/>
      <c r="E441" s="1"/>
      <c r="F441" s="1"/>
    </row>
    <row r="442" spans="3:6">
      <c r="C442" s="1"/>
      <c r="D442" s="1"/>
      <c r="E442" s="1"/>
      <c r="F442" s="1"/>
    </row>
    <row r="443" spans="3:6">
      <c r="C443" s="1"/>
      <c r="D443" s="1"/>
      <c r="E443" s="1"/>
      <c r="F443" s="1"/>
    </row>
    <row r="444" spans="3:6">
      <c r="C444" s="1"/>
      <c r="D444" s="1"/>
      <c r="E444" s="1"/>
      <c r="F444" s="1"/>
    </row>
    <row r="445" spans="3:6">
      <c r="C445" s="1"/>
      <c r="D445" s="1"/>
      <c r="E445" s="1"/>
      <c r="F445" s="1"/>
    </row>
    <row r="446" spans="3:6">
      <c r="C446" s="1"/>
      <c r="D446" s="1"/>
      <c r="E446" s="1"/>
      <c r="F446" s="1"/>
    </row>
    <row r="447" spans="3:6">
      <c r="C447" s="1"/>
      <c r="D447" s="1"/>
      <c r="E447" s="1"/>
      <c r="F447" s="1"/>
    </row>
    <row r="448" spans="3:6">
      <c r="C448" s="1"/>
      <c r="D448" s="1"/>
      <c r="E448" s="1"/>
      <c r="F448" s="1"/>
    </row>
    <row r="449" spans="3:6">
      <c r="C449" s="1"/>
      <c r="D449" s="1"/>
      <c r="E449" s="1"/>
      <c r="F449" s="1"/>
    </row>
    <row r="450" spans="3:6">
      <c r="C450" s="1"/>
      <c r="D450" s="1"/>
      <c r="E450" s="1"/>
      <c r="F450" s="1"/>
    </row>
    <row r="451" spans="3:6">
      <c r="C451" s="1"/>
      <c r="D451" s="1"/>
      <c r="E451" s="1"/>
      <c r="F451" s="1"/>
    </row>
    <row r="452" spans="3:6">
      <c r="C452" s="1"/>
      <c r="D452" s="1"/>
      <c r="E452" s="1"/>
      <c r="F452" s="1"/>
    </row>
    <row r="453" spans="3:6">
      <c r="C453" s="1"/>
      <c r="D453" s="1"/>
      <c r="E453" s="1"/>
      <c r="F453" s="1"/>
    </row>
    <row r="454" spans="3:6">
      <c r="C454" s="1"/>
      <c r="D454" s="1"/>
      <c r="E454" s="1"/>
      <c r="F454" s="1"/>
    </row>
    <row r="455" spans="3:6">
      <c r="C455" s="1"/>
      <c r="D455" s="1"/>
      <c r="E455" s="1"/>
      <c r="F455" s="1"/>
    </row>
    <row r="456" spans="3:6">
      <c r="C456" s="1"/>
      <c r="D456" s="1"/>
      <c r="E456" s="1"/>
      <c r="F456" s="1"/>
    </row>
    <row r="457" spans="3:6">
      <c r="C457" s="1"/>
      <c r="D457" s="1"/>
      <c r="E457" s="1"/>
      <c r="F457" s="1"/>
    </row>
    <row r="458" spans="3:6">
      <c r="C458" s="1"/>
      <c r="D458" s="1"/>
      <c r="E458" s="1"/>
      <c r="F458" s="1"/>
    </row>
    <row r="459" spans="3:6">
      <c r="C459" s="1"/>
      <c r="D459" s="1"/>
      <c r="E459" s="1"/>
      <c r="F459" s="1"/>
    </row>
    <row r="460" spans="3:6">
      <c r="C460" s="1"/>
      <c r="D460" s="1"/>
      <c r="E460" s="1"/>
      <c r="F460" s="1"/>
    </row>
    <row r="461" spans="3:6">
      <c r="C461" s="1"/>
      <c r="D461" s="1"/>
      <c r="E461" s="1"/>
      <c r="F461" s="1"/>
    </row>
    <row r="462" spans="3:6">
      <c r="C462" s="1"/>
      <c r="D462" s="1"/>
      <c r="E462" s="1"/>
      <c r="F462" s="1"/>
    </row>
    <row r="463" spans="3:6">
      <c r="C463" s="1"/>
      <c r="D463" s="1"/>
      <c r="E463" s="1"/>
      <c r="F463" s="1"/>
    </row>
    <row r="464" spans="3:6">
      <c r="C464" s="1"/>
      <c r="D464" s="1"/>
      <c r="E464" s="1"/>
      <c r="F464" s="1"/>
    </row>
    <row r="465" spans="3:6">
      <c r="C465" s="1"/>
      <c r="D465" s="1"/>
      <c r="E465" s="1"/>
      <c r="F465" s="1"/>
    </row>
    <row r="466" spans="3:6">
      <c r="C466" s="1"/>
      <c r="D466" s="1"/>
      <c r="E466" s="1"/>
      <c r="F466" s="1"/>
    </row>
    <row r="467" spans="3:6">
      <c r="C467" s="1"/>
      <c r="D467" s="1"/>
      <c r="E467" s="1"/>
      <c r="F467" s="1"/>
    </row>
    <row r="468" spans="3:6">
      <c r="C468" s="1"/>
      <c r="D468" s="1"/>
      <c r="E468" s="1"/>
      <c r="F468" s="1"/>
    </row>
    <row r="469" spans="3:6">
      <c r="C469" s="1"/>
      <c r="D469" s="1"/>
      <c r="E469" s="1"/>
      <c r="F469" s="1"/>
    </row>
    <row r="470" spans="3:6">
      <c r="C470" s="1"/>
      <c r="D470" s="1"/>
      <c r="E470" s="1"/>
      <c r="F470" s="1"/>
    </row>
    <row r="471" spans="3:6">
      <c r="C471" s="1"/>
      <c r="D471" s="1"/>
      <c r="E471" s="1"/>
      <c r="F471" s="1"/>
    </row>
    <row r="472" spans="3:6">
      <c r="C472" s="1"/>
      <c r="D472" s="1"/>
      <c r="E472" s="1"/>
      <c r="F472" s="1"/>
    </row>
    <row r="473" spans="3:6">
      <c r="C473" s="1"/>
      <c r="D473" s="1"/>
      <c r="E473" s="1"/>
      <c r="F473" s="1"/>
    </row>
    <row r="474" spans="3:6">
      <c r="C474" s="1"/>
      <c r="D474" s="1"/>
      <c r="E474" s="1"/>
      <c r="F474" s="1"/>
    </row>
    <row r="475" spans="3:6">
      <c r="C475" s="1"/>
      <c r="D475" s="1"/>
      <c r="E475" s="1"/>
      <c r="F475" s="1"/>
    </row>
    <row r="476" spans="3:6">
      <c r="C476" s="1"/>
      <c r="D476" s="1"/>
      <c r="E476" s="1"/>
      <c r="F476" s="1"/>
    </row>
    <row r="477" spans="3:6">
      <c r="C477" s="1"/>
      <c r="D477" s="1"/>
      <c r="E477" s="1"/>
      <c r="F477" s="1"/>
    </row>
    <row r="478" spans="3:6">
      <c r="C478" s="1"/>
      <c r="D478" s="1"/>
      <c r="E478" s="1"/>
      <c r="F478" s="1"/>
    </row>
    <row r="479" spans="3:6">
      <c r="C479" s="1"/>
      <c r="D479" s="1"/>
      <c r="E479" s="1"/>
      <c r="F479" s="1"/>
    </row>
    <row r="480" spans="3:6">
      <c r="C480" s="1"/>
      <c r="D480" s="1"/>
      <c r="E480" s="1"/>
      <c r="F480" s="1"/>
    </row>
    <row r="481" spans="3:6">
      <c r="C481" s="1"/>
      <c r="D481" s="1"/>
      <c r="E481" s="1"/>
      <c r="F481" s="1"/>
    </row>
    <row r="482" spans="3:6">
      <c r="C482" s="1"/>
      <c r="D482" s="1"/>
      <c r="E482" s="1"/>
      <c r="F482" s="1"/>
    </row>
    <row r="483" spans="3:6">
      <c r="C483" s="1"/>
      <c r="D483" s="1"/>
      <c r="E483" s="1"/>
      <c r="F483" s="1"/>
    </row>
    <row r="484" spans="3:6">
      <c r="C484" s="1"/>
      <c r="D484" s="1"/>
      <c r="E484" s="1"/>
      <c r="F484" s="1"/>
    </row>
    <row r="485" spans="3:6">
      <c r="C485" s="1"/>
      <c r="D485" s="1"/>
      <c r="E485" s="1"/>
      <c r="F485" s="1"/>
    </row>
    <row r="486" spans="3:6">
      <c r="C486" s="1"/>
      <c r="D486" s="1"/>
      <c r="E486" s="1"/>
      <c r="F486" s="1"/>
    </row>
    <row r="487" spans="3:6">
      <c r="C487" s="1"/>
      <c r="D487" s="1"/>
      <c r="E487" s="1"/>
      <c r="F487" s="1"/>
    </row>
    <row r="488" spans="3:6">
      <c r="C488" s="1"/>
      <c r="D488" s="1"/>
      <c r="E488" s="1"/>
      <c r="F488" s="1"/>
    </row>
    <row r="489" spans="3:6">
      <c r="C489" s="1"/>
      <c r="D489" s="1"/>
      <c r="E489" s="1"/>
      <c r="F489" s="1"/>
    </row>
    <row r="490" spans="3:6">
      <c r="C490" s="1"/>
      <c r="D490" s="1"/>
      <c r="E490" s="1"/>
      <c r="F490" s="1"/>
    </row>
    <row r="491" spans="3:6">
      <c r="C491" s="1"/>
      <c r="D491" s="1"/>
      <c r="E491" s="1"/>
      <c r="F491" s="1"/>
    </row>
    <row r="492" spans="3:6">
      <c r="C492" s="1"/>
      <c r="D492" s="1"/>
      <c r="E492" s="1"/>
      <c r="F492" s="1"/>
    </row>
    <row r="493" spans="3:6">
      <c r="C493" s="1"/>
      <c r="D493" s="1"/>
      <c r="E493" s="1"/>
      <c r="F493" s="1"/>
    </row>
    <row r="494" spans="3:6">
      <c r="C494" s="1"/>
      <c r="D494" s="1"/>
      <c r="E494" s="1"/>
      <c r="F494" s="1"/>
    </row>
    <row r="495" spans="3:6">
      <c r="C495" s="1"/>
      <c r="D495" s="1"/>
      <c r="E495" s="1"/>
      <c r="F495" s="1"/>
    </row>
    <row r="496" spans="3:6">
      <c r="C496" s="1"/>
      <c r="D496" s="1"/>
      <c r="E496" s="1"/>
      <c r="F496" s="1"/>
    </row>
    <row r="497" spans="3:6">
      <c r="C497" s="1"/>
      <c r="D497" s="1"/>
      <c r="E497" s="1"/>
      <c r="F497" s="1"/>
    </row>
    <row r="498" spans="3:6">
      <c r="C498" s="1"/>
      <c r="D498" s="1"/>
      <c r="E498" s="1"/>
      <c r="F498" s="1"/>
    </row>
    <row r="499" spans="3:6">
      <c r="C499" s="1"/>
      <c r="D499" s="1"/>
      <c r="E499" s="1"/>
      <c r="F499" s="1"/>
    </row>
    <row r="500" spans="3:6">
      <c r="C500" s="1"/>
      <c r="D500" s="1"/>
      <c r="E500" s="1"/>
      <c r="F500" s="1"/>
    </row>
    <row r="501" spans="3:6">
      <c r="C501" s="1"/>
      <c r="D501" s="1"/>
      <c r="E501" s="1"/>
      <c r="F501" s="1"/>
    </row>
    <row r="502" spans="3:6">
      <c r="C502" s="1"/>
      <c r="D502" s="1"/>
      <c r="E502" s="1"/>
      <c r="F502" s="1"/>
    </row>
    <row r="503" spans="3:6">
      <c r="C503" s="1"/>
      <c r="D503" s="1"/>
      <c r="E503" s="1"/>
      <c r="F503" s="1"/>
    </row>
    <row r="504" spans="3:6">
      <c r="C504" s="1"/>
      <c r="D504" s="1"/>
      <c r="E504" s="1"/>
      <c r="F504" s="1"/>
    </row>
    <row r="505" spans="3:6">
      <c r="C505" s="1"/>
      <c r="D505" s="1"/>
      <c r="E505" s="1"/>
      <c r="F505" s="1"/>
    </row>
    <row r="506" spans="3:6">
      <c r="C506" s="1"/>
      <c r="D506" s="1"/>
      <c r="E506" s="1"/>
      <c r="F506" s="1"/>
    </row>
    <row r="507" spans="3:6">
      <c r="C507" s="1"/>
      <c r="D507" s="1"/>
      <c r="E507" s="1"/>
      <c r="F507" s="1"/>
    </row>
    <row r="508" spans="3:6">
      <c r="C508" s="1"/>
      <c r="D508" s="1"/>
      <c r="E508" s="1"/>
      <c r="F508" s="1"/>
    </row>
    <row r="509" spans="3:6">
      <c r="C509" s="1"/>
      <c r="D509" s="1"/>
      <c r="E509" s="1"/>
      <c r="F509" s="1"/>
    </row>
    <row r="510" spans="3:6">
      <c r="C510" s="1"/>
      <c r="D510" s="1"/>
      <c r="E510" s="1"/>
      <c r="F510" s="1"/>
    </row>
    <row r="511" spans="3:6">
      <c r="C511" s="1"/>
      <c r="D511" s="1"/>
      <c r="E511" s="1"/>
      <c r="F511" s="1"/>
    </row>
    <row r="512" spans="3:6">
      <c r="C512" s="1"/>
      <c r="D512" s="1"/>
      <c r="E512" s="1"/>
      <c r="F512" s="1"/>
    </row>
    <row r="513" spans="3:6">
      <c r="C513" s="1"/>
      <c r="D513" s="1"/>
      <c r="E513" s="1"/>
      <c r="F513" s="1"/>
    </row>
    <row r="514" spans="3:6">
      <c r="C514" s="1"/>
      <c r="D514" s="1"/>
      <c r="E514" s="1"/>
      <c r="F514" s="1"/>
    </row>
    <row r="515" spans="3:6">
      <c r="C515" s="1"/>
      <c r="D515" s="1"/>
      <c r="E515" s="1"/>
      <c r="F515" s="1"/>
    </row>
    <row r="516" spans="3:6">
      <c r="C516" s="1"/>
      <c r="D516" s="1"/>
      <c r="E516" s="1"/>
      <c r="F516" s="1"/>
    </row>
    <row r="517" spans="3:6">
      <c r="C517" s="1"/>
      <c r="D517" s="1"/>
      <c r="E517" s="1"/>
      <c r="F517" s="1"/>
    </row>
    <row r="518" spans="3:6">
      <c r="C518" s="1"/>
      <c r="D518" s="1"/>
      <c r="E518" s="1"/>
      <c r="F518" s="1"/>
    </row>
    <row r="519" spans="3:6">
      <c r="C519" s="1"/>
      <c r="D519" s="1"/>
      <c r="E519" s="1"/>
      <c r="F519" s="1"/>
    </row>
    <row r="520" spans="3:6">
      <c r="C520" s="1"/>
      <c r="D520" s="1"/>
      <c r="E520" s="1"/>
      <c r="F520" s="1"/>
    </row>
    <row r="521" spans="3:6">
      <c r="C521" s="1"/>
      <c r="D521" s="1"/>
      <c r="E521" s="1"/>
      <c r="F521" s="1"/>
    </row>
    <row r="522" spans="3:6">
      <c r="C522" s="1"/>
      <c r="D522" s="1"/>
      <c r="E522" s="1"/>
      <c r="F522" s="1"/>
    </row>
    <row r="523" spans="3:6">
      <c r="C523" s="1"/>
      <c r="D523" s="1"/>
      <c r="E523" s="1"/>
      <c r="F523" s="1"/>
    </row>
    <row r="524" spans="3:6">
      <c r="C524" s="1"/>
      <c r="D524" s="1"/>
      <c r="E524" s="1"/>
      <c r="F524" s="1"/>
    </row>
    <row r="525" spans="3:6">
      <c r="C525" s="1"/>
      <c r="D525" s="1"/>
      <c r="E525" s="1"/>
      <c r="F525" s="1"/>
    </row>
    <row r="526" spans="3:6">
      <c r="C526" s="1"/>
      <c r="D526" s="1"/>
      <c r="E526" s="1"/>
      <c r="F526" s="1"/>
    </row>
    <row r="527" spans="3:6">
      <c r="C527" s="1"/>
      <c r="D527" s="1"/>
      <c r="E527" s="1"/>
      <c r="F527" s="1"/>
    </row>
    <row r="528" spans="3:6">
      <c r="C528" s="1"/>
      <c r="D528" s="1"/>
      <c r="E528" s="1"/>
      <c r="F528" s="1"/>
    </row>
    <row r="529" spans="3:6">
      <c r="C529" s="1"/>
      <c r="D529" s="1"/>
      <c r="E529" s="1"/>
      <c r="F529" s="1"/>
    </row>
    <row r="530" spans="3:6">
      <c r="C530" s="1"/>
      <c r="D530" s="1"/>
      <c r="E530" s="1"/>
      <c r="F530" s="1"/>
    </row>
    <row r="531" spans="3:6">
      <c r="C531" s="1"/>
      <c r="D531" s="1"/>
      <c r="E531" s="1"/>
      <c r="F531" s="1"/>
    </row>
    <row r="532" spans="3:6">
      <c r="C532" s="1"/>
      <c r="D532" s="1"/>
      <c r="E532" s="1"/>
      <c r="F532" s="1"/>
    </row>
    <row r="533" spans="3:6">
      <c r="C533" s="1"/>
      <c r="D533" s="1"/>
      <c r="E533" s="1"/>
      <c r="F533" s="1"/>
    </row>
    <row r="534" spans="3:6">
      <c r="C534" s="1"/>
      <c r="D534" s="1"/>
      <c r="E534" s="1"/>
      <c r="F534" s="1"/>
    </row>
    <row r="535" spans="3:6">
      <c r="C535" s="1"/>
      <c r="D535" s="1"/>
      <c r="E535" s="1"/>
      <c r="F535" s="1"/>
    </row>
    <row r="536" spans="3:6">
      <c r="C536" s="1"/>
      <c r="D536" s="1"/>
      <c r="E536" s="1"/>
      <c r="F536" s="1"/>
    </row>
    <row r="537" spans="3:6">
      <c r="C537" s="1"/>
      <c r="D537" s="1"/>
      <c r="E537" s="1"/>
      <c r="F537" s="1"/>
    </row>
    <row r="538" spans="3:6">
      <c r="C538" s="1"/>
      <c r="D538" s="1"/>
      <c r="E538" s="1"/>
      <c r="F538" s="1"/>
    </row>
    <row r="539" spans="3:6">
      <c r="C539" s="1"/>
      <c r="D539" s="1"/>
      <c r="E539" s="1"/>
      <c r="F539" s="1"/>
    </row>
    <row r="540" spans="3:6">
      <c r="C540" s="1"/>
      <c r="D540" s="1"/>
      <c r="E540" s="1"/>
      <c r="F540" s="1"/>
    </row>
    <row r="541" spans="3:6">
      <c r="C541" s="1"/>
      <c r="D541" s="1"/>
      <c r="E541" s="1"/>
      <c r="F541" s="1"/>
    </row>
    <row r="542" spans="3:6">
      <c r="C542" s="1"/>
      <c r="D542" s="1"/>
      <c r="E542" s="1"/>
      <c r="F542" s="1"/>
    </row>
    <row r="543" spans="3:6">
      <c r="C543" s="1"/>
      <c r="D543" s="1"/>
      <c r="E543" s="1"/>
      <c r="F543" s="1"/>
    </row>
    <row r="544" spans="3:6">
      <c r="C544" s="1"/>
      <c r="D544" s="1"/>
      <c r="E544" s="1"/>
      <c r="F544" s="1"/>
    </row>
    <row r="545" spans="3:6">
      <c r="C545" s="1"/>
      <c r="D545" s="1"/>
      <c r="E545" s="1"/>
      <c r="F545" s="1"/>
    </row>
    <row r="546" spans="3:6">
      <c r="C546" s="1"/>
      <c r="D546" s="1"/>
      <c r="E546" s="1"/>
      <c r="F546" s="1"/>
    </row>
    <row r="547" spans="3:6">
      <c r="C547" s="1"/>
      <c r="D547" s="1"/>
      <c r="E547" s="1"/>
      <c r="F547" s="1"/>
    </row>
    <row r="548" spans="3:6">
      <c r="C548" s="1"/>
      <c r="D548" s="1"/>
      <c r="E548" s="1"/>
      <c r="F548" s="1"/>
    </row>
    <row r="549" spans="3:6">
      <c r="C549" s="1"/>
      <c r="D549" s="1"/>
      <c r="E549" s="1"/>
      <c r="F549" s="1"/>
    </row>
    <row r="550" spans="3:6">
      <c r="C550" s="1"/>
      <c r="D550" s="1"/>
      <c r="E550" s="1"/>
      <c r="F550" s="1"/>
    </row>
    <row r="551" spans="3:6">
      <c r="C551" s="1"/>
      <c r="D551" s="1"/>
      <c r="E551" s="1"/>
      <c r="F551" s="1"/>
    </row>
    <row r="552" spans="3:6">
      <c r="C552" s="1"/>
      <c r="D552" s="1"/>
      <c r="E552" s="1"/>
      <c r="F552" s="1"/>
    </row>
    <row r="553" spans="3:6">
      <c r="C553" s="1"/>
      <c r="D553" s="1"/>
      <c r="E553" s="1"/>
      <c r="F553" s="1"/>
    </row>
    <row r="554" spans="3:6">
      <c r="C554" s="1"/>
      <c r="D554" s="1"/>
      <c r="E554" s="1"/>
      <c r="F554" s="1"/>
    </row>
    <row r="555" spans="3:6">
      <c r="C555" s="1"/>
      <c r="D555" s="1"/>
      <c r="E555" s="1"/>
      <c r="F555" s="1"/>
    </row>
    <row r="556" spans="3:6">
      <c r="C556" s="1"/>
      <c r="D556" s="1"/>
      <c r="E556" s="1"/>
      <c r="F556" s="1"/>
    </row>
    <row r="557" spans="3:6">
      <c r="C557" s="1"/>
      <c r="D557" s="1"/>
      <c r="E557" s="1"/>
      <c r="F557" s="1"/>
    </row>
    <row r="558" spans="3:6">
      <c r="C558" s="1"/>
      <c r="D558" s="1"/>
      <c r="E558" s="1"/>
      <c r="F558" s="1"/>
    </row>
    <row r="559" spans="3:6">
      <c r="C559" s="1"/>
      <c r="D559" s="1"/>
      <c r="E559" s="1"/>
      <c r="F559" s="1"/>
    </row>
    <row r="560" spans="3:6">
      <c r="C560" s="1"/>
      <c r="D560" s="1"/>
      <c r="E560" s="1"/>
      <c r="F560" s="1"/>
    </row>
    <row r="561" spans="3:6">
      <c r="C561" s="1"/>
      <c r="D561" s="1"/>
      <c r="E561" s="1"/>
      <c r="F561" s="1"/>
    </row>
    <row r="562" spans="3:6">
      <c r="C562" s="1"/>
      <c r="D562" s="1"/>
      <c r="E562" s="1"/>
      <c r="F562" s="1"/>
    </row>
    <row r="563" spans="3:6">
      <c r="C563" s="1"/>
      <c r="D563" s="1"/>
      <c r="E563" s="1"/>
      <c r="F563" s="1"/>
    </row>
    <row r="564" spans="3:6">
      <c r="C564" s="1"/>
      <c r="D564" s="1"/>
      <c r="E564" s="1"/>
      <c r="F564" s="1"/>
    </row>
    <row r="565" spans="3:6">
      <c r="C565" s="1"/>
      <c r="D565" s="1"/>
      <c r="E565" s="1"/>
      <c r="F565" s="1"/>
    </row>
    <row r="566" spans="3:6">
      <c r="C566" s="1"/>
      <c r="D566" s="1"/>
      <c r="E566" s="1"/>
      <c r="F566" s="1"/>
    </row>
    <row r="567" spans="3:6">
      <c r="C567" s="1"/>
      <c r="D567" s="1"/>
      <c r="E567" s="1"/>
      <c r="F567" s="1"/>
    </row>
    <row r="568" spans="3:6">
      <c r="C568" s="1"/>
      <c r="D568" s="1"/>
      <c r="E568" s="1"/>
      <c r="F568" s="1"/>
    </row>
    <row r="569" spans="3:6">
      <c r="C569" s="1"/>
      <c r="D569" s="1"/>
      <c r="E569" s="1"/>
      <c r="F569" s="1"/>
    </row>
    <row r="570" spans="3:6">
      <c r="C570" s="1"/>
      <c r="D570" s="1"/>
      <c r="E570" s="1"/>
      <c r="F570" s="1"/>
    </row>
    <row r="571" spans="3:6">
      <c r="C571" s="1"/>
      <c r="D571" s="1"/>
      <c r="E571" s="1"/>
      <c r="F571" s="1"/>
    </row>
    <row r="572" spans="3:6">
      <c r="C572" s="1"/>
      <c r="D572" s="1"/>
      <c r="E572" s="1"/>
      <c r="F572" s="1"/>
    </row>
    <row r="573" spans="3:6">
      <c r="C573" s="1"/>
      <c r="D573" s="1"/>
      <c r="E573" s="1"/>
      <c r="F573" s="1"/>
    </row>
    <row r="574" spans="3:6">
      <c r="C574" s="1"/>
      <c r="D574" s="1"/>
      <c r="E574" s="1"/>
      <c r="F574" s="1"/>
    </row>
    <row r="575" spans="3:6">
      <c r="C575" s="1"/>
      <c r="D575" s="1"/>
      <c r="E575" s="1"/>
      <c r="F575" s="1"/>
    </row>
    <row r="576" spans="3:6">
      <c r="C576" s="1"/>
      <c r="D576" s="1"/>
      <c r="E576" s="1"/>
      <c r="F576" s="1"/>
    </row>
    <row r="577" spans="3:6">
      <c r="C577" s="1"/>
      <c r="D577" s="1"/>
      <c r="E577" s="1"/>
      <c r="F577" s="1"/>
    </row>
    <row r="578" spans="3:6">
      <c r="C578" s="1"/>
      <c r="D578" s="1"/>
      <c r="E578" s="1"/>
      <c r="F578" s="1"/>
    </row>
    <row r="579" spans="3:6">
      <c r="C579" s="1"/>
      <c r="D579" s="1"/>
      <c r="E579" s="1"/>
      <c r="F579" s="1"/>
    </row>
    <row r="580" spans="3:6">
      <c r="C580" s="1"/>
      <c r="D580" s="1"/>
      <c r="E580" s="1"/>
      <c r="F580" s="1"/>
    </row>
    <row r="581" spans="3:6">
      <c r="C581" s="1"/>
      <c r="D581" s="1"/>
      <c r="E581" s="1"/>
      <c r="F581" s="1"/>
    </row>
    <row r="582" spans="3:6">
      <c r="C582" s="1"/>
      <c r="D582" s="1"/>
      <c r="E582" s="1"/>
      <c r="F582" s="1"/>
    </row>
    <row r="583" spans="3:6">
      <c r="C583" s="1"/>
      <c r="D583" s="1"/>
      <c r="E583" s="1"/>
      <c r="F583" s="1"/>
    </row>
    <row r="584" spans="3:6">
      <c r="C584" s="1"/>
      <c r="D584" s="1"/>
      <c r="E584" s="1"/>
      <c r="F584" s="1"/>
    </row>
    <row r="585" spans="3:6">
      <c r="C585" s="1"/>
      <c r="D585" s="1"/>
      <c r="E585" s="1"/>
      <c r="F585" s="1"/>
    </row>
    <row r="586" spans="3:6">
      <c r="C586" s="1"/>
      <c r="D586" s="1"/>
      <c r="E586" s="1"/>
      <c r="F586" s="1"/>
    </row>
    <row r="587" spans="3:6">
      <c r="C587" s="1"/>
      <c r="D587" s="1"/>
      <c r="E587" s="1"/>
      <c r="F587" s="1"/>
    </row>
    <row r="588" spans="3:6">
      <c r="C588" s="1"/>
      <c r="D588" s="1"/>
      <c r="E588" s="1"/>
      <c r="F588" s="1"/>
    </row>
    <row r="589" spans="3:6">
      <c r="C589" s="1"/>
      <c r="D589" s="1"/>
      <c r="E589" s="1"/>
      <c r="F589" s="1"/>
    </row>
    <row r="590" spans="3:6">
      <c r="C590" s="1"/>
      <c r="D590" s="1"/>
      <c r="E590" s="1"/>
      <c r="F590" s="1"/>
    </row>
    <row r="591" spans="3:6">
      <c r="C591" s="1"/>
      <c r="D591" s="1"/>
      <c r="E591" s="1"/>
      <c r="F591" s="1"/>
    </row>
    <row r="592" spans="3:6">
      <c r="C592" s="1"/>
      <c r="D592" s="1"/>
      <c r="E592" s="1"/>
      <c r="F592" s="1"/>
    </row>
    <row r="593" spans="3:6">
      <c r="C593" s="1"/>
      <c r="D593" s="1"/>
      <c r="E593" s="1"/>
      <c r="F593" s="1"/>
    </row>
    <row r="594" spans="3:6">
      <c r="C594" s="1"/>
      <c r="D594" s="1"/>
      <c r="E594" s="1"/>
      <c r="F594" s="1"/>
    </row>
    <row r="595" spans="3:6">
      <c r="C595" s="1"/>
      <c r="D595" s="1"/>
      <c r="E595" s="1"/>
      <c r="F595" s="1"/>
    </row>
    <row r="596" spans="3:6">
      <c r="C596" s="1"/>
      <c r="D596" s="1"/>
      <c r="E596" s="1"/>
      <c r="F596" s="1"/>
    </row>
    <row r="597" spans="3:6">
      <c r="C597" s="1"/>
      <c r="D597" s="1"/>
      <c r="E597" s="1"/>
      <c r="F597" s="1"/>
    </row>
    <row r="598" spans="3:6">
      <c r="C598" s="1"/>
      <c r="D598" s="1"/>
      <c r="E598" s="1"/>
      <c r="F598" s="1"/>
    </row>
    <row r="599" spans="3:6">
      <c r="C599" s="1"/>
      <c r="D599" s="1"/>
      <c r="E599" s="1"/>
      <c r="F599" s="1"/>
    </row>
    <row r="600" spans="3:6">
      <c r="C600" s="1"/>
      <c r="D600" s="1"/>
      <c r="E600" s="1"/>
      <c r="F600" s="1"/>
    </row>
    <row r="601" spans="3:6">
      <c r="C601" s="1"/>
      <c r="D601" s="1"/>
      <c r="E601" s="1"/>
      <c r="F601" s="1"/>
    </row>
    <row r="602" spans="3:6">
      <c r="C602" s="1"/>
      <c r="D602" s="1"/>
      <c r="E602" s="1"/>
      <c r="F602" s="1"/>
    </row>
    <row r="603" spans="3:6">
      <c r="C603" s="1"/>
      <c r="D603" s="1"/>
      <c r="E603" s="1"/>
      <c r="F603" s="1"/>
    </row>
    <row r="604" spans="3:6">
      <c r="C604" s="1"/>
      <c r="D604" s="1"/>
      <c r="E604" s="1"/>
      <c r="F604" s="1"/>
    </row>
    <row r="605" spans="3:6">
      <c r="C605" s="1"/>
      <c r="D605" s="1"/>
      <c r="E605" s="1"/>
      <c r="F605" s="1"/>
    </row>
    <row r="606" spans="3:6">
      <c r="C606" s="1"/>
      <c r="D606" s="1"/>
      <c r="E606" s="1"/>
      <c r="F606" s="1"/>
    </row>
    <row r="607" spans="3:6">
      <c r="C607" s="1"/>
      <c r="D607" s="1"/>
      <c r="E607" s="1"/>
      <c r="F607" s="1"/>
    </row>
    <row r="608" spans="3:6">
      <c r="C608" s="1"/>
      <c r="D608" s="1"/>
      <c r="E608" s="1"/>
      <c r="F608" s="1"/>
    </row>
    <row r="609" spans="3:6">
      <c r="C609" s="1"/>
      <c r="D609" s="1"/>
      <c r="E609" s="1"/>
      <c r="F609" s="1"/>
    </row>
    <row r="610" spans="3:6">
      <c r="C610" s="1"/>
      <c r="D610" s="1"/>
      <c r="E610" s="1"/>
      <c r="F610" s="1"/>
    </row>
    <row r="611" spans="3:6">
      <c r="C611" s="1"/>
      <c r="D611" s="1"/>
      <c r="E611" s="1"/>
      <c r="F611" s="1"/>
    </row>
    <row r="612" spans="3:6">
      <c r="C612" s="1"/>
      <c r="D612" s="1"/>
      <c r="E612" s="1"/>
      <c r="F612" s="1"/>
    </row>
    <row r="613" spans="3:6">
      <c r="C613" s="1"/>
      <c r="D613" s="1"/>
      <c r="E613" s="1"/>
      <c r="F613" s="1"/>
    </row>
    <row r="614" spans="3:6">
      <c r="C614" s="1"/>
      <c r="D614" s="1"/>
      <c r="E614" s="1"/>
      <c r="F614" s="1"/>
    </row>
    <row r="615" spans="3:6">
      <c r="C615" s="1"/>
      <c r="D615" s="1"/>
      <c r="E615" s="1"/>
      <c r="F615" s="1"/>
    </row>
    <row r="616" spans="3:6">
      <c r="C616" s="1"/>
      <c r="D616" s="1"/>
      <c r="E616" s="1"/>
      <c r="F616" s="1"/>
    </row>
    <row r="617" spans="3:6">
      <c r="C617" s="1"/>
      <c r="D617" s="1"/>
      <c r="E617" s="1"/>
      <c r="F617" s="1"/>
    </row>
    <row r="618" spans="3:6">
      <c r="C618" s="1"/>
      <c r="D618" s="1"/>
      <c r="E618" s="1"/>
      <c r="F618" s="1"/>
    </row>
    <row r="619" spans="3:6">
      <c r="C619" s="1"/>
      <c r="D619" s="1"/>
      <c r="E619" s="1"/>
      <c r="F619" s="1"/>
    </row>
    <row r="620" spans="3:6">
      <c r="C620" s="1"/>
      <c r="D620" s="1"/>
      <c r="E620" s="1"/>
      <c r="F620" s="1"/>
    </row>
    <row r="621" spans="3:6">
      <c r="C621" s="1"/>
      <c r="D621" s="1"/>
      <c r="E621" s="1"/>
      <c r="F621" s="1"/>
    </row>
    <row r="622" spans="3:6">
      <c r="C622" s="1"/>
      <c r="D622" s="1"/>
      <c r="E622" s="1"/>
      <c r="F622" s="1"/>
    </row>
    <row r="623" spans="3:6">
      <c r="C623" s="1"/>
      <c r="D623" s="1"/>
      <c r="E623" s="1"/>
      <c r="F623" s="1"/>
    </row>
    <row r="624" spans="3:6">
      <c r="C624" s="1"/>
      <c r="D624" s="1"/>
      <c r="E624" s="1"/>
      <c r="F624" s="1"/>
    </row>
    <row r="625" spans="3:6">
      <c r="C625" s="1"/>
      <c r="D625" s="1"/>
      <c r="E625" s="1"/>
      <c r="F625" s="1"/>
    </row>
    <row r="626" spans="3:6">
      <c r="C626" s="1"/>
      <c r="D626" s="1"/>
      <c r="E626" s="1"/>
      <c r="F626" s="1"/>
    </row>
    <row r="627" spans="3:6">
      <c r="C627" s="1"/>
      <c r="D627" s="1"/>
      <c r="E627" s="1"/>
      <c r="F627" s="1"/>
    </row>
    <row r="628" spans="3:6">
      <c r="C628" s="1"/>
      <c r="D628" s="1"/>
      <c r="E628" s="1"/>
      <c r="F628" s="1"/>
    </row>
    <row r="629" spans="3:6">
      <c r="C629" s="1"/>
      <c r="D629" s="1"/>
      <c r="E629" s="1"/>
      <c r="F629" s="1"/>
    </row>
    <row r="630" spans="3:6">
      <c r="C630" s="1"/>
      <c r="D630" s="1"/>
      <c r="E630" s="1"/>
      <c r="F630" s="1"/>
    </row>
    <row r="631" spans="3:6">
      <c r="C631" s="1"/>
      <c r="D631" s="1"/>
      <c r="E631" s="1"/>
      <c r="F631" s="1"/>
    </row>
    <row r="632" spans="3:6">
      <c r="C632" s="1"/>
      <c r="D632" s="1"/>
      <c r="E632" s="1"/>
      <c r="F632" s="1"/>
    </row>
    <row r="633" spans="3:6">
      <c r="C633" s="1"/>
      <c r="D633" s="1"/>
      <c r="E633" s="1"/>
      <c r="F633" s="1"/>
    </row>
    <row r="634" spans="3:6">
      <c r="C634" s="1"/>
      <c r="D634" s="1"/>
      <c r="E634" s="1"/>
      <c r="F634" s="1"/>
    </row>
    <row r="635" spans="3:6">
      <c r="C635" s="1"/>
      <c r="D635" s="1"/>
      <c r="E635" s="1"/>
      <c r="F635" s="1"/>
    </row>
    <row r="636" spans="3:6">
      <c r="C636" s="1"/>
      <c r="D636" s="1"/>
      <c r="E636" s="1"/>
      <c r="F636" s="1"/>
    </row>
    <row r="637" spans="3:6">
      <c r="C637" s="1"/>
      <c r="D637" s="1"/>
      <c r="E637" s="1"/>
      <c r="F637" s="1"/>
    </row>
    <row r="638" spans="3:6">
      <c r="C638" s="1"/>
      <c r="D638" s="1"/>
      <c r="E638" s="1"/>
      <c r="F638" s="1"/>
    </row>
    <row r="639" spans="3:6">
      <c r="C639" s="1"/>
      <c r="D639" s="1"/>
      <c r="E639" s="1"/>
      <c r="F639" s="1"/>
    </row>
    <row r="640" spans="3:6">
      <c r="C640" s="1"/>
      <c r="D640" s="1"/>
      <c r="E640" s="1"/>
      <c r="F640" s="1"/>
    </row>
    <row r="641" spans="3:6">
      <c r="C641" s="1"/>
      <c r="D641" s="1"/>
      <c r="E641" s="1"/>
      <c r="F641" s="1"/>
    </row>
    <row r="642" spans="3:6">
      <c r="C642" s="1"/>
      <c r="D642" s="1"/>
      <c r="E642" s="1"/>
      <c r="F642" s="1"/>
    </row>
    <row r="643" spans="3:6">
      <c r="C643" s="1"/>
      <c r="D643" s="1"/>
      <c r="E643" s="1"/>
      <c r="F643" s="1"/>
    </row>
    <row r="644" spans="3:6">
      <c r="C644" s="1"/>
      <c r="D644" s="1"/>
      <c r="E644" s="1"/>
      <c r="F644" s="1"/>
    </row>
    <row r="645" spans="3:6">
      <c r="C645" s="1"/>
      <c r="D645" s="1"/>
      <c r="E645" s="1"/>
      <c r="F645" s="1"/>
    </row>
    <row r="646" spans="3:6">
      <c r="C646" s="1"/>
      <c r="D646" s="1"/>
      <c r="E646" s="1"/>
      <c r="F646" s="1"/>
    </row>
    <row r="647" spans="3:6">
      <c r="C647" s="1"/>
      <c r="D647" s="1"/>
      <c r="E647" s="1"/>
      <c r="F647" s="1"/>
    </row>
    <row r="648" spans="3:6">
      <c r="C648" s="1"/>
      <c r="D648" s="1"/>
      <c r="E648" s="1"/>
      <c r="F648" s="1"/>
    </row>
    <row r="649" spans="3:6">
      <c r="C649" s="1"/>
      <c r="D649" s="1"/>
      <c r="E649" s="1"/>
      <c r="F649" s="1"/>
    </row>
    <row r="650" spans="3:6">
      <c r="C650" s="1"/>
      <c r="D650" s="1"/>
      <c r="E650" s="1"/>
      <c r="F650" s="1"/>
    </row>
    <row r="651" spans="3:6">
      <c r="C651" s="1"/>
      <c r="D651" s="1"/>
      <c r="E651" s="1"/>
      <c r="F651" s="1"/>
    </row>
    <row r="652" spans="3:6">
      <c r="C652" s="1"/>
      <c r="D652" s="1"/>
      <c r="E652" s="1"/>
      <c r="F652" s="1"/>
    </row>
    <row r="653" spans="3:6">
      <c r="C653" s="1"/>
      <c r="D653" s="1"/>
      <c r="E653" s="1"/>
      <c r="F653" s="1"/>
    </row>
    <row r="654" spans="3:6">
      <c r="C654" s="1"/>
      <c r="D654" s="1"/>
      <c r="E654" s="1"/>
      <c r="F654" s="1"/>
    </row>
    <row r="655" spans="3:6">
      <c r="C655" s="1"/>
      <c r="D655" s="1"/>
      <c r="E655" s="1"/>
      <c r="F655" s="1"/>
    </row>
    <row r="656" spans="3:6">
      <c r="C656" s="1"/>
      <c r="D656" s="1"/>
      <c r="E656" s="1"/>
      <c r="F656" s="1"/>
    </row>
    <row r="657" spans="3:6">
      <c r="C657" s="1"/>
      <c r="D657" s="1"/>
      <c r="E657" s="1"/>
      <c r="F657" s="1"/>
    </row>
    <row r="658" spans="3:6">
      <c r="C658" s="1"/>
      <c r="D658" s="1"/>
      <c r="E658" s="1"/>
      <c r="F658" s="1"/>
    </row>
    <row r="659" spans="3:6">
      <c r="C659" s="1"/>
      <c r="D659" s="1"/>
      <c r="E659" s="1"/>
      <c r="F659" s="1"/>
    </row>
    <row r="660" spans="3:6">
      <c r="C660" s="1"/>
      <c r="D660" s="1"/>
      <c r="E660" s="1"/>
      <c r="F660" s="1"/>
    </row>
    <row r="661" spans="3:6">
      <c r="C661" s="1"/>
      <c r="D661" s="1"/>
      <c r="E661" s="1"/>
      <c r="F661" s="1"/>
    </row>
    <row r="662" spans="3:6">
      <c r="C662" s="1"/>
      <c r="D662" s="1"/>
      <c r="E662" s="1"/>
      <c r="F662" s="1"/>
    </row>
    <row r="663" spans="3:6">
      <c r="C663" s="1"/>
      <c r="D663" s="1"/>
      <c r="E663" s="1"/>
      <c r="F663" s="1"/>
    </row>
    <row r="664" spans="3:6">
      <c r="C664" s="1"/>
      <c r="D664" s="1"/>
      <c r="E664" s="1"/>
      <c r="F664" s="1"/>
    </row>
    <row r="665" spans="3:6">
      <c r="C665" s="1"/>
      <c r="D665" s="1"/>
      <c r="E665" s="1"/>
      <c r="F665" s="1"/>
    </row>
    <row r="666" spans="3:6">
      <c r="C666" s="1"/>
      <c r="D666" s="1"/>
      <c r="E666" s="1"/>
      <c r="F666" s="1"/>
    </row>
    <row r="667" spans="3:6">
      <c r="C667" s="1"/>
      <c r="D667" s="1"/>
      <c r="E667" s="1"/>
      <c r="F667" s="1"/>
    </row>
    <row r="668" spans="3:6">
      <c r="C668" s="1"/>
      <c r="D668" s="1"/>
      <c r="E668" s="1"/>
      <c r="F668" s="1"/>
    </row>
    <row r="669" spans="3:6">
      <c r="C669" s="1"/>
      <c r="D669" s="1"/>
      <c r="E669" s="1"/>
      <c r="F669" s="1"/>
    </row>
    <row r="670" spans="3:6">
      <c r="C670" s="1"/>
      <c r="D670" s="1"/>
      <c r="E670" s="1"/>
      <c r="F670" s="1"/>
    </row>
    <row r="671" spans="3:6">
      <c r="C671" s="1"/>
      <c r="D671" s="1"/>
      <c r="E671" s="1"/>
      <c r="F671" s="1"/>
    </row>
    <row r="672" spans="3:6">
      <c r="C672" s="1"/>
      <c r="D672" s="1"/>
      <c r="E672" s="1"/>
      <c r="F672" s="1"/>
    </row>
    <row r="673" spans="3:6">
      <c r="C673" s="1"/>
      <c r="D673" s="1"/>
      <c r="E673" s="1"/>
      <c r="F673" s="1"/>
    </row>
    <row r="674" spans="3:6">
      <c r="C674" s="1"/>
      <c r="D674" s="1"/>
      <c r="E674" s="1"/>
      <c r="F674" s="1"/>
    </row>
    <row r="675" spans="3:6">
      <c r="C675" s="1"/>
      <c r="D675" s="1"/>
      <c r="E675" s="1"/>
      <c r="F675" s="1"/>
    </row>
    <row r="676" spans="3:6">
      <c r="C676" s="1"/>
      <c r="D676" s="1"/>
      <c r="E676" s="1"/>
      <c r="F676" s="1"/>
    </row>
    <row r="677" spans="3:6">
      <c r="C677" s="1"/>
      <c r="D677" s="1"/>
      <c r="E677" s="1"/>
      <c r="F677" s="1"/>
    </row>
    <row r="678" spans="3:6">
      <c r="C678" s="1"/>
      <c r="D678" s="1"/>
      <c r="E678" s="1"/>
      <c r="F678" s="1"/>
    </row>
    <row r="679" spans="3:6">
      <c r="C679" s="1"/>
      <c r="D679" s="1"/>
      <c r="E679" s="1"/>
      <c r="F679" s="1"/>
    </row>
    <row r="680" spans="3:6">
      <c r="C680" s="1"/>
      <c r="D680" s="1"/>
      <c r="E680" s="1"/>
      <c r="F680" s="1"/>
    </row>
    <row r="681" spans="3:6">
      <c r="C681" s="1"/>
      <c r="D681" s="1"/>
      <c r="E681" s="1"/>
      <c r="F681" s="1"/>
    </row>
    <row r="682" spans="3:6">
      <c r="C682" s="1"/>
      <c r="D682" s="1"/>
      <c r="E682" s="1"/>
      <c r="F682" s="1"/>
    </row>
    <row r="683" spans="3:6">
      <c r="C683" s="1"/>
      <c r="D683" s="1"/>
      <c r="E683" s="1"/>
      <c r="F683" s="1"/>
    </row>
    <row r="684" spans="3:6">
      <c r="C684" s="1"/>
      <c r="D684" s="1"/>
      <c r="E684" s="1"/>
      <c r="F684" s="1"/>
    </row>
    <row r="685" spans="3:6">
      <c r="C685" s="1"/>
      <c r="D685" s="1"/>
      <c r="E685" s="1"/>
      <c r="F685" s="1"/>
    </row>
    <row r="686" spans="3:6">
      <c r="C686" s="1"/>
      <c r="D686" s="1"/>
      <c r="E686" s="1"/>
      <c r="F686" s="1"/>
    </row>
    <row r="687" spans="3:6">
      <c r="C687" s="1"/>
      <c r="D687" s="1"/>
      <c r="E687" s="1"/>
      <c r="F687" s="1"/>
    </row>
    <row r="688" spans="3:6">
      <c r="C688" s="1"/>
      <c r="D688" s="1"/>
      <c r="E688" s="1"/>
      <c r="F688" s="1"/>
    </row>
    <row r="689" spans="3:6">
      <c r="C689" s="1"/>
      <c r="D689" s="1"/>
      <c r="E689" s="1"/>
      <c r="F689" s="1"/>
    </row>
    <row r="690" spans="3:6">
      <c r="C690" s="1"/>
      <c r="D690" s="1"/>
      <c r="E690" s="1"/>
      <c r="F690" s="1"/>
    </row>
    <row r="691" spans="3:6">
      <c r="C691" s="1"/>
      <c r="D691" s="1"/>
      <c r="E691" s="1"/>
      <c r="F691" s="1"/>
    </row>
    <row r="692" spans="3:6">
      <c r="C692" s="1"/>
      <c r="D692" s="1"/>
      <c r="E692" s="1"/>
      <c r="F692" s="1"/>
    </row>
    <row r="693" spans="3:6">
      <c r="C693" s="1"/>
      <c r="D693" s="1"/>
      <c r="E693" s="1"/>
      <c r="F693" s="1"/>
    </row>
    <row r="694" spans="3:6">
      <c r="C694" s="1"/>
      <c r="D694" s="1"/>
      <c r="E694" s="1"/>
      <c r="F694" s="1"/>
    </row>
    <row r="695" spans="3:6">
      <c r="C695" s="1"/>
      <c r="D695" s="1"/>
      <c r="E695" s="1"/>
      <c r="F695" s="1"/>
    </row>
    <row r="696" spans="3:6">
      <c r="C696" s="1"/>
      <c r="D696" s="1"/>
      <c r="E696" s="1"/>
      <c r="F696" s="1"/>
    </row>
    <row r="697" spans="3:6">
      <c r="C697" s="1"/>
      <c r="D697" s="1"/>
      <c r="E697" s="1"/>
      <c r="F697" s="1"/>
    </row>
    <row r="698" spans="3:6">
      <c r="C698" s="1"/>
      <c r="D698" s="1"/>
      <c r="E698" s="1"/>
      <c r="F698" s="1"/>
    </row>
    <row r="699" spans="3:6">
      <c r="C699" s="1"/>
      <c r="D699" s="1"/>
      <c r="E699" s="1"/>
      <c r="F699" s="1"/>
    </row>
    <row r="700" spans="3:6">
      <c r="C700" s="1"/>
      <c r="D700" s="1"/>
      <c r="E700" s="1"/>
      <c r="F700" s="1"/>
    </row>
    <row r="701" spans="3:6">
      <c r="C701" s="1"/>
      <c r="D701" s="1"/>
      <c r="E701" s="1"/>
      <c r="F701" s="1"/>
    </row>
    <row r="702" spans="3:6">
      <c r="C702" s="1"/>
      <c r="D702" s="1"/>
      <c r="E702" s="1"/>
      <c r="F702" s="1"/>
    </row>
    <row r="703" spans="3:6">
      <c r="C703" s="1"/>
      <c r="D703" s="1"/>
      <c r="E703" s="1"/>
      <c r="F703" s="1"/>
    </row>
    <row r="704" spans="3:6">
      <c r="C704" s="1"/>
      <c r="D704" s="1"/>
      <c r="E704" s="1"/>
      <c r="F704" s="1"/>
    </row>
    <row r="705" spans="3:6">
      <c r="C705" s="1"/>
      <c r="D705" s="1"/>
      <c r="E705" s="1"/>
      <c r="F705" s="1"/>
    </row>
    <row r="706" spans="3:6">
      <c r="C706" s="1"/>
      <c r="D706" s="1"/>
      <c r="E706" s="1"/>
      <c r="F706" s="1"/>
    </row>
    <row r="707" spans="3:6">
      <c r="C707" s="1"/>
      <c r="D707" s="1"/>
      <c r="E707" s="1"/>
      <c r="F707" s="1"/>
    </row>
    <row r="708" spans="3:6">
      <c r="C708" s="1"/>
      <c r="D708" s="1"/>
      <c r="E708" s="1"/>
      <c r="F708" s="1"/>
    </row>
    <row r="709" spans="3:6">
      <c r="C709" s="1"/>
      <c r="D709" s="1"/>
      <c r="E709" s="1"/>
      <c r="F709" s="1"/>
    </row>
    <row r="710" spans="3:6">
      <c r="C710" s="1"/>
      <c r="D710" s="1"/>
      <c r="E710" s="1"/>
      <c r="F710" s="1"/>
    </row>
    <row r="711" spans="3:6">
      <c r="C711" s="1"/>
      <c r="D711" s="1"/>
      <c r="E711" s="1"/>
      <c r="F711" s="1"/>
    </row>
    <row r="712" spans="3:6">
      <c r="C712" s="1"/>
      <c r="D712" s="1"/>
      <c r="E712" s="1"/>
      <c r="F712" s="1"/>
    </row>
    <row r="713" spans="3:6">
      <c r="C713" s="1"/>
      <c r="D713" s="1"/>
      <c r="E713" s="1"/>
      <c r="F713" s="1"/>
    </row>
    <row r="714" spans="3:6">
      <c r="C714" s="1"/>
      <c r="D714" s="1"/>
      <c r="E714" s="1"/>
      <c r="F714" s="1"/>
    </row>
    <row r="715" spans="3:6">
      <c r="C715" s="1"/>
      <c r="D715" s="1"/>
      <c r="E715" s="1"/>
      <c r="F715" s="1"/>
    </row>
    <row r="716" spans="3:6">
      <c r="C716" s="1"/>
      <c r="D716" s="1"/>
      <c r="E716" s="1"/>
      <c r="F716" s="1"/>
    </row>
    <row r="717" spans="3:6">
      <c r="C717" s="1"/>
      <c r="D717" s="1"/>
      <c r="E717" s="1"/>
      <c r="F717" s="1"/>
    </row>
    <row r="718" spans="3:6">
      <c r="C718" s="1"/>
      <c r="D718" s="1"/>
      <c r="E718" s="1"/>
      <c r="F718" s="1"/>
    </row>
    <row r="719" spans="3:6">
      <c r="C719" s="1"/>
      <c r="D719" s="1"/>
      <c r="E719" s="1"/>
      <c r="F719" s="1"/>
    </row>
    <row r="720" spans="3:6">
      <c r="C720" s="1"/>
      <c r="D720" s="1"/>
      <c r="E720" s="1"/>
      <c r="F720" s="1"/>
    </row>
    <row r="721" spans="3:6">
      <c r="C721" s="1"/>
      <c r="D721" s="1"/>
      <c r="E721" s="1"/>
      <c r="F721" s="1"/>
    </row>
    <row r="722" spans="3:6">
      <c r="C722" s="1"/>
      <c r="D722" s="1"/>
      <c r="E722" s="1"/>
      <c r="F722" s="1"/>
    </row>
    <row r="723" spans="3:6">
      <c r="C723" s="1"/>
      <c r="D723" s="1"/>
      <c r="E723" s="1"/>
      <c r="F723" s="1"/>
    </row>
    <row r="724" spans="3:6">
      <c r="C724" s="1"/>
      <c r="D724" s="1"/>
      <c r="E724" s="1"/>
      <c r="F724" s="1"/>
    </row>
    <row r="725" spans="3:6">
      <c r="C725" s="1"/>
      <c r="D725" s="1"/>
      <c r="E725" s="1"/>
      <c r="F725" s="1"/>
    </row>
    <row r="726" spans="3:6">
      <c r="C726" s="1"/>
      <c r="D726" s="1"/>
      <c r="E726" s="1"/>
      <c r="F726" s="1"/>
    </row>
    <row r="727" spans="3:6">
      <c r="C727" s="1"/>
      <c r="D727" s="1"/>
      <c r="E727" s="1"/>
      <c r="F727" s="1"/>
    </row>
    <row r="728" spans="3:6">
      <c r="C728" s="1"/>
      <c r="D728" s="1"/>
      <c r="E728" s="1"/>
      <c r="F728" s="1"/>
    </row>
    <row r="729" spans="3:6">
      <c r="C729" s="1"/>
      <c r="D729" s="1"/>
      <c r="E729" s="1"/>
      <c r="F729" s="1"/>
    </row>
    <row r="730" spans="3:6">
      <c r="C730" s="1"/>
      <c r="D730" s="1"/>
      <c r="E730" s="1"/>
      <c r="F730" s="1"/>
    </row>
    <row r="731" spans="3:6">
      <c r="C731" s="1"/>
      <c r="D731" s="1"/>
      <c r="E731" s="1"/>
      <c r="F731" s="1"/>
    </row>
    <row r="732" spans="3:6">
      <c r="C732" s="1"/>
      <c r="D732" s="1"/>
      <c r="E732" s="1"/>
      <c r="F732" s="1"/>
    </row>
    <row r="733" spans="3:6">
      <c r="C733" s="1"/>
      <c r="D733" s="1"/>
      <c r="E733" s="1"/>
      <c r="F733" s="1"/>
    </row>
    <row r="734" spans="3:6">
      <c r="C734" s="1"/>
      <c r="D734" s="1"/>
      <c r="E734" s="1"/>
      <c r="F734" s="1"/>
    </row>
    <row r="735" spans="3:6">
      <c r="C735" s="1"/>
      <c r="D735" s="1"/>
      <c r="E735" s="1"/>
      <c r="F735" s="1"/>
    </row>
    <row r="736" spans="3:6">
      <c r="C736" s="1"/>
      <c r="D736" s="1"/>
      <c r="E736" s="1"/>
      <c r="F736" s="1"/>
    </row>
    <row r="737" spans="3:6">
      <c r="C737" s="1"/>
      <c r="D737" s="1"/>
      <c r="E737" s="1"/>
      <c r="F737" s="1"/>
    </row>
    <row r="738" spans="3:6">
      <c r="C738" s="1"/>
      <c r="D738" s="1"/>
      <c r="E738" s="1"/>
      <c r="F738" s="1"/>
    </row>
    <row r="739" spans="3:6">
      <c r="C739" s="1"/>
      <c r="D739" s="1"/>
      <c r="E739" s="1"/>
      <c r="F739" s="1"/>
    </row>
    <row r="740" spans="3:6">
      <c r="C740" s="1"/>
      <c r="D740" s="1"/>
      <c r="E740" s="1"/>
      <c r="F740" s="1"/>
    </row>
    <row r="741" spans="3:6">
      <c r="C741" s="1"/>
      <c r="D741" s="1"/>
      <c r="E741" s="1"/>
      <c r="F741" s="1"/>
    </row>
    <row r="742" spans="3:6">
      <c r="C742" s="1"/>
      <c r="D742" s="1"/>
      <c r="E742" s="1"/>
      <c r="F742" s="1"/>
    </row>
    <row r="743" spans="3:6">
      <c r="C743" s="1"/>
      <c r="D743" s="1"/>
      <c r="E743" s="1"/>
      <c r="F743" s="1"/>
    </row>
    <row r="744" spans="3:6">
      <c r="C744" s="1"/>
      <c r="D744" s="1"/>
      <c r="E744" s="1"/>
      <c r="F744" s="1"/>
    </row>
    <row r="745" spans="3:6">
      <c r="C745" s="1"/>
      <c r="D745" s="1"/>
      <c r="E745" s="1"/>
      <c r="F745" s="1"/>
    </row>
    <row r="746" spans="3:6">
      <c r="C746" s="1"/>
      <c r="D746" s="1"/>
      <c r="E746" s="1"/>
      <c r="F746" s="1"/>
    </row>
    <row r="747" spans="3:6">
      <c r="C747" s="1"/>
      <c r="D747" s="1"/>
      <c r="E747" s="1"/>
      <c r="F747" s="1"/>
    </row>
    <row r="748" spans="3:6">
      <c r="C748" s="1"/>
      <c r="D748" s="1"/>
      <c r="E748" s="1"/>
      <c r="F748" s="1"/>
    </row>
    <row r="749" spans="3:6">
      <c r="C749" s="1"/>
      <c r="D749" s="1"/>
      <c r="E749" s="1"/>
      <c r="F749" s="1"/>
    </row>
    <row r="750" spans="3:6">
      <c r="C750" s="1"/>
      <c r="D750" s="1"/>
      <c r="E750" s="1"/>
      <c r="F750" s="1"/>
    </row>
    <row r="751" spans="3:6">
      <c r="C751" s="1"/>
      <c r="D751" s="1"/>
      <c r="E751" s="1"/>
      <c r="F751" s="1"/>
    </row>
    <row r="752" spans="3:6">
      <c r="C752" s="1"/>
      <c r="D752" s="1"/>
      <c r="E752" s="1"/>
      <c r="F752" s="1"/>
    </row>
    <row r="753" spans="3:6">
      <c r="C753" s="1"/>
      <c r="D753" s="1"/>
      <c r="E753" s="1"/>
      <c r="F753" s="1"/>
    </row>
    <row r="754" spans="3:6">
      <c r="C754" s="1"/>
      <c r="D754" s="1"/>
      <c r="E754" s="1"/>
      <c r="F754" s="1"/>
    </row>
    <row r="755" spans="3:6">
      <c r="C755" s="1"/>
      <c r="D755" s="1"/>
      <c r="E755" s="1"/>
      <c r="F755" s="1"/>
    </row>
    <row r="756" spans="3:6">
      <c r="C756" s="1"/>
      <c r="D756" s="1"/>
      <c r="E756" s="1"/>
      <c r="F756" s="1"/>
    </row>
    <row r="757" spans="3:6">
      <c r="C757" s="1"/>
      <c r="D757" s="1"/>
      <c r="E757" s="1"/>
      <c r="F757" s="1"/>
    </row>
    <row r="758" spans="3:6">
      <c r="C758" s="1"/>
      <c r="D758" s="1"/>
      <c r="E758" s="1"/>
      <c r="F758" s="1"/>
    </row>
    <row r="759" spans="3:6">
      <c r="C759" s="1"/>
      <c r="D759" s="1"/>
      <c r="E759" s="1"/>
      <c r="F759" s="1"/>
    </row>
    <row r="760" spans="3:6">
      <c r="C760" s="1"/>
      <c r="D760" s="1"/>
      <c r="E760" s="1"/>
      <c r="F760" s="1"/>
    </row>
    <row r="761" spans="3:6">
      <c r="C761" s="1"/>
      <c r="D761" s="1"/>
      <c r="E761" s="1"/>
      <c r="F761" s="1"/>
    </row>
    <row r="762" spans="3:6">
      <c r="C762" s="1"/>
      <c r="D762" s="1"/>
      <c r="E762" s="1"/>
      <c r="F762" s="1"/>
    </row>
    <row r="763" spans="3:6">
      <c r="C763" s="1"/>
      <c r="D763" s="1"/>
      <c r="E763" s="1"/>
      <c r="F763" s="1"/>
    </row>
    <row r="764" spans="3:6">
      <c r="C764" s="1"/>
      <c r="D764" s="1"/>
      <c r="E764" s="1"/>
      <c r="F764" s="1"/>
    </row>
    <row r="765" spans="3:6">
      <c r="C765" s="1"/>
      <c r="D765" s="1"/>
      <c r="E765" s="1"/>
      <c r="F765" s="1"/>
    </row>
    <row r="766" spans="3:6">
      <c r="C766" s="1"/>
      <c r="D766" s="1"/>
      <c r="E766" s="1"/>
      <c r="F766" s="1"/>
    </row>
    <row r="767" spans="3:6">
      <c r="C767" s="1"/>
      <c r="D767" s="1"/>
      <c r="E767" s="1"/>
      <c r="F767" s="1"/>
    </row>
    <row r="768" spans="3:6">
      <c r="C768" s="1"/>
      <c r="D768" s="1"/>
      <c r="E768" s="1"/>
      <c r="F768" s="1"/>
    </row>
    <row r="769" spans="3:6">
      <c r="C769" s="1"/>
      <c r="D769" s="1"/>
      <c r="E769" s="1"/>
      <c r="F769" s="1"/>
    </row>
    <row r="770" spans="3:6">
      <c r="C770" s="1"/>
      <c r="D770" s="1"/>
      <c r="E770" s="1"/>
      <c r="F770" s="1"/>
    </row>
    <row r="771" spans="3:6">
      <c r="C771" s="1"/>
      <c r="D771" s="1"/>
      <c r="E771" s="1"/>
      <c r="F771" s="1"/>
    </row>
    <row r="772" spans="3:6">
      <c r="C772" s="1"/>
      <c r="D772" s="1"/>
      <c r="E772" s="1"/>
      <c r="F772" s="1"/>
    </row>
    <row r="773" spans="3:6">
      <c r="C773" s="1"/>
      <c r="D773" s="1"/>
      <c r="E773" s="1"/>
      <c r="F773" s="1"/>
    </row>
    <row r="774" spans="3:6">
      <c r="C774" s="1"/>
      <c r="D774" s="1"/>
      <c r="E774" s="1"/>
      <c r="F774" s="1"/>
    </row>
    <row r="775" spans="3:6">
      <c r="C775" s="1"/>
      <c r="D775" s="1"/>
      <c r="E775" s="1"/>
      <c r="F775" s="1"/>
    </row>
    <row r="776" spans="3:6">
      <c r="C776" s="1"/>
      <c r="D776" s="1"/>
      <c r="E776" s="1"/>
      <c r="F776" s="1"/>
    </row>
    <row r="777" spans="3:6">
      <c r="C777" s="1"/>
      <c r="D777" s="1"/>
      <c r="E777" s="1"/>
      <c r="F777" s="1"/>
    </row>
    <row r="778" spans="3:6">
      <c r="C778" s="1"/>
      <c r="D778" s="1"/>
      <c r="E778" s="1"/>
      <c r="F778" s="1"/>
    </row>
    <row r="779" spans="3:6">
      <c r="C779" s="1"/>
      <c r="D779" s="1"/>
      <c r="E779" s="1"/>
      <c r="F779" s="1"/>
    </row>
    <row r="780" spans="3:6">
      <c r="C780" s="1"/>
      <c r="D780" s="1"/>
      <c r="E780" s="1"/>
      <c r="F780" s="1"/>
    </row>
    <row r="781" spans="3:6">
      <c r="C781" s="1"/>
      <c r="D781" s="1"/>
      <c r="E781" s="1"/>
      <c r="F781" s="1"/>
    </row>
    <row r="782" spans="3:6">
      <c r="C782" s="1"/>
      <c r="D782" s="1"/>
      <c r="E782" s="1"/>
      <c r="F782" s="1"/>
    </row>
    <row r="783" spans="3:6">
      <c r="C783" s="1"/>
      <c r="D783" s="1"/>
      <c r="E783" s="1"/>
      <c r="F783" s="1"/>
    </row>
    <row r="784" spans="3:6">
      <c r="C784" s="1"/>
      <c r="D784" s="1"/>
      <c r="E784" s="1"/>
      <c r="F784" s="1"/>
    </row>
    <row r="785" spans="3:6">
      <c r="C785" s="1"/>
      <c r="D785" s="1"/>
      <c r="E785" s="1"/>
      <c r="F785" s="1"/>
    </row>
    <row r="786" spans="3:6">
      <c r="C786" s="1"/>
      <c r="D786" s="1"/>
      <c r="E786" s="1"/>
      <c r="F786" s="1"/>
    </row>
    <row r="787" spans="3:6">
      <c r="C787" s="1"/>
      <c r="D787" s="1"/>
      <c r="E787" s="1"/>
      <c r="F787" s="1"/>
    </row>
    <row r="788" spans="3:6">
      <c r="C788" s="1"/>
      <c r="D788" s="1"/>
      <c r="E788" s="1"/>
      <c r="F788" s="1"/>
    </row>
    <row r="789" spans="3:6">
      <c r="C789" s="1"/>
      <c r="D789" s="1"/>
      <c r="E789" s="1"/>
      <c r="F789" s="1"/>
    </row>
    <row r="790" spans="3:6">
      <c r="C790" s="1"/>
      <c r="D790" s="1"/>
      <c r="E790" s="1"/>
      <c r="F790" s="1"/>
    </row>
    <row r="791" spans="3:6">
      <c r="C791" s="1"/>
      <c r="D791" s="1"/>
      <c r="E791" s="1"/>
      <c r="F791" s="1"/>
    </row>
    <row r="792" spans="3:6">
      <c r="C792" s="1"/>
      <c r="D792" s="1"/>
      <c r="E792" s="1"/>
      <c r="F792" s="1"/>
    </row>
    <row r="793" spans="3:6">
      <c r="C793" s="1"/>
      <c r="D793" s="1"/>
      <c r="E793" s="1"/>
      <c r="F793" s="1"/>
    </row>
    <row r="794" spans="3:6">
      <c r="C794" s="1"/>
      <c r="D794" s="1"/>
      <c r="E794" s="1"/>
      <c r="F794" s="1"/>
    </row>
    <row r="795" spans="3:6">
      <c r="C795" s="1"/>
      <c r="D795" s="1"/>
      <c r="E795" s="1"/>
      <c r="F795" s="1"/>
    </row>
    <row r="796" spans="3:6">
      <c r="C796" s="1"/>
      <c r="D796" s="1"/>
      <c r="E796" s="1"/>
      <c r="F796" s="1"/>
    </row>
    <row r="797" spans="3:6">
      <c r="C797" s="1"/>
      <c r="D797" s="1"/>
      <c r="E797" s="1"/>
      <c r="F797" s="1"/>
    </row>
    <row r="798" spans="3:6">
      <c r="C798" s="1"/>
      <c r="D798" s="1"/>
      <c r="E798" s="1"/>
      <c r="F798" s="1"/>
    </row>
    <row r="799" spans="3:6">
      <c r="C799" s="1"/>
      <c r="D799" s="1"/>
      <c r="E799" s="1"/>
      <c r="F799" s="1"/>
    </row>
    <row r="800" spans="3:6">
      <c r="C800" s="1"/>
      <c r="D800" s="1"/>
      <c r="E800" s="1"/>
      <c r="F800" s="1"/>
    </row>
    <row r="801" spans="3:6">
      <c r="C801" s="1"/>
      <c r="D801" s="1"/>
      <c r="E801" s="1"/>
      <c r="F801" s="1"/>
    </row>
    <row r="802" spans="3:6">
      <c r="C802" s="1"/>
      <c r="D802" s="1"/>
      <c r="E802" s="1"/>
      <c r="F802" s="1"/>
    </row>
    <row r="803" spans="3:6">
      <c r="C803" s="1"/>
      <c r="D803" s="1"/>
      <c r="E803" s="1"/>
      <c r="F803" s="1"/>
    </row>
    <row r="804" spans="3:6">
      <c r="C804" s="1"/>
      <c r="D804" s="1"/>
      <c r="E804" s="1"/>
      <c r="F804" s="1"/>
    </row>
    <row r="805" spans="3:6">
      <c r="C805" s="1"/>
      <c r="D805" s="1"/>
      <c r="E805" s="1"/>
      <c r="F805" s="1"/>
    </row>
    <row r="806" spans="3:6">
      <c r="C806" s="1"/>
      <c r="D806" s="1"/>
      <c r="E806" s="1"/>
      <c r="F806" s="1"/>
    </row>
    <row r="807" spans="3:6">
      <c r="C807" s="1"/>
      <c r="D807" s="1"/>
      <c r="E807" s="1"/>
      <c r="F807" s="1"/>
    </row>
    <row r="808" spans="3:6">
      <c r="C808" s="1"/>
      <c r="D808" s="1"/>
      <c r="E808" s="1"/>
      <c r="F808" s="1"/>
    </row>
    <row r="809" spans="3:6">
      <c r="C809" s="1"/>
      <c r="D809" s="1"/>
      <c r="E809" s="1"/>
      <c r="F809" s="1"/>
    </row>
    <row r="810" spans="3:6">
      <c r="C810" s="1"/>
      <c r="D810" s="1"/>
      <c r="E810" s="1"/>
      <c r="F810" s="1"/>
    </row>
    <row r="811" spans="3:6">
      <c r="C811" s="1"/>
      <c r="D811" s="1"/>
      <c r="E811" s="1"/>
      <c r="F811" s="1"/>
    </row>
    <row r="812" spans="3:6">
      <c r="C812" s="1"/>
      <c r="D812" s="1"/>
      <c r="E812" s="1"/>
      <c r="F812" s="1"/>
    </row>
    <row r="813" spans="3:6">
      <c r="C813" s="1"/>
      <c r="D813" s="1"/>
      <c r="E813" s="1"/>
      <c r="F813" s="1"/>
    </row>
    <row r="814" spans="3:6">
      <c r="C814" s="1"/>
      <c r="D814" s="1"/>
      <c r="E814" s="1"/>
      <c r="F814" s="1"/>
    </row>
    <row r="815" spans="3:6">
      <c r="C815" s="1"/>
      <c r="D815" s="1"/>
      <c r="E815" s="1"/>
      <c r="F815" s="1"/>
    </row>
    <row r="816" spans="3:6">
      <c r="C816" s="1"/>
      <c r="D816" s="1"/>
      <c r="E816" s="1"/>
      <c r="F816" s="1"/>
    </row>
    <row r="817" spans="3:6">
      <c r="C817" s="1"/>
      <c r="D817" s="1"/>
      <c r="E817" s="1"/>
      <c r="F817" s="1"/>
    </row>
    <row r="818" spans="3:6">
      <c r="C818" s="1"/>
      <c r="D818" s="1"/>
      <c r="E818" s="1"/>
      <c r="F818" s="1"/>
    </row>
    <row r="819" spans="3:6">
      <c r="C819" s="1"/>
      <c r="D819" s="1"/>
      <c r="E819" s="1"/>
      <c r="F819" s="1"/>
    </row>
    <row r="820" spans="3:6">
      <c r="C820" s="1"/>
      <c r="D820" s="1"/>
      <c r="E820" s="1"/>
      <c r="F820" s="1"/>
    </row>
    <row r="821" spans="3:6">
      <c r="C821" s="1"/>
      <c r="D821" s="1"/>
      <c r="E821" s="1"/>
      <c r="F821" s="1"/>
    </row>
    <row r="822" spans="3:6">
      <c r="C822" s="1"/>
      <c r="D822" s="1"/>
      <c r="E822" s="1"/>
      <c r="F822" s="1"/>
    </row>
    <row r="823" spans="3:6">
      <c r="C823" s="1"/>
      <c r="D823" s="1"/>
      <c r="E823" s="1"/>
      <c r="F823" s="1"/>
    </row>
    <row r="824" spans="3:6">
      <c r="C824" s="1"/>
      <c r="D824" s="1"/>
      <c r="E824" s="1"/>
      <c r="F824" s="1"/>
    </row>
    <row r="825" spans="3:6">
      <c r="C825" s="1"/>
      <c r="D825" s="1"/>
      <c r="E825" s="1"/>
      <c r="F825" s="1"/>
    </row>
    <row r="826" spans="3:6">
      <c r="C826" s="1"/>
      <c r="D826" s="1"/>
      <c r="E826" s="1"/>
      <c r="F826" s="1"/>
    </row>
    <row r="827" spans="3:6">
      <c r="C827" s="1"/>
      <c r="D827" s="1"/>
      <c r="E827" s="1"/>
      <c r="F827" s="1"/>
    </row>
    <row r="828" spans="3:6">
      <c r="C828" s="1"/>
      <c r="D828" s="1"/>
      <c r="E828" s="1"/>
      <c r="F828" s="1"/>
    </row>
    <row r="829" spans="3:6">
      <c r="C829" s="1"/>
      <c r="D829" s="1"/>
      <c r="E829" s="1"/>
      <c r="F829" s="1"/>
    </row>
    <row r="830" spans="3:6">
      <c r="C830" s="1"/>
      <c r="D830" s="1"/>
      <c r="E830" s="1"/>
      <c r="F830" s="1"/>
    </row>
    <row r="831" spans="3:6">
      <c r="C831" s="1"/>
      <c r="D831" s="1"/>
      <c r="E831" s="1"/>
      <c r="F831" s="1"/>
    </row>
    <row r="832" spans="3:6">
      <c r="C832" s="1"/>
      <c r="D832" s="1"/>
      <c r="E832" s="1"/>
      <c r="F832" s="1"/>
    </row>
    <row r="833" spans="3:6">
      <c r="C833" s="1"/>
      <c r="D833" s="1"/>
      <c r="E833" s="1"/>
      <c r="F833" s="1"/>
    </row>
    <row r="834" spans="3:6">
      <c r="C834" s="1"/>
      <c r="D834" s="1"/>
      <c r="E834" s="1"/>
      <c r="F834" s="1"/>
    </row>
    <row r="835" spans="3:6">
      <c r="C835" s="1"/>
      <c r="D835" s="1"/>
      <c r="E835" s="1"/>
      <c r="F835" s="1"/>
    </row>
    <row r="836" spans="3:6">
      <c r="C836" s="1"/>
      <c r="D836" s="1"/>
      <c r="E836" s="1"/>
      <c r="F836" s="1"/>
    </row>
    <row r="837" spans="3:6">
      <c r="C837" s="1"/>
      <c r="D837" s="1"/>
      <c r="E837" s="1"/>
      <c r="F837" s="1"/>
    </row>
    <row r="838" spans="3:6">
      <c r="C838" s="1"/>
      <c r="D838" s="1"/>
      <c r="E838" s="1"/>
      <c r="F838" s="1"/>
    </row>
    <row r="839" spans="3:6">
      <c r="C839" s="1"/>
      <c r="D839" s="1"/>
      <c r="E839" s="1"/>
      <c r="F839" s="1"/>
    </row>
    <row r="840" spans="3:6">
      <c r="C840" s="1"/>
      <c r="D840" s="1"/>
      <c r="E840" s="1"/>
      <c r="F840" s="1"/>
    </row>
    <row r="841" spans="3:6">
      <c r="C841" s="1"/>
      <c r="D841" s="1"/>
      <c r="E841" s="1"/>
      <c r="F841" s="1"/>
    </row>
    <row r="842" spans="3:6">
      <c r="C842" s="1"/>
      <c r="D842" s="1"/>
      <c r="E842" s="1"/>
      <c r="F842" s="1"/>
    </row>
    <row r="843" spans="3:6">
      <c r="C843" s="1"/>
      <c r="D843" s="1"/>
      <c r="E843" s="1"/>
      <c r="F843" s="1"/>
    </row>
    <row r="844" spans="3:6">
      <c r="C844" s="1"/>
      <c r="D844" s="1"/>
      <c r="E844" s="1"/>
      <c r="F844" s="1"/>
    </row>
    <row r="845" spans="3:6">
      <c r="C845" s="1"/>
      <c r="D845" s="1"/>
      <c r="E845" s="1"/>
      <c r="F845" s="1"/>
    </row>
    <row r="846" spans="3:6">
      <c r="C846" s="1"/>
      <c r="D846" s="1"/>
      <c r="E846" s="1"/>
      <c r="F846" s="1"/>
    </row>
    <row r="847" spans="3:6">
      <c r="C847" s="1"/>
      <c r="D847" s="1"/>
      <c r="E847" s="1"/>
      <c r="F847" s="1"/>
    </row>
    <row r="848" spans="3:6">
      <c r="C848" s="1"/>
      <c r="D848" s="1"/>
      <c r="E848" s="1"/>
      <c r="F848" s="1"/>
    </row>
    <row r="849" spans="3:6">
      <c r="C849" s="1"/>
      <c r="D849" s="1"/>
      <c r="E849" s="1"/>
      <c r="F849" s="1"/>
    </row>
    <row r="850" spans="3:6">
      <c r="C850" s="1"/>
      <c r="D850" s="1"/>
      <c r="E850" s="1"/>
      <c r="F850" s="1"/>
    </row>
    <row r="851" spans="3:6">
      <c r="C851" s="1"/>
      <c r="D851" s="1"/>
      <c r="E851" s="1"/>
      <c r="F851" s="1"/>
    </row>
    <row r="852" spans="3:6">
      <c r="C852" s="1"/>
      <c r="D852" s="1"/>
      <c r="E852" s="1"/>
      <c r="F852" s="1"/>
    </row>
    <row r="853" spans="3:6">
      <c r="C853" s="1"/>
      <c r="D853" s="1"/>
      <c r="E853" s="1"/>
      <c r="F853" s="1"/>
    </row>
    <row r="854" spans="3:6">
      <c r="C854" s="1"/>
      <c r="D854" s="1"/>
      <c r="E854" s="1"/>
      <c r="F854" s="1"/>
    </row>
    <row r="855" spans="3:6">
      <c r="C855" s="1"/>
      <c r="D855" s="1"/>
      <c r="E855" s="1"/>
      <c r="F855" s="1"/>
    </row>
    <row r="856" spans="3:6">
      <c r="C856" s="1"/>
      <c r="D856" s="1"/>
      <c r="E856" s="1"/>
      <c r="F856" s="1"/>
    </row>
    <row r="857" spans="3:6">
      <c r="C857" s="1"/>
      <c r="D857" s="1"/>
      <c r="E857" s="1"/>
      <c r="F857" s="1"/>
    </row>
    <row r="858" spans="3:6">
      <c r="C858" s="1"/>
      <c r="D858" s="1"/>
      <c r="E858" s="1"/>
      <c r="F858" s="1"/>
    </row>
    <row r="859" spans="3:6">
      <c r="C859" s="1"/>
      <c r="D859" s="1"/>
      <c r="E859" s="1"/>
      <c r="F859" s="1"/>
    </row>
    <row r="860" spans="3:6">
      <c r="C860" s="1"/>
      <c r="D860" s="1"/>
      <c r="E860" s="1"/>
      <c r="F860" s="1"/>
    </row>
    <row r="861" spans="3:6">
      <c r="C861" s="1"/>
      <c r="D861" s="1"/>
      <c r="E861" s="1"/>
      <c r="F861" s="1"/>
    </row>
    <row r="862" spans="3:6">
      <c r="C862" s="1"/>
      <c r="D862" s="1"/>
      <c r="E862" s="1"/>
      <c r="F862" s="1"/>
    </row>
    <row r="863" spans="3:6">
      <c r="C863" s="1"/>
      <c r="D863" s="1"/>
      <c r="E863" s="1"/>
      <c r="F863" s="1"/>
    </row>
    <row r="864" spans="3:6">
      <c r="C864" s="1"/>
      <c r="D864" s="1"/>
      <c r="E864" s="1"/>
      <c r="F864" s="1"/>
    </row>
    <row r="865" spans="3:6">
      <c r="C865" s="1"/>
      <c r="D865" s="1"/>
      <c r="E865" s="1"/>
      <c r="F865" s="1"/>
    </row>
    <row r="866" spans="3:6">
      <c r="C866" s="1"/>
      <c r="D866" s="1"/>
      <c r="E866" s="1"/>
      <c r="F866" s="1"/>
    </row>
    <row r="867" spans="3:6">
      <c r="C867" s="1"/>
      <c r="D867" s="1"/>
      <c r="E867" s="1"/>
      <c r="F867" s="1"/>
    </row>
    <row r="868" spans="3:6">
      <c r="C868" s="1"/>
      <c r="D868" s="1"/>
      <c r="E868" s="1"/>
      <c r="F868" s="1"/>
    </row>
    <row r="869" spans="3:6">
      <c r="C869" s="1"/>
      <c r="D869" s="1"/>
      <c r="E869" s="1"/>
      <c r="F869" s="1"/>
    </row>
    <row r="870" spans="3:6">
      <c r="C870" s="1"/>
      <c r="D870" s="1"/>
      <c r="E870" s="1"/>
      <c r="F870" s="1"/>
    </row>
    <row r="871" spans="3:6">
      <c r="C871" s="1"/>
      <c r="D871" s="1"/>
      <c r="E871" s="1"/>
      <c r="F871" s="1"/>
    </row>
    <row r="872" spans="3:6">
      <c r="C872" s="1"/>
      <c r="D872" s="1"/>
      <c r="E872" s="1"/>
      <c r="F872" s="1"/>
    </row>
    <row r="873" spans="3:6">
      <c r="C873" s="1"/>
      <c r="D873" s="1"/>
      <c r="E873" s="1"/>
      <c r="F873" s="1"/>
    </row>
    <row r="874" spans="3:6">
      <c r="C874" s="1"/>
      <c r="D874" s="1"/>
      <c r="E874" s="1"/>
      <c r="F874" s="1"/>
    </row>
    <row r="875" spans="3:6">
      <c r="C875" s="1"/>
      <c r="D875" s="1"/>
      <c r="E875" s="1"/>
      <c r="F875" s="1"/>
    </row>
    <row r="876" spans="3:6">
      <c r="C876" s="1"/>
      <c r="D876" s="1"/>
      <c r="E876" s="1"/>
      <c r="F876" s="1"/>
    </row>
    <row r="877" spans="3:6">
      <c r="C877" s="1"/>
      <c r="D877" s="1"/>
      <c r="E877" s="1"/>
      <c r="F877" s="1"/>
    </row>
    <row r="878" spans="3:6">
      <c r="C878" s="1"/>
      <c r="D878" s="1"/>
      <c r="E878" s="1"/>
      <c r="F878" s="1"/>
    </row>
    <row r="879" spans="3:6">
      <c r="C879" s="1"/>
      <c r="D879" s="1"/>
      <c r="E879" s="1"/>
      <c r="F879" s="1"/>
    </row>
    <row r="880" spans="3:6">
      <c r="C880" s="1"/>
      <c r="D880" s="1"/>
      <c r="E880" s="1"/>
      <c r="F880" s="1"/>
    </row>
    <row r="881" spans="3:6">
      <c r="C881" s="1"/>
      <c r="D881" s="1"/>
      <c r="E881" s="1"/>
      <c r="F881" s="1"/>
    </row>
    <row r="882" spans="3:6">
      <c r="C882" s="1"/>
      <c r="D882" s="1"/>
      <c r="E882" s="1"/>
      <c r="F882" s="1"/>
    </row>
    <row r="883" spans="3:6">
      <c r="C883" s="1"/>
      <c r="D883" s="1"/>
      <c r="E883" s="1"/>
      <c r="F883" s="1"/>
    </row>
    <row r="884" spans="3:6">
      <c r="C884" s="1"/>
      <c r="D884" s="1"/>
      <c r="E884" s="1"/>
      <c r="F884" s="1"/>
    </row>
    <row r="885" spans="3:6">
      <c r="C885" s="1"/>
      <c r="D885" s="1"/>
      <c r="E885" s="1"/>
      <c r="F885" s="1"/>
    </row>
    <row r="886" spans="3:6">
      <c r="C886" s="1"/>
      <c r="D886" s="1"/>
      <c r="E886" s="1"/>
      <c r="F886" s="1"/>
    </row>
    <row r="887" spans="3:6">
      <c r="C887" s="1"/>
      <c r="D887" s="1"/>
      <c r="E887" s="1"/>
      <c r="F887" s="1"/>
    </row>
    <row r="888" spans="3:6">
      <c r="C888" s="1"/>
      <c r="D888" s="1"/>
      <c r="E888" s="1"/>
      <c r="F888" s="1"/>
    </row>
    <row r="889" spans="3:6">
      <c r="C889" s="1"/>
      <c r="D889" s="1"/>
      <c r="E889" s="1"/>
      <c r="F889" s="1"/>
    </row>
    <row r="890" spans="3:6">
      <c r="C890" s="1"/>
      <c r="D890" s="1"/>
      <c r="E890" s="1"/>
      <c r="F890" s="1"/>
    </row>
    <row r="891" spans="3:6">
      <c r="C891" s="1"/>
      <c r="D891" s="1"/>
      <c r="E891" s="1"/>
      <c r="F891" s="1"/>
    </row>
    <row r="892" spans="3:6">
      <c r="C892" s="1"/>
      <c r="D892" s="1"/>
      <c r="E892" s="1"/>
      <c r="F892" s="1"/>
    </row>
    <row r="893" spans="3:6">
      <c r="C893" s="1"/>
      <c r="D893" s="1"/>
      <c r="E893" s="1"/>
      <c r="F893" s="1"/>
    </row>
    <row r="894" spans="3:6">
      <c r="C894" s="1"/>
      <c r="D894" s="1"/>
      <c r="E894" s="1"/>
      <c r="F894" s="1"/>
    </row>
    <row r="895" spans="3:6">
      <c r="C895" s="1"/>
      <c r="D895" s="1"/>
      <c r="E895" s="1"/>
      <c r="F895" s="1"/>
    </row>
    <row r="896" spans="3:6">
      <c r="C896" s="1"/>
      <c r="D896" s="1"/>
      <c r="E896" s="1"/>
      <c r="F896" s="1"/>
    </row>
    <row r="897" spans="3:6">
      <c r="C897" s="1"/>
      <c r="D897" s="1"/>
      <c r="E897" s="1"/>
      <c r="F897" s="1"/>
    </row>
    <row r="898" spans="3:6">
      <c r="C898" s="1"/>
      <c r="D898" s="1"/>
      <c r="E898" s="1"/>
      <c r="F898" s="1"/>
    </row>
    <row r="899" spans="3:6">
      <c r="C899" s="1"/>
      <c r="D899" s="1"/>
      <c r="E899" s="1"/>
      <c r="F899" s="1"/>
    </row>
    <row r="900" spans="3:6">
      <c r="C900" s="1"/>
      <c r="D900" s="1"/>
      <c r="E900" s="1"/>
      <c r="F900" s="1"/>
    </row>
    <row r="901" spans="3:6">
      <c r="C901" s="1"/>
      <c r="D901" s="1"/>
      <c r="E901" s="1"/>
      <c r="F901" s="1"/>
    </row>
    <row r="902" spans="3:6">
      <c r="C902" s="1"/>
      <c r="D902" s="1"/>
      <c r="E902" s="1"/>
      <c r="F902" s="1"/>
    </row>
    <row r="903" spans="3:6">
      <c r="C903" s="1"/>
      <c r="D903" s="1"/>
      <c r="E903" s="1"/>
      <c r="F903" s="1"/>
    </row>
    <row r="904" spans="3:6">
      <c r="C904" s="1"/>
      <c r="D904" s="1"/>
      <c r="E904" s="1"/>
      <c r="F904" s="1"/>
    </row>
    <row r="905" spans="3:6">
      <c r="C905" s="1"/>
      <c r="D905" s="1"/>
      <c r="E905" s="1"/>
      <c r="F905" s="1"/>
    </row>
    <row r="906" spans="3:6">
      <c r="C906" s="1"/>
      <c r="D906" s="1"/>
      <c r="E906" s="1"/>
      <c r="F906" s="1"/>
    </row>
    <row r="907" spans="3:6">
      <c r="C907" s="1"/>
      <c r="D907" s="1"/>
      <c r="E907" s="1"/>
      <c r="F907" s="1"/>
    </row>
    <row r="908" spans="3:6">
      <c r="C908" s="1"/>
      <c r="D908" s="1"/>
      <c r="E908" s="1"/>
      <c r="F908" s="1"/>
    </row>
    <row r="909" spans="3:6">
      <c r="C909" s="1"/>
      <c r="D909" s="1"/>
      <c r="E909" s="1"/>
      <c r="F909" s="1"/>
    </row>
    <row r="910" spans="3:6">
      <c r="C910" s="1"/>
      <c r="D910" s="1"/>
      <c r="E910" s="1"/>
      <c r="F910" s="1"/>
    </row>
    <row r="911" spans="3:6">
      <c r="C911" s="1"/>
      <c r="D911" s="1"/>
      <c r="E911" s="1"/>
      <c r="F911" s="1"/>
    </row>
    <row r="912" spans="3:6">
      <c r="C912" s="1"/>
      <c r="D912" s="1"/>
      <c r="E912" s="1"/>
      <c r="F912" s="1"/>
    </row>
    <row r="913" spans="3:6">
      <c r="C913" s="1"/>
      <c r="D913" s="1"/>
      <c r="E913" s="1"/>
      <c r="F913" s="1"/>
    </row>
    <row r="914" spans="3:6">
      <c r="C914" s="1"/>
      <c r="D914" s="1"/>
      <c r="E914" s="1"/>
      <c r="F914" s="1"/>
    </row>
    <row r="915" spans="3:6">
      <c r="C915" s="1"/>
      <c r="D915" s="1"/>
      <c r="E915" s="1"/>
      <c r="F915" s="1"/>
    </row>
    <row r="916" spans="3:6">
      <c r="C916" s="1"/>
      <c r="D916" s="1"/>
      <c r="E916" s="1"/>
      <c r="F916" s="1"/>
    </row>
    <row r="917" spans="3:6">
      <c r="C917" s="1"/>
      <c r="D917" s="1"/>
      <c r="E917" s="1"/>
      <c r="F917" s="1"/>
    </row>
    <row r="918" spans="3:6">
      <c r="C918" s="1"/>
      <c r="D918" s="1"/>
      <c r="E918" s="1"/>
      <c r="F918" s="1"/>
    </row>
    <row r="919" spans="3:6">
      <c r="C919" s="1"/>
      <c r="D919" s="1"/>
      <c r="E919" s="1"/>
      <c r="F919" s="1"/>
    </row>
    <row r="920" spans="3:6">
      <c r="C920" s="1"/>
      <c r="D920" s="1"/>
      <c r="E920" s="1"/>
      <c r="F920" s="1"/>
    </row>
    <row r="921" spans="3:6">
      <c r="C921" s="1"/>
      <c r="D921" s="1"/>
      <c r="E921" s="1"/>
      <c r="F921" s="1"/>
    </row>
    <row r="922" spans="3:6">
      <c r="C922" s="1"/>
      <c r="D922" s="1"/>
      <c r="E922" s="1"/>
      <c r="F922" s="1"/>
    </row>
    <row r="923" spans="3:6">
      <c r="C923" s="1"/>
      <c r="D923" s="1"/>
      <c r="E923" s="1"/>
      <c r="F923" s="1"/>
    </row>
    <row r="924" spans="3:6">
      <c r="C924" s="1"/>
      <c r="D924" s="1"/>
      <c r="E924" s="1"/>
      <c r="F924" s="1"/>
    </row>
    <row r="925" spans="3:6">
      <c r="C925" s="1"/>
      <c r="D925" s="1"/>
      <c r="E925" s="1"/>
      <c r="F925" s="1"/>
    </row>
    <row r="926" spans="3:6">
      <c r="C926" s="1"/>
      <c r="D926" s="1"/>
      <c r="E926" s="1"/>
      <c r="F926" s="1"/>
    </row>
    <row r="927" spans="3:6">
      <c r="C927" s="1"/>
      <c r="D927" s="1"/>
      <c r="E927" s="1"/>
      <c r="F927" s="1"/>
    </row>
    <row r="928" spans="3:6">
      <c r="C928" s="1"/>
      <c r="D928" s="1"/>
      <c r="E928" s="1"/>
      <c r="F928" s="1"/>
    </row>
    <row r="929" spans="3:6">
      <c r="C929" s="1"/>
      <c r="D929" s="1"/>
      <c r="E929" s="1"/>
      <c r="F929" s="1"/>
    </row>
    <row r="930" spans="3:6">
      <c r="C930" s="1"/>
      <c r="D930" s="1"/>
      <c r="E930" s="1"/>
      <c r="F930" s="1"/>
    </row>
    <row r="931" spans="3:6">
      <c r="C931" s="1"/>
      <c r="D931" s="1"/>
      <c r="E931" s="1"/>
      <c r="F931" s="1"/>
    </row>
    <row r="932" spans="3:6">
      <c r="C932" s="1"/>
      <c r="D932" s="1"/>
      <c r="E932" s="1"/>
      <c r="F932" s="1"/>
    </row>
    <row r="933" spans="3:6">
      <c r="C933" s="1"/>
      <c r="D933" s="1"/>
      <c r="E933" s="1"/>
      <c r="F933" s="1"/>
    </row>
    <row r="934" spans="3:6">
      <c r="C934" s="1"/>
      <c r="D934" s="1"/>
      <c r="E934" s="1"/>
      <c r="F934" s="1"/>
    </row>
    <row r="935" spans="3:6">
      <c r="C935" s="1"/>
      <c r="D935" s="1"/>
      <c r="E935" s="1"/>
      <c r="F935" s="1"/>
    </row>
    <row r="936" spans="3:6">
      <c r="C936" s="1"/>
      <c r="D936" s="1"/>
      <c r="E936" s="1"/>
      <c r="F936" s="1"/>
    </row>
    <row r="937" spans="3:6">
      <c r="C937" s="1"/>
      <c r="D937" s="1"/>
      <c r="E937" s="1"/>
      <c r="F937" s="1"/>
    </row>
    <row r="938" spans="3:6">
      <c r="C938" s="1"/>
      <c r="D938" s="1"/>
      <c r="E938" s="1"/>
      <c r="F938" s="1"/>
    </row>
    <row r="939" spans="3:6">
      <c r="C939" s="1"/>
      <c r="D939" s="1"/>
      <c r="E939" s="1"/>
      <c r="F939" s="1"/>
    </row>
    <row r="940" spans="3:6">
      <c r="C940" s="1"/>
      <c r="D940" s="1"/>
      <c r="E940" s="1"/>
      <c r="F940" s="1"/>
    </row>
    <row r="941" spans="3:6">
      <c r="C941" s="1"/>
      <c r="D941" s="1"/>
      <c r="E941" s="1"/>
      <c r="F941" s="1"/>
    </row>
    <row r="942" spans="3:6">
      <c r="C942" s="1"/>
      <c r="D942" s="1"/>
      <c r="E942" s="1"/>
      <c r="F942" s="1"/>
    </row>
    <row r="943" spans="3:6">
      <c r="C943" s="1"/>
      <c r="D943" s="1"/>
      <c r="E943" s="1"/>
      <c r="F943" s="1"/>
    </row>
    <row r="944" spans="3:6">
      <c r="C944" s="1"/>
      <c r="D944" s="1"/>
      <c r="E944" s="1"/>
      <c r="F944" s="1"/>
    </row>
    <row r="945" spans="3:6">
      <c r="C945" s="1"/>
      <c r="D945" s="1"/>
      <c r="E945" s="1"/>
      <c r="F945" s="1"/>
    </row>
    <row r="946" spans="3:6">
      <c r="C946" s="1"/>
      <c r="D946" s="1"/>
      <c r="E946" s="1"/>
      <c r="F946" s="1"/>
    </row>
    <row r="947" spans="3:6">
      <c r="C947" s="1"/>
      <c r="D947" s="1"/>
      <c r="E947" s="1"/>
      <c r="F947" s="1"/>
    </row>
    <row r="948" spans="3:6">
      <c r="C948" s="1"/>
      <c r="D948" s="1"/>
      <c r="E948" s="1"/>
      <c r="F948" s="1"/>
    </row>
    <row r="949" spans="3:6">
      <c r="C949" s="1"/>
      <c r="D949" s="1"/>
      <c r="E949" s="1"/>
      <c r="F949" s="1"/>
    </row>
    <row r="950" spans="3:6">
      <c r="C950" s="1"/>
      <c r="D950" s="1"/>
      <c r="E950" s="1"/>
      <c r="F950" s="1"/>
    </row>
    <row r="951" spans="3:6">
      <c r="C951" s="1"/>
      <c r="D951" s="1"/>
      <c r="E951" s="1"/>
      <c r="F951" s="1"/>
    </row>
    <row r="952" spans="3:6">
      <c r="C952" s="1"/>
      <c r="D952" s="1"/>
      <c r="E952" s="1"/>
      <c r="F952" s="1"/>
    </row>
    <row r="953" spans="3:6">
      <c r="C953" s="1"/>
      <c r="D953" s="1"/>
      <c r="E953" s="1"/>
      <c r="F953" s="1"/>
    </row>
    <row r="954" spans="3:6">
      <c r="C954" s="1"/>
      <c r="D954" s="1"/>
      <c r="E954" s="1"/>
      <c r="F954" s="1"/>
    </row>
    <row r="955" spans="3:6">
      <c r="C955" s="1"/>
      <c r="D955" s="1"/>
      <c r="E955" s="1"/>
      <c r="F955" s="1"/>
    </row>
    <row r="956" spans="3:6">
      <c r="C956" s="1"/>
      <c r="D956" s="1"/>
      <c r="E956" s="1"/>
      <c r="F956" s="1"/>
    </row>
    <row r="957" spans="3:6">
      <c r="C957" s="1"/>
      <c r="D957" s="1"/>
      <c r="E957" s="1"/>
      <c r="F957" s="1"/>
    </row>
    <row r="958" spans="3:6">
      <c r="C958" s="1"/>
      <c r="D958" s="1"/>
      <c r="E958" s="1"/>
      <c r="F958" s="1"/>
    </row>
    <row r="959" spans="3:6">
      <c r="C959" s="1"/>
      <c r="D959" s="1"/>
      <c r="E959" s="1"/>
      <c r="F959" s="1"/>
    </row>
    <row r="960" spans="3:6">
      <c r="C960" s="1"/>
      <c r="D960" s="1"/>
      <c r="E960" s="1"/>
      <c r="F960" s="1"/>
    </row>
    <row r="961" spans="3:6">
      <c r="C961" s="1"/>
      <c r="D961" s="1"/>
      <c r="E961" s="1"/>
      <c r="F961" s="1"/>
    </row>
    <row r="962" spans="3:6">
      <c r="C962" s="1"/>
      <c r="D962" s="1"/>
      <c r="E962" s="1"/>
      <c r="F962" s="1"/>
    </row>
    <row r="963" spans="3:6">
      <c r="C963" s="1"/>
      <c r="D963" s="1"/>
      <c r="E963" s="1"/>
      <c r="F963" s="1"/>
    </row>
    <row r="964" spans="3:6">
      <c r="C964" s="1"/>
      <c r="D964" s="1"/>
      <c r="E964" s="1"/>
      <c r="F964" s="1"/>
    </row>
    <row r="965" spans="3:6">
      <c r="C965" s="1"/>
      <c r="D965" s="1"/>
      <c r="E965" s="1"/>
      <c r="F965" s="1"/>
    </row>
    <row r="966" spans="3:6">
      <c r="C966" s="1"/>
      <c r="D966" s="1"/>
      <c r="E966" s="1"/>
      <c r="F966" s="1"/>
    </row>
    <row r="967" spans="3:6">
      <c r="C967" s="1"/>
      <c r="D967" s="1"/>
      <c r="E967" s="1"/>
      <c r="F967" s="1"/>
    </row>
    <row r="968" spans="3:6">
      <c r="C968" s="1"/>
      <c r="D968" s="1"/>
      <c r="E968" s="1"/>
      <c r="F968" s="1"/>
    </row>
    <row r="969" spans="3:6">
      <c r="C969" s="1"/>
      <c r="D969" s="1"/>
      <c r="E969" s="1"/>
      <c r="F969" s="1"/>
    </row>
    <row r="970" spans="3:6">
      <c r="C970" s="1"/>
      <c r="D970" s="1"/>
      <c r="E970" s="1"/>
      <c r="F970" s="1"/>
    </row>
    <row r="971" spans="3:6">
      <c r="C971" s="1"/>
      <c r="D971" s="1"/>
      <c r="E971" s="1"/>
      <c r="F971" s="1"/>
    </row>
    <row r="972" spans="3:6">
      <c r="C972" s="1"/>
      <c r="D972" s="1"/>
      <c r="E972" s="1"/>
      <c r="F972" s="1"/>
    </row>
    <row r="973" spans="3:6">
      <c r="C973" s="1"/>
      <c r="D973" s="1"/>
      <c r="E973" s="1"/>
      <c r="F973" s="1"/>
    </row>
    <row r="974" spans="3:6">
      <c r="C974" s="1"/>
      <c r="D974" s="1"/>
      <c r="E974" s="1"/>
      <c r="F974" s="1"/>
    </row>
    <row r="975" spans="3:6">
      <c r="C975" s="1"/>
      <c r="D975" s="1"/>
      <c r="E975" s="1"/>
      <c r="F975" s="1"/>
    </row>
    <row r="976" spans="3:6">
      <c r="C976" s="1"/>
      <c r="D976" s="1"/>
      <c r="E976" s="1"/>
      <c r="F976" s="1"/>
    </row>
    <row r="977" spans="3:6">
      <c r="C977" s="1"/>
      <c r="D977" s="1"/>
      <c r="E977" s="1"/>
      <c r="F977" s="1"/>
    </row>
    <row r="978" spans="3:6">
      <c r="C978" s="1"/>
      <c r="D978" s="1"/>
      <c r="E978" s="1"/>
      <c r="F978" s="1"/>
    </row>
    <row r="979" spans="3:6">
      <c r="C979" s="1"/>
      <c r="D979" s="1"/>
      <c r="E979" s="1"/>
      <c r="F979" s="1"/>
    </row>
    <row r="980" spans="3:6">
      <c r="C980" s="1"/>
      <c r="D980" s="1"/>
      <c r="E980" s="1"/>
      <c r="F980" s="1"/>
    </row>
    <row r="981" spans="3:6">
      <c r="C981" s="1"/>
      <c r="D981" s="1"/>
      <c r="E981" s="1"/>
      <c r="F981" s="1"/>
    </row>
    <row r="982" spans="3:6">
      <c r="C982" s="1"/>
      <c r="D982" s="1"/>
      <c r="E982" s="1"/>
      <c r="F982" s="1"/>
    </row>
    <row r="983" spans="3:6">
      <c r="C983" s="1"/>
      <c r="D983" s="1"/>
      <c r="E983" s="1"/>
      <c r="F983" s="1"/>
    </row>
    <row r="984" spans="3:6">
      <c r="C984" s="1"/>
      <c r="D984" s="1"/>
      <c r="E984" s="1"/>
      <c r="F984" s="1"/>
    </row>
    <row r="985" spans="3:6">
      <c r="C985" s="1"/>
      <c r="D985" s="1"/>
      <c r="E985" s="1"/>
      <c r="F985" s="1"/>
    </row>
    <row r="986" spans="3:6">
      <c r="C986" s="1"/>
      <c r="D986" s="1"/>
      <c r="E986" s="1"/>
      <c r="F986" s="1"/>
    </row>
    <row r="987" spans="3:6">
      <c r="C987" s="1"/>
      <c r="D987" s="1"/>
      <c r="E987" s="1"/>
      <c r="F987" s="1"/>
    </row>
    <row r="988" spans="3:6">
      <c r="C988" s="1"/>
      <c r="D988" s="1"/>
      <c r="E988" s="1"/>
      <c r="F988" s="1"/>
    </row>
    <row r="989" spans="3:6">
      <c r="C989" s="1"/>
      <c r="D989" s="1"/>
      <c r="E989" s="1"/>
      <c r="F989" s="1"/>
    </row>
    <row r="990" spans="3:6">
      <c r="C990" s="1"/>
      <c r="D990" s="1"/>
      <c r="E990" s="1"/>
      <c r="F990" s="1"/>
    </row>
    <row r="991" spans="3:6">
      <c r="C991" s="1"/>
      <c r="D991" s="1"/>
      <c r="E991" s="1"/>
      <c r="F991" s="1"/>
    </row>
    <row r="992" spans="3:6">
      <c r="C992" s="1"/>
      <c r="D992" s="1"/>
      <c r="E992" s="1"/>
      <c r="F992" s="1"/>
    </row>
    <row r="993" spans="3:6">
      <c r="C993" s="1"/>
      <c r="D993" s="1"/>
      <c r="E993" s="1"/>
      <c r="F993" s="1"/>
    </row>
    <row r="994" spans="3:6">
      <c r="C994" s="1"/>
      <c r="D994" s="1"/>
      <c r="E994" s="1"/>
      <c r="F994" s="1"/>
    </row>
    <row r="995" spans="3:6">
      <c r="C995" s="1"/>
      <c r="D995" s="1"/>
      <c r="E995" s="1"/>
      <c r="F995" s="1"/>
    </row>
    <row r="996" spans="3:6">
      <c r="C996" s="1"/>
      <c r="D996" s="1"/>
      <c r="E996" s="1"/>
      <c r="F996" s="1"/>
    </row>
    <row r="997" spans="3:6">
      <c r="C997" s="1"/>
      <c r="D997" s="1"/>
      <c r="E997" s="1"/>
      <c r="F997" s="1"/>
    </row>
    <row r="998" spans="3:6">
      <c r="C998" s="1"/>
      <c r="D998" s="1"/>
      <c r="E998" s="1"/>
      <c r="F998" s="1"/>
    </row>
    <row r="999" spans="3:6">
      <c r="C999" s="1"/>
      <c r="D999" s="1"/>
      <c r="E999" s="1"/>
      <c r="F999" s="1"/>
    </row>
    <row r="1000" spans="3:6">
      <c r="C1000" s="1"/>
      <c r="D1000" s="1"/>
      <c r="E1000" s="1"/>
      <c r="F1000" s="1"/>
    </row>
    <row r="1001" spans="3:6">
      <c r="C1001" s="1"/>
      <c r="D1001" s="1"/>
      <c r="E1001" s="1"/>
      <c r="F1001" s="1"/>
    </row>
    <row r="1002" spans="3:6">
      <c r="C1002" s="1"/>
      <c r="D1002" s="1"/>
      <c r="E1002" s="1"/>
      <c r="F1002" s="1"/>
    </row>
    <row r="1003" spans="3:6">
      <c r="C1003" s="1"/>
      <c r="D1003" s="1"/>
      <c r="E1003" s="1"/>
      <c r="F1003" s="1"/>
    </row>
    <row r="1004" spans="3:6">
      <c r="C1004" s="1"/>
      <c r="D1004" s="1"/>
      <c r="E1004" s="1"/>
      <c r="F1004" s="1"/>
    </row>
    <row r="1005" spans="3:6">
      <c r="C1005" s="1"/>
      <c r="D1005" s="1"/>
      <c r="E1005" s="1"/>
      <c r="F1005" s="1"/>
    </row>
    <row r="1006" spans="3:6">
      <c r="C1006" s="1"/>
      <c r="D1006" s="1"/>
      <c r="E1006" s="1"/>
      <c r="F1006" s="1"/>
    </row>
    <row r="1007" spans="3:6">
      <c r="C1007" s="1"/>
      <c r="D1007" s="1"/>
      <c r="E1007" s="1"/>
      <c r="F1007" s="1"/>
    </row>
    <row r="1008" spans="3:6">
      <c r="C1008" s="1"/>
      <c r="D1008" s="1"/>
      <c r="E1008" s="1"/>
      <c r="F1008" s="1"/>
    </row>
    <row r="1009" spans="3:6">
      <c r="C1009" s="1"/>
      <c r="D1009" s="1"/>
      <c r="E1009" s="1"/>
      <c r="F1009" s="1"/>
    </row>
    <row r="1010" spans="3:6">
      <c r="C1010" s="1"/>
      <c r="D1010" s="1"/>
      <c r="E1010" s="1"/>
      <c r="F1010" s="1"/>
    </row>
    <row r="1011" spans="3:6">
      <c r="C1011" s="1"/>
      <c r="D1011" s="1"/>
      <c r="E1011" s="1"/>
      <c r="F1011" s="1"/>
    </row>
    <row r="1012" spans="3:6">
      <c r="C1012" s="1"/>
      <c r="D1012" s="1"/>
      <c r="E1012" s="1"/>
      <c r="F1012" s="1"/>
    </row>
    <row r="1013" spans="3:6">
      <c r="C1013" s="1"/>
      <c r="D1013" s="1"/>
      <c r="E1013" s="1"/>
      <c r="F1013" s="1"/>
    </row>
    <row r="1014" spans="3:6">
      <c r="C1014" s="1"/>
      <c r="D1014" s="1"/>
      <c r="E1014" s="1"/>
      <c r="F1014" s="1"/>
    </row>
    <row r="1015" spans="3:6">
      <c r="C1015" s="1"/>
      <c r="D1015" s="1"/>
      <c r="E1015" s="1"/>
      <c r="F1015" s="1"/>
    </row>
    <row r="1016" spans="3:6">
      <c r="C1016" s="1"/>
      <c r="D1016" s="1"/>
      <c r="E1016" s="1"/>
      <c r="F1016" s="1"/>
    </row>
    <row r="1017" spans="3:6">
      <c r="C1017" s="1"/>
      <c r="D1017" s="1"/>
      <c r="E1017" s="1"/>
      <c r="F1017" s="1"/>
    </row>
    <row r="1018" spans="3:6">
      <c r="C1018" s="1"/>
      <c r="D1018" s="1"/>
      <c r="E1018" s="1"/>
      <c r="F1018" s="1"/>
    </row>
    <row r="1019" spans="3:6">
      <c r="C1019" s="1"/>
      <c r="D1019" s="1"/>
      <c r="E1019" s="1"/>
      <c r="F1019" s="1"/>
    </row>
    <row r="1020" spans="3:6">
      <c r="C1020" s="1"/>
      <c r="D1020" s="1"/>
      <c r="E1020" s="1"/>
      <c r="F1020" s="1"/>
    </row>
    <row r="1021" spans="3:6">
      <c r="C1021" s="1"/>
      <c r="D1021" s="1"/>
      <c r="E1021" s="1"/>
      <c r="F1021" s="1"/>
    </row>
    <row r="1022" spans="3:6">
      <c r="C1022" s="1"/>
      <c r="D1022" s="1"/>
      <c r="E1022" s="1"/>
      <c r="F1022" s="1"/>
    </row>
    <row r="1023" spans="3:6">
      <c r="C1023" s="1"/>
      <c r="D1023" s="1"/>
      <c r="E1023" s="1"/>
      <c r="F1023" s="1"/>
    </row>
    <row r="1024" spans="3:6">
      <c r="C1024" s="1"/>
      <c r="D1024" s="1"/>
      <c r="E1024" s="1"/>
      <c r="F1024" s="1"/>
    </row>
    <row r="1025" spans="3:6">
      <c r="C1025" s="1"/>
      <c r="D1025" s="1"/>
      <c r="E1025" s="1"/>
      <c r="F1025" s="1"/>
    </row>
    <row r="1026" spans="3:6">
      <c r="C1026" s="1"/>
      <c r="D1026" s="1"/>
      <c r="E1026" s="1"/>
      <c r="F1026" s="1"/>
    </row>
    <row r="1027" spans="3:6">
      <c r="C1027" s="1"/>
      <c r="D1027" s="1"/>
      <c r="E1027" s="1"/>
      <c r="F1027" s="1"/>
    </row>
    <row r="1028" spans="3:6">
      <c r="C1028" s="1"/>
      <c r="D1028" s="1"/>
      <c r="E1028" s="1"/>
      <c r="F1028" s="1"/>
    </row>
    <row r="1029" spans="3:6">
      <c r="C1029" s="1"/>
      <c r="D1029" s="1"/>
      <c r="E1029" s="1"/>
      <c r="F1029" s="1"/>
    </row>
    <row r="1030" spans="3:6">
      <c r="C1030" s="1"/>
      <c r="D1030" s="1"/>
      <c r="E1030" s="1"/>
      <c r="F1030" s="1"/>
    </row>
    <row r="1031" spans="3:6">
      <c r="C1031" s="1"/>
      <c r="D1031" s="1"/>
      <c r="E1031" s="1"/>
      <c r="F1031" s="1"/>
    </row>
    <row r="1032" spans="3:6">
      <c r="C1032" s="1"/>
      <c r="D1032" s="1"/>
      <c r="E1032" s="1"/>
      <c r="F1032" s="1"/>
    </row>
    <row r="1033" spans="3:6">
      <c r="C1033" s="1"/>
      <c r="D1033" s="1"/>
      <c r="E1033" s="1"/>
      <c r="F1033" s="1"/>
    </row>
    <row r="1034" spans="3:6">
      <c r="C1034" s="1"/>
      <c r="D1034" s="1"/>
      <c r="E1034" s="1"/>
      <c r="F1034" s="1"/>
    </row>
    <row r="1035" spans="3:6">
      <c r="C1035" s="1"/>
      <c r="D1035" s="1"/>
      <c r="E1035" s="1"/>
      <c r="F1035" s="1"/>
    </row>
    <row r="1036" spans="3:6">
      <c r="C1036" s="1"/>
      <c r="D1036" s="1"/>
      <c r="E1036" s="1"/>
      <c r="F1036" s="1"/>
    </row>
    <row r="1037" spans="3:6">
      <c r="C1037" s="1"/>
      <c r="D1037" s="1"/>
      <c r="E1037" s="1"/>
      <c r="F1037" s="1"/>
    </row>
    <row r="1038" spans="3:6">
      <c r="C1038" s="1"/>
      <c r="D1038" s="1"/>
      <c r="E1038" s="1"/>
      <c r="F1038" s="1"/>
    </row>
    <row r="1039" spans="3:6">
      <c r="C1039" s="1"/>
      <c r="D1039" s="1"/>
      <c r="E1039" s="1"/>
      <c r="F1039" s="1"/>
    </row>
    <row r="1040" spans="3:6">
      <c r="C1040" s="1"/>
      <c r="D1040" s="1"/>
      <c r="E1040" s="1"/>
      <c r="F1040" s="1"/>
    </row>
    <row r="1041" spans="3:6">
      <c r="C1041" s="1"/>
      <c r="D1041" s="1"/>
      <c r="E1041" s="1"/>
      <c r="F1041" s="1"/>
    </row>
    <row r="1042" spans="3:6">
      <c r="C1042" s="1"/>
      <c r="D1042" s="1"/>
      <c r="E1042" s="1"/>
      <c r="F1042" s="1"/>
    </row>
    <row r="1043" spans="3:6">
      <c r="C1043" s="1"/>
      <c r="D1043" s="1"/>
      <c r="E1043" s="1"/>
      <c r="F1043" s="1"/>
    </row>
    <row r="1044" spans="3:6">
      <c r="C1044" s="1"/>
      <c r="D1044" s="1"/>
      <c r="E1044" s="1"/>
      <c r="F1044" s="1"/>
    </row>
    <row r="1045" spans="3:6">
      <c r="C1045" s="1"/>
      <c r="D1045" s="1"/>
      <c r="E1045" s="1"/>
      <c r="F1045" s="1"/>
    </row>
    <row r="1046" spans="3:6">
      <c r="C1046" s="1"/>
      <c r="D1046" s="1"/>
      <c r="E1046" s="1"/>
      <c r="F1046" s="1"/>
    </row>
    <row r="1047" spans="3:6">
      <c r="C1047" s="1"/>
      <c r="D1047" s="1"/>
      <c r="E1047" s="1"/>
      <c r="F1047" s="1"/>
    </row>
    <row r="1048" spans="3:6">
      <c r="C1048" s="1"/>
      <c r="D1048" s="1"/>
      <c r="E1048" s="1"/>
      <c r="F1048" s="1"/>
    </row>
    <row r="1049" spans="3:6">
      <c r="C1049" s="1"/>
      <c r="D1049" s="1"/>
      <c r="E1049" s="1"/>
      <c r="F1049" s="1"/>
    </row>
    <row r="1050" spans="3:6">
      <c r="C1050" s="1"/>
      <c r="D1050" s="1"/>
      <c r="E1050" s="1"/>
      <c r="F1050" s="1"/>
    </row>
    <row r="1051" spans="3:6">
      <c r="C1051" s="1"/>
      <c r="D1051" s="1"/>
      <c r="E1051" s="1"/>
      <c r="F1051" s="1"/>
    </row>
    <row r="1052" spans="3:6">
      <c r="C1052" s="1"/>
      <c r="D1052" s="1"/>
      <c r="E1052" s="1"/>
      <c r="F1052" s="1"/>
    </row>
    <row r="1053" spans="3:6">
      <c r="C1053" s="1"/>
      <c r="D1053" s="1"/>
      <c r="E1053" s="1"/>
      <c r="F1053" s="1"/>
    </row>
    <row r="1054" spans="3:6">
      <c r="C1054" s="1"/>
      <c r="D1054" s="1"/>
      <c r="E1054" s="1"/>
      <c r="F1054" s="1"/>
    </row>
    <row r="1055" spans="3:6">
      <c r="C1055" s="1"/>
      <c r="D1055" s="1"/>
      <c r="E1055" s="1"/>
      <c r="F1055" s="1"/>
    </row>
    <row r="1056" spans="3:6">
      <c r="C1056" s="1"/>
      <c r="D1056" s="1"/>
      <c r="E1056" s="1"/>
      <c r="F1056" s="1"/>
    </row>
    <row r="1057" spans="3:6">
      <c r="C1057" s="1"/>
      <c r="D1057" s="1"/>
      <c r="E1057" s="1"/>
      <c r="F1057" s="1"/>
    </row>
    <row r="1058" spans="3:6">
      <c r="C1058" s="1"/>
      <c r="D1058" s="1"/>
      <c r="E1058" s="1"/>
      <c r="F1058" s="1"/>
    </row>
    <row r="1059" spans="3:6">
      <c r="C1059" s="1"/>
      <c r="D1059" s="1"/>
      <c r="E1059" s="1"/>
      <c r="F1059" s="1"/>
    </row>
    <row r="1060" spans="3:6">
      <c r="C1060" s="1"/>
      <c r="D1060" s="1"/>
      <c r="E1060" s="1"/>
      <c r="F1060" s="1"/>
    </row>
    <row r="1061" spans="3:6">
      <c r="C1061" s="1"/>
      <c r="D1061" s="1"/>
      <c r="E1061" s="1"/>
      <c r="F1061" s="1"/>
    </row>
    <row r="1062" spans="3:6">
      <c r="C1062" s="1"/>
      <c r="D1062" s="1"/>
      <c r="E1062" s="1"/>
      <c r="F1062" s="1"/>
    </row>
    <row r="1063" spans="3:6">
      <c r="C1063" s="1"/>
      <c r="D1063" s="1"/>
      <c r="E1063" s="1"/>
      <c r="F1063" s="1"/>
    </row>
    <row r="1064" spans="3:6">
      <c r="C1064" s="1"/>
      <c r="D1064" s="1"/>
      <c r="E1064" s="1"/>
      <c r="F1064" s="1"/>
    </row>
    <row r="1065" spans="3:6">
      <c r="C1065" s="1"/>
      <c r="D1065" s="1"/>
      <c r="E1065" s="1"/>
      <c r="F1065" s="1"/>
    </row>
    <row r="1066" spans="3:6">
      <c r="C1066" s="1"/>
      <c r="D1066" s="1"/>
      <c r="E1066" s="1"/>
      <c r="F1066" s="1"/>
    </row>
    <row r="1067" spans="3:6">
      <c r="C1067" s="1"/>
      <c r="D1067" s="1"/>
      <c r="E1067" s="1"/>
      <c r="F1067" s="1"/>
    </row>
    <row r="1068" spans="3:6">
      <c r="C1068" s="1"/>
      <c r="D1068" s="1"/>
      <c r="E1068" s="1"/>
      <c r="F1068" s="1"/>
    </row>
    <row r="1069" spans="3:6">
      <c r="C1069" s="1"/>
      <c r="D1069" s="1"/>
      <c r="E1069" s="1"/>
      <c r="F1069" s="1"/>
    </row>
    <row r="1070" spans="3:6">
      <c r="C1070" s="1"/>
      <c r="D1070" s="1"/>
      <c r="E1070" s="1"/>
      <c r="F1070" s="1"/>
    </row>
    <row r="1071" spans="3:6">
      <c r="C1071" s="1"/>
      <c r="D1071" s="1"/>
      <c r="E1071" s="1"/>
      <c r="F1071" s="1"/>
    </row>
    <row r="1072" spans="3:6">
      <c r="C1072" s="1"/>
      <c r="D1072" s="1"/>
      <c r="E1072" s="1"/>
      <c r="F1072" s="1"/>
    </row>
    <row r="1073" spans="3:6">
      <c r="C1073" s="1"/>
      <c r="D1073" s="1"/>
      <c r="E1073" s="1"/>
      <c r="F1073" s="1"/>
    </row>
    <row r="1074" spans="3:6">
      <c r="C1074" s="1"/>
      <c r="D1074" s="1"/>
      <c r="E1074" s="1"/>
      <c r="F1074" s="1"/>
    </row>
    <row r="1075" spans="3:6">
      <c r="C1075" s="1"/>
      <c r="D1075" s="1"/>
      <c r="E1075" s="1"/>
      <c r="F1075" s="1"/>
    </row>
    <row r="1076" spans="3:6">
      <c r="C1076" s="1"/>
      <c r="D1076" s="1"/>
      <c r="E1076" s="1"/>
      <c r="F1076" s="1"/>
    </row>
    <row r="1077" spans="3:6">
      <c r="C1077" s="1"/>
      <c r="D1077" s="1"/>
      <c r="E1077" s="1"/>
      <c r="F1077" s="1"/>
    </row>
    <row r="1078" spans="3:6">
      <c r="C1078" s="1"/>
      <c r="D1078" s="1"/>
      <c r="E1078" s="1"/>
      <c r="F1078" s="1"/>
    </row>
    <row r="1079" spans="3:6">
      <c r="C1079" s="1"/>
      <c r="D1079" s="1"/>
      <c r="E1079" s="1"/>
      <c r="F1079" s="1"/>
    </row>
    <row r="1080" spans="3:6">
      <c r="C1080" s="1"/>
      <c r="D1080" s="1"/>
      <c r="E1080" s="1"/>
      <c r="F1080" s="1"/>
    </row>
    <row r="1081" spans="3:6">
      <c r="C1081" s="1"/>
      <c r="D1081" s="1"/>
      <c r="E1081" s="1"/>
      <c r="F1081" s="1"/>
    </row>
    <row r="1082" spans="3:6">
      <c r="C1082" s="1"/>
      <c r="D1082" s="1"/>
      <c r="E1082" s="1"/>
      <c r="F1082" s="1"/>
    </row>
    <row r="1083" spans="3:6">
      <c r="C1083" s="1"/>
      <c r="D1083" s="1"/>
      <c r="E1083" s="1"/>
      <c r="F1083" s="1"/>
    </row>
    <row r="1084" spans="3:6">
      <c r="C1084" s="1"/>
      <c r="D1084" s="1"/>
      <c r="E1084" s="1"/>
      <c r="F1084" s="1"/>
    </row>
    <row r="1085" spans="3:6">
      <c r="C1085" s="1"/>
      <c r="D1085" s="1"/>
      <c r="E1085" s="1"/>
      <c r="F1085" s="1"/>
    </row>
    <row r="1086" spans="3:6">
      <c r="C1086" s="1"/>
      <c r="D1086" s="1"/>
      <c r="E1086" s="1"/>
      <c r="F1086" s="1"/>
    </row>
    <row r="1087" spans="3:6">
      <c r="C1087" s="1"/>
      <c r="D1087" s="1"/>
      <c r="E1087" s="1"/>
      <c r="F1087" s="1"/>
    </row>
    <row r="1088" spans="3:6">
      <c r="C1088" s="1"/>
      <c r="D1088" s="1"/>
      <c r="E1088" s="1"/>
      <c r="F1088" s="1"/>
    </row>
    <row r="1089" spans="3:6">
      <c r="C1089" s="1"/>
      <c r="D1089" s="1"/>
      <c r="E1089" s="1"/>
      <c r="F1089" s="1"/>
    </row>
    <row r="1090" spans="3:6">
      <c r="C1090" s="1"/>
      <c r="D1090" s="1"/>
      <c r="E1090" s="1"/>
      <c r="F1090" s="1"/>
    </row>
    <row r="1091" spans="3:6">
      <c r="C1091" s="1"/>
      <c r="D1091" s="1"/>
      <c r="E1091" s="1"/>
      <c r="F1091" s="1"/>
    </row>
    <row r="1092" spans="3:6">
      <c r="C1092" s="1"/>
      <c r="D1092" s="1"/>
      <c r="E1092" s="1"/>
      <c r="F1092" s="1"/>
    </row>
    <row r="1093" spans="3:6">
      <c r="C1093" s="1"/>
      <c r="D1093" s="1"/>
      <c r="E1093" s="1"/>
      <c r="F1093" s="1"/>
    </row>
    <row r="1094" spans="3:6">
      <c r="C1094" s="1"/>
      <c r="D1094" s="1"/>
      <c r="E1094" s="1"/>
      <c r="F1094" s="1"/>
    </row>
    <row r="1095" spans="3:6">
      <c r="C1095" s="1"/>
      <c r="D1095" s="1"/>
      <c r="E1095" s="1"/>
      <c r="F1095" s="1"/>
    </row>
    <row r="1096" spans="3:6">
      <c r="C1096" s="1"/>
      <c r="D1096" s="1"/>
      <c r="E1096" s="1"/>
      <c r="F1096" s="1"/>
    </row>
    <row r="1097" spans="3:6">
      <c r="C1097" s="1"/>
      <c r="D1097" s="1"/>
      <c r="E1097" s="1"/>
      <c r="F1097" s="1"/>
    </row>
    <row r="1098" spans="3:6">
      <c r="C1098" s="1"/>
      <c r="D1098" s="1"/>
      <c r="E1098" s="1"/>
      <c r="F1098" s="1"/>
    </row>
    <row r="1099" spans="3:6">
      <c r="C1099" s="1"/>
      <c r="D1099" s="1"/>
      <c r="E1099" s="1"/>
      <c r="F1099" s="1"/>
    </row>
    <row r="1100" spans="3:6">
      <c r="C1100" s="1"/>
      <c r="D1100" s="1"/>
      <c r="E1100" s="1"/>
      <c r="F1100" s="1"/>
    </row>
    <row r="1101" spans="3:6">
      <c r="C1101" s="1"/>
      <c r="D1101" s="1"/>
      <c r="E1101" s="1"/>
      <c r="F1101" s="1"/>
    </row>
    <row r="1102" spans="3:6">
      <c r="C1102" s="1"/>
      <c r="D1102" s="1"/>
      <c r="E1102" s="1"/>
      <c r="F1102" s="1"/>
    </row>
    <row r="1103" spans="3:6">
      <c r="C1103" s="1"/>
      <c r="D1103" s="1"/>
      <c r="E1103" s="1"/>
      <c r="F1103" s="1"/>
    </row>
    <row r="1104" spans="3:6">
      <c r="C1104" s="1"/>
      <c r="D1104" s="1"/>
      <c r="E1104" s="1"/>
      <c r="F1104" s="1"/>
    </row>
    <row r="1105" spans="3:6">
      <c r="C1105" s="1"/>
      <c r="D1105" s="1"/>
      <c r="E1105" s="1"/>
      <c r="F1105" s="1"/>
    </row>
    <row r="1106" spans="3:6">
      <c r="C1106" s="1"/>
      <c r="D1106" s="1"/>
      <c r="E1106" s="1"/>
      <c r="F1106" s="1"/>
    </row>
    <row r="1107" spans="3:6">
      <c r="C1107" s="1"/>
      <c r="D1107" s="1"/>
      <c r="E1107" s="1"/>
      <c r="F1107" s="1"/>
    </row>
    <row r="1108" spans="3:6">
      <c r="C1108" s="1"/>
      <c r="D1108" s="1"/>
      <c r="E1108" s="1"/>
      <c r="F1108" s="1"/>
    </row>
    <row r="1109" spans="3:6">
      <c r="C1109" s="1"/>
      <c r="D1109" s="1"/>
      <c r="E1109" s="1"/>
      <c r="F1109" s="1"/>
    </row>
    <row r="1110" spans="3:6">
      <c r="C1110" s="1"/>
      <c r="D1110" s="1"/>
      <c r="E1110" s="1"/>
      <c r="F1110" s="1"/>
    </row>
    <row r="1111" spans="3:6">
      <c r="C1111" s="1"/>
      <c r="D1111" s="1"/>
      <c r="E1111" s="1"/>
      <c r="F1111" s="1"/>
    </row>
    <row r="1112" spans="3:6">
      <c r="C1112" s="1"/>
      <c r="D1112" s="1"/>
      <c r="E1112" s="1"/>
      <c r="F1112" s="1"/>
    </row>
    <row r="1113" spans="3:6">
      <c r="C1113" s="1"/>
      <c r="D1113" s="1"/>
      <c r="E1113" s="1"/>
      <c r="F1113" s="1"/>
    </row>
    <row r="1114" spans="3:6">
      <c r="C1114" s="1"/>
      <c r="D1114" s="1"/>
      <c r="E1114" s="1"/>
      <c r="F1114" s="1"/>
    </row>
    <row r="1115" spans="3:6">
      <c r="C1115" s="1"/>
      <c r="D1115" s="1"/>
      <c r="E1115" s="1"/>
      <c r="F1115" s="1"/>
    </row>
    <row r="1116" spans="3:6">
      <c r="C1116" s="1"/>
      <c r="D1116" s="1"/>
      <c r="E1116" s="1"/>
      <c r="F1116" s="1"/>
    </row>
    <row r="1117" spans="3:6">
      <c r="C1117" s="1"/>
      <c r="D1117" s="1"/>
      <c r="E1117" s="1"/>
      <c r="F1117" s="1"/>
    </row>
    <row r="1118" spans="3:6">
      <c r="C1118" s="1"/>
      <c r="D1118" s="1"/>
      <c r="E1118" s="1"/>
      <c r="F1118" s="1"/>
    </row>
    <row r="1119" spans="3:6">
      <c r="C1119" s="1"/>
      <c r="D1119" s="1"/>
      <c r="E1119" s="1"/>
      <c r="F1119" s="1"/>
    </row>
    <row r="1120" spans="3:6">
      <c r="C1120" s="1"/>
      <c r="D1120" s="1"/>
      <c r="E1120" s="1"/>
      <c r="F1120" s="1"/>
    </row>
    <row r="1121" spans="3:6">
      <c r="C1121" s="1"/>
      <c r="D1121" s="1"/>
      <c r="E1121" s="1"/>
      <c r="F1121" s="1"/>
    </row>
    <row r="1122" spans="3:6">
      <c r="C1122" s="1"/>
      <c r="D1122" s="1"/>
      <c r="E1122" s="1"/>
      <c r="F1122" s="1"/>
    </row>
    <row r="1123" spans="3:6">
      <c r="C1123" s="1"/>
      <c r="D1123" s="1"/>
      <c r="E1123" s="1"/>
      <c r="F1123" s="1"/>
    </row>
    <row r="1124" spans="3:6">
      <c r="C1124" s="1"/>
      <c r="D1124" s="1"/>
      <c r="E1124" s="1"/>
      <c r="F1124" s="1"/>
    </row>
    <row r="1125" spans="3:6">
      <c r="C1125" s="1"/>
      <c r="D1125" s="1"/>
      <c r="E1125" s="1"/>
      <c r="F1125" s="1"/>
    </row>
    <row r="1126" spans="3:6">
      <c r="C1126" s="1"/>
      <c r="D1126" s="1"/>
      <c r="E1126" s="1"/>
      <c r="F1126" s="1"/>
    </row>
    <row r="1127" spans="3:6">
      <c r="C1127" s="1"/>
      <c r="D1127" s="1"/>
      <c r="E1127" s="1"/>
      <c r="F1127" s="1"/>
    </row>
    <row r="1128" spans="3:6">
      <c r="C1128" s="1"/>
      <c r="D1128" s="1"/>
      <c r="E1128" s="1"/>
      <c r="F1128" s="1"/>
    </row>
    <row r="1129" spans="3:6">
      <c r="C1129" s="1"/>
      <c r="D1129" s="1"/>
      <c r="E1129" s="1"/>
      <c r="F1129" s="1"/>
    </row>
    <row r="1130" spans="3:6">
      <c r="C1130" s="1"/>
      <c r="D1130" s="1"/>
      <c r="E1130" s="1"/>
      <c r="F1130" s="1"/>
    </row>
    <row r="1131" spans="3:6">
      <c r="C1131" s="1"/>
      <c r="D1131" s="1"/>
      <c r="E1131" s="1"/>
      <c r="F1131" s="1"/>
    </row>
    <row r="1132" spans="3:6">
      <c r="C1132" s="1"/>
      <c r="D1132" s="1"/>
      <c r="E1132" s="1"/>
      <c r="F1132" s="1"/>
    </row>
    <row r="1133" spans="3:6">
      <c r="C1133" s="1"/>
      <c r="D1133" s="1"/>
      <c r="E1133" s="1"/>
      <c r="F1133" s="1"/>
    </row>
    <row r="1134" spans="3:6">
      <c r="C1134" s="1"/>
      <c r="D1134" s="1"/>
      <c r="E1134" s="1"/>
      <c r="F1134" s="1"/>
    </row>
    <row r="1135" spans="3:6">
      <c r="C1135" s="1"/>
      <c r="D1135" s="1"/>
      <c r="E1135" s="1"/>
      <c r="F1135" s="1"/>
    </row>
    <row r="1136" spans="3:6">
      <c r="C1136" s="1"/>
      <c r="D1136" s="1"/>
      <c r="E1136" s="1"/>
      <c r="F1136" s="1"/>
    </row>
    <row r="1137" spans="3:6">
      <c r="C1137" s="1"/>
      <c r="D1137" s="1"/>
      <c r="E1137" s="1"/>
      <c r="F1137" s="1"/>
    </row>
    <row r="1138" spans="3:6">
      <c r="C1138" s="1"/>
      <c r="D1138" s="1"/>
      <c r="E1138" s="1"/>
      <c r="F1138" s="1"/>
    </row>
    <row r="1139" spans="3:6">
      <c r="C1139" s="1"/>
      <c r="D1139" s="1"/>
      <c r="E1139" s="1"/>
      <c r="F1139" s="1"/>
    </row>
    <row r="1140" spans="3:6">
      <c r="C1140" s="1"/>
      <c r="D1140" s="1"/>
      <c r="E1140" s="1"/>
      <c r="F1140" s="1"/>
    </row>
    <row r="1141" spans="3:6">
      <c r="C1141" s="1"/>
      <c r="D1141" s="1"/>
      <c r="E1141" s="1"/>
      <c r="F1141" s="1"/>
    </row>
    <row r="1142" spans="3:6">
      <c r="C1142" s="1"/>
      <c r="D1142" s="1"/>
      <c r="E1142" s="1"/>
      <c r="F1142" s="1"/>
    </row>
    <row r="1143" spans="3:6">
      <c r="C1143" s="1"/>
      <c r="D1143" s="1"/>
      <c r="E1143" s="1"/>
      <c r="F1143" s="1"/>
    </row>
    <row r="1144" spans="3:6">
      <c r="C1144" s="1"/>
      <c r="D1144" s="1"/>
      <c r="E1144" s="1"/>
      <c r="F1144" s="1"/>
    </row>
    <row r="1145" spans="3:6">
      <c r="C1145" s="1"/>
      <c r="D1145" s="1"/>
      <c r="E1145" s="1"/>
      <c r="F1145" s="1"/>
    </row>
    <row r="1146" spans="3:6">
      <c r="C1146" s="1"/>
      <c r="D1146" s="1"/>
      <c r="E1146" s="1"/>
      <c r="F1146" s="1"/>
    </row>
    <row r="1147" spans="3:6">
      <c r="C1147" s="1"/>
      <c r="D1147" s="1"/>
      <c r="E1147" s="1"/>
      <c r="F1147" s="1"/>
    </row>
    <row r="1148" spans="3:6">
      <c r="C1148" s="1"/>
      <c r="D1148" s="1"/>
      <c r="E1148" s="1"/>
      <c r="F1148" s="1"/>
    </row>
    <row r="1149" spans="3:6">
      <c r="C1149" s="1"/>
      <c r="D1149" s="1"/>
      <c r="E1149" s="1"/>
      <c r="F1149" s="1"/>
    </row>
    <row r="1150" spans="3:6">
      <c r="C1150" s="1"/>
      <c r="D1150" s="1"/>
      <c r="E1150" s="1"/>
      <c r="F1150" s="1"/>
    </row>
    <row r="1151" spans="3:6">
      <c r="C1151" s="1"/>
      <c r="D1151" s="1"/>
      <c r="E1151" s="1"/>
      <c r="F1151" s="1"/>
    </row>
    <row r="1152" spans="3:6">
      <c r="C1152" s="1"/>
      <c r="D1152" s="1"/>
      <c r="E1152" s="1"/>
      <c r="F1152" s="1"/>
    </row>
    <row r="1153" spans="3:6">
      <c r="C1153" s="1"/>
      <c r="D1153" s="1"/>
      <c r="E1153" s="1"/>
      <c r="F1153" s="1"/>
    </row>
    <row r="1154" spans="3:6">
      <c r="C1154" s="1"/>
      <c r="D1154" s="1"/>
      <c r="E1154" s="1"/>
      <c r="F1154" s="1"/>
    </row>
    <row r="1155" spans="3:6">
      <c r="C1155" s="1"/>
      <c r="D1155" s="1"/>
      <c r="E1155" s="1"/>
      <c r="F1155" s="1"/>
    </row>
    <row r="1156" spans="3:6">
      <c r="C1156" s="1"/>
      <c r="D1156" s="1"/>
      <c r="E1156" s="1"/>
      <c r="F1156" s="1"/>
    </row>
    <row r="1157" spans="3:6">
      <c r="C1157" s="1"/>
      <c r="D1157" s="1"/>
      <c r="E1157" s="1"/>
      <c r="F1157" s="1"/>
    </row>
    <row r="1158" spans="3:6">
      <c r="C1158" s="1"/>
      <c r="D1158" s="1"/>
      <c r="E1158" s="1"/>
      <c r="F1158" s="1"/>
    </row>
    <row r="1159" spans="3:6">
      <c r="C1159" s="1"/>
      <c r="D1159" s="1"/>
      <c r="E1159" s="1"/>
      <c r="F1159" s="1"/>
    </row>
    <row r="1160" spans="3:6">
      <c r="C1160" s="1"/>
      <c r="D1160" s="1"/>
      <c r="E1160" s="1"/>
      <c r="F1160" s="1"/>
    </row>
    <row r="1161" spans="3:6">
      <c r="C1161" s="1"/>
      <c r="D1161" s="1"/>
      <c r="E1161" s="1"/>
      <c r="F1161" s="1"/>
    </row>
    <row r="1162" spans="3:6">
      <c r="C1162" s="1"/>
      <c r="D1162" s="1"/>
      <c r="E1162" s="1"/>
      <c r="F1162" s="1"/>
    </row>
    <row r="1163" spans="3:6">
      <c r="C1163" s="1"/>
      <c r="D1163" s="1"/>
      <c r="E1163" s="1"/>
      <c r="F1163" s="1"/>
    </row>
    <row r="1164" spans="3:6">
      <c r="C1164" s="1"/>
      <c r="D1164" s="1"/>
      <c r="E1164" s="1"/>
      <c r="F1164" s="1"/>
    </row>
    <row r="1165" spans="3:6">
      <c r="C1165" s="1"/>
      <c r="D1165" s="1"/>
      <c r="E1165" s="1"/>
      <c r="F1165" s="1"/>
    </row>
    <row r="1166" spans="3:6">
      <c r="C1166" s="1"/>
      <c r="D1166" s="1"/>
      <c r="E1166" s="1"/>
      <c r="F1166" s="1"/>
    </row>
    <row r="1167" spans="3:6">
      <c r="C1167" s="1"/>
      <c r="D1167" s="1"/>
      <c r="E1167" s="1"/>
      <c r="F1167" s="1"/>
    </row>
    <row r="1168" spans="3:6">
      <c r="C1168" s="1"/>
      <c r="D1168" s="1"/>
      <c r="E1168" s="1"/>
      <c r="F1168" s="1"/>
    </row>
    <row r="1169" spans="3:6">
      <c r="C1169" s="1"/>
      <c r="D1169" s="1"/>
      <c r="E1169" s="1"/>
      <c r="F1169" s="1"/>
    </row>
    <row r="1170" spans="3:6">
      <c r="C1170" s="1"/>
      <c r="D1170" s="1"/>
      <c r="E1170" s="1"/>
      <c r="F1170" s="1"/>
    </row>
    <row r="1171" spans="3:6">
      <c r="C1171" s="1"/>
      <c r="D1171" s="1"/>
      <c r="E1171" s="1"/>
      <c r="F1171" s="1"/>
    </row>
    <row r="1172" spans="3:6">
      <c r="C1172" s="1"/>
      <c r="D1172" s="1"/>
      <c r="E1172" s="1"/>
      <c r="F1172" s="1"/>
    </row>
    <row r="1173" spans="3:6">
      <c r="C1173" s="1"/>
      <c r="D1173" s="1"/>
      <c r="E1173" s="1"/>
      <c r="F1173" s="1"/>
    </row>
    <row r="1174" spans="3:6">
      <c r="C1174" s="1"/>
      <c r="D1174" s="1"/>
      <c r="E1174" s="1"/>
      <c r="F1174" s="1"/>
    </row>
    <row r="1175" spans="3:6">
      <c r="C1175" s="1"/>
      <c r="D1175" s="1"/>
      <c r="E1175" s="1"/>
      <c r="F1175" s="1"/>
    </row>
    <row r="1176" spans="3:6">
      <c r="C1176" s="1"/>
      <c r="D1176" s="1"/>
      <c r="E1176" s="1"/>
      <c r="F1176" s="1"/>
    </row>
    <row r="1177" spans="3:6">
      <c r="C1177" s="1"/>
      <c r="D1177" s="1"/>
      <c r="E1177" s="1"/>
      <c r="F1177" s="1"/>
    </row>
    <row r="1178" spans="3:6">
      <c r="C1178" s="1"/>
      <c r="D1178" s="1"/>
      <c r="E1178" s="1"/>
      <c r="F1178" s="1"/>
    </row>
    <row r="1179" spans="3:6">
      <c r="C1179" s="1"/>
      <c r="D1179" s="1"/>
      <c r="E1179" s="1"/>
      <c r="F1179" s="1"/>
    </row>
    <row r="1180" spans="3:6">
      <c r="C1180" s="1"/>
      <c r="D1180" s="1"/>
      <c r="E1180" s="1"/>
      <c r="F1180" s="1"/>
    </row>
    <row r="1181" spans="3:6">
      <c r="C1181" s="1"/>
      <c r="D1181" s="1"/>
      <c r="E1181" s="1"/>
      <c r="F1181" s="1"/>
    </row>
    <row r="1182" spans="3:6">
      <c r="C1182" s="1"/>
      <c r="D1182" s="1"/>
      <c r="E1182" s="1"/>
      <c r="F1182" s="1"/>
    </row>
    <row r="1183" spans="3:6">
      <c r="C1183" s="1"/>
      <c r="D1183" s="1"/>
      <c r="E1183" s="1"/>
      <c r="F1183" s="1"/>
    </row>
    <row r="1184" spans="3:6">
      <c r="C1184" s="1"/>
      <c r="D1184" s="1"/>
      <c r="E1184" s="1"/>
      <c r="F1184" s="1"/>
    </row>
    <row r="1185" spans="3:6">
      <c r="C1185" s="1"/>
      <c r="D1185" s="1"/>
      <c r="E1185" s="1"/>
      <c r="F1185" s="1"/>
    </row>
    <row r="1186" spans="3:6">
      <c r="C1186" s="1"/>
      <c r="D1186" s="1"/>
      <c r="E1186" s="1"/>
      <c r="F1186" s="1"/>
    </row>
    <row r="1187" spans="3:6">
      <c r="C1187" s="1"/>
      <c r="D1187" s="1"/>
      <c r="E1187" s="1"/>
      <c r="F1187" s="1"/>
    </row>
    <row r="1188" spans="3:6">
      <c r="C1188" s="1"/>
      <c r="D1188" s="1"/>
      <c r="E1188" s="1"/>
      <c r="F1188" s="1"/>
    </row>
    <row r="1189" spans="3:6">
      <c r="C1189" s="1"/>
      <c r="D1189" s="1"/>
      <c r="E1189" s="1"/>
      <c r="F1189" s="1"/>
    </row>
    <row r="1190" spans="3:6">
      <c r="C1190" s="1"/>
      <c r="D1190" s="1"/>
      <c r="E1190" s="1"/>
      <c r="F1190" s="1"/>
    </row>
    <row r="1191" spans="3:6">
      <c r="C1191" s="1"/>
      <c r="D1191" s="1"/>
      <c r="E1191" s="1"/>
      <c r="F1191" s="1"/>
    </row>
    <row r="1192" spans="3:6">
      <c r="C1192" s="1"/>
      <c r="D1192" s="1"/>
      <c r="E1192" s="1"/>
      <c r="F1192" s="1"/>
    </row>
    <row r="1193" spans="3:6">
      <c r="C1193" s="1"/>
      <c r="D1193" s="1"/>
      <c r="E1193" s="1"/>
      <c r="F1193" s="1"/>
    </row>
    <row r="1194" spans="3:6">
      <c r="C1194" s="1"/>
      <c r="D1194" s="1"/>
      <c r="E1194" s="1"/>
      <c r="F1194" s="1"/>
    </row>
    <row r="1195" spans="3:6">
      <c r="C1195" s="1"/>
      <c r="D1195" s="1"/>
      <c r="E1195" s="1"/>
      <c r="F1195" s="1"/>
    </row>
    <row r="1196" spans="3:6">
      <c r="C1196" s="1"/>
      <c r="D1196" s="1"/>
      <c r="E1196" s="1"/>
      <c r="F1196" s="1"/>
    </row>
    <row r="1197" spans="3:6">
      <c r="C1197" s="1"/>
      <c r="D1197" s="1"/>
      <c r="E1197" s="1"/>
      <c r="F1197" s="1"/>
    </row>
    <row r="1198" spans="3:6">
      <c r="C1198" s="1"/>
      <c r="D1198" s="1"/>
      <c r="E1198" s="1"/>
      <c r="F1198" s="1"/>
    </row>
    <row r="1199" spans="3:6">
      <c r="C1199" s="1"/>
      <c r="D1199" s="1"/>
      <c r="E1199" s="1"/>
      <c r="F1199" s="1"/>
    </row>
    <row r="1200" spans="3:6">
      <c r="C1200" s="1"/>
      <c r="D1200" s="1"/>
      <c r="E1200" s="1"/>
      <c r="F1200" s="1"/>
    </row>
    <row r="1201" spans="3:6">
      <c r="C1201" s="1"/>
      <c r="D1201" s="1"/>
      <c r="E1201" s="1"/>
      <c r="F1201" s="1"/>
    </row>
    <row r="1202" spans="3:6">
      <c r="C1202" s="1"/>
      <c r="D1202" s="1"/>
      <c r="E1202" s="1"/>
      <c r="F1202" s="1"/>
    </row>
    <row r="1203" spans="3:6">
      <c r="C1203" s="1"/>
      <c r="D1203" s="1"/>
      <c r="E1203" s="1"/>
      <c r="F1203" s="1"/>
    </row>
    <row r="1204" spans="3:6">
      <c r="C1204" s="1"/>
      <c r="D1204" s="1"/>
      <c r="E1204" s="1"/>
      <c r="F1204" s="1"/>
    </row>
    <row r="1205" spans="3:6">
      <c r="C1205" s="1"/>
      <c r="D1205" s="1"/>
      <c r="E1205" s="1"/>
      <c r="F1205" s="1"/>
    </row>
    <row r="1206" spans="3:6">
      <c r="C1206" s="1"/>
      <c r="D1206" s="1"/>
      <c r="E1206" s="1"/>
      <c r="F1206" s="1"/>
    </row>
    <row r="1207" spans="3:6">
      <c r="C1207" s="1"/>
      <c r="D1207" s="1"/>
      <c r="E1207" s="1"/>
      <c r="F1207" s="1"/>
    </row>
    <row r="1208" spans="3:6">
      <c r="C1208" s="1"/>
      <c r="D1208" s="1"/>
      <c r="E1208" s="1"/>
      <c r="F1208" s="1"/>
    </row>
    <row r="1209" spans="3:6">
      <c r="C1209" s="1"/>
      <c r="D1209" s="1"/>
      <c r="E1209" s="1"/>
      <c r="F1209" s="1"/>
    </row>
    <row r="1210" spans="3:6">
      <c r="C1210" s="1"/>
      <c r="D1210" s="1"/>
      <c r="E1210" s="1"/>
      <c r="F1210" s="1"/>
    </row>
    <row r="1211" spans="3:6">
      <c r="C1211" s="1"/>
      <c r="D1211" s="1"/>
      <c r="E1211" s="1"/>
      <c r="F1211" s="1"/>
    </row>
    <row r="1212" spans="3:6">
      <c r="C1212" s="1"/>
      <c r="D1212" s="1"/>
      <c r="E1212" s="1"/>
      <c r="F1212" s="1"/>
    </row>
    <row r="1213" spans="3:6">
      <c r="C1213" s="1"/>
      <c r="D1213" s="1"/>
      <c r="E1213" s="1"/>
      <c r="F1213" s="1"/>
    </row>
    <row r="1214" spans="3:6">
      <c r="C1214" s="1"/>
      <c r="D1214" s="1"/>
      <c r="E1214" s="1"/>
      <c r="F1214" s="1"/>
    </row>
    <row r="1215" spans="3:6">
      <c r="C1215" s="1"/>
      <c r="D1215" s="1"/>
      <c r="E1215" s="1"/>
      <c r="F1215" s="1"/>
    </row>
    <row r="1216" spans="3:6">
      <c r="C1216" s="1"/>
      <c r="D1216" s="1"/>
      <c r="E1216" s="1"/>
      <c r="F1216" s="1"/>
    </row>
    <row r="1217" spans="3:6">
      <c r="C1217" s="1"/>
      <c r="D1217" s="1"/>
      <c r="E1217" s="1"/>
      <c r="F1217" s="1"/>
    </row>
    <row r="1218" spans="3:6">
      <c r="C1218" s="1"/>
      <c r="D1218" s="1"/>
      <c r="E1218" s="1"/>
      <c r="F1218" s="1"/>
    </row>
    <row r="1219" spans="3:6">
      <c r="C1219" s="1"/>
      <c r="D1219" s="1"/>
      <c r="E1219" s="1"/>
      <c r="F1219" s="1"/>
    </row>
    <row r="1220" spans="3:6">
      <c r="C1220" s="1"/>
      <c r="D1220" s="1"/>
      <c r="E1220" s="1"/>
      <c r="F1220" s="1"/>
    </row>
    <row r="1221" spans="3:6">
      <c r="C1221" s="1"/>
      <c r="D1221" s="1"/>
      <c r="E1221" s="1"/>
      <c r="F1221" s="1"/>
    </row>
    <row r="1222" spans="3:6">
      <c r="C1222" s="1"/>
      <c r="D1222" s="1"/>
      <c r="E1222" s="1"/>
      <c r="F1222" s="1"/>
    </row>
    <row r="1223" spans="3:6">
      <c r="C1223" s="1"/>
      <c r="D1223" s="1"/>
      <c r="E1223" s="1"/>
      <c r="F1223" s="1"/>
    </row>
    <row r="1224" spans="3:6">
      <c r="C1224" s="1"/>
      <c r="D1224" s="1"/>
      <c r="E1224" s="1"/>
      <c r="F1224" s="1"/>
    </row>
    <row r="1225" spans="3:6">
      <c r="C1225" s="1"/>
      <c r="D1225" s="1"/>
      <c r="E1225" s="1"/>
      <c r="F1225" s="1"/>
    </row>
    <row r="1226" spans="3:6">
      <c r="C1226" s="1"/>
      <c r="D1226" s="1"/>
      <c r="E1226" s="1"/>
      <c r="F1226" s="1"/>
    </row>
    <row r="1227" spans="3:6">
      <c r="C1227" s="1"/>
      <c r="D1227" s="1"/>
      <c r="E1227" s="1"/>
      <c r="F1227" s="1"/>
    </row>
    <row r="1228" spans="3:6">
      <c r="C1228" s="1"/>
      <c r="D1228" s="1"/>
      <c r="E1228" s="1"/>
      <c r="F1228" s="1"/>
    </row>
    <row r="1229" spans="3:6">
      <c r="C1229" s="1"/>
      <c r="D1229" s="1"/>
      <c r="E1229" s="1"/>
      <c r="F1229" s="1"/>
    </row>
    <row r="1230" spans="3:6">
      <c r="C1230" s="1"/>
      <c r="D1230" s="1"/>
      <c r="E1230" s="1"/>
      <c r="F1230" s="1"/>
    </row>
    <row r="1231" spans="3:6">
      <c r="C1231" s="1"/>
      <c r="D1231" s="1"/>
      <c r="E1231" s="1"/>
      <c r="F1231" s="1"/>
    </row>
    <row r="1232" spans="3:6">
      <c r="C1232" s="1"/>
      <c r="D1232" s="1"/>
      <c r="E1232" s="1"/>
      <c r="F1232" s="1"/>
    </row>
    <row r="1233" spans="3:6">
      <c r="C1233" s="1"/>
      <c r="D1233" s="1"/>
      <c r="E1233" s="1"/>
      <c r="F1233" s="1"/>
    </row>
    <row r="1234" spans="3:6">
      <c r="C1234" s="1"/>
      <c r="D1234" s="1"/>
      <c r="E1234" s="1"/>
      <c r="F1234" s="1"/>
    </row>
    <row r="1235" spans="3:6">
      <c r="C1235" s="1"/>
      <c r="D1235" s="1"/>
      <c r="E1235" s="1"/>
      <c r="F1235" s="1"/>
    </row>
    <row r="1236" spans="3:6">
      <c r="C1236" s="1"/>
      <c r="D1236" s="1"/>
      <c r="E1236" s="1"/>
      <c r="F1236" s="1"/>
    </row>
    <row r="1237" spans="3:6">
      <c r="C1237" s="1"/>
      <c r="D1237" s="1"/>
      <c r="E1237" s="1"/>
      <c r="F1237" s="1"/>
    </row>
    <row r="1238" spans="3:6">
      <c r="C1238" s="1"/>
      <c r="D1238" s="1"/>
      <c r="E1238" s="1"/>
      <c r="F1238" s="1"/>
    </row>
    <row r="1239" spans="3:6">
      <c r="C1239" s="1"/>
      <c r="D1239" s="1"/>
      <c r="E1239" s="1"/>
      <c r="F1239" s="1"/>
    </row>
    <row r="1240" spans="3:6">
      <c r="C1240" s="1"/>
      <c r="D1240" s="1"/>
      <c r="E1240" s="1"/>
      <c r="F1240" s="1"/>
    </row>
    <row r="1241" spans="3:6">
      <c r="C1241" s="1"/>
      <c r="D1241" s="1"/>
      <c r="E1241" s="1"/>
      <c r="F1241" s="1"/>
    </row>
    <row r="1242" spans="3:6">
      <c r="C1242" s="1"/>
      <c r="D1242" s="1"/>
      <c r="E1242" s="1"/>
      <c r="F1242" s="1"/>
    </row>
    <row r="1243" spans="3:6">
      <c r="C1243" s="1"/>
      <c r="D1243" s="1"/>
      <c r="E1243" s="1"/>
      <c r="F1243" s="1"/>
    </row>
    <row r="1244" spans="3:6">
      <c r="C1244" s="1"/>
      <c r="D1244" s="1"/>
      <c r="E1244" s="1"/>
      <c r="F1244" s="1"/>
    </row>
    <row r="1245" spans="3:6">
      <c r="C1245" s="1"/>
      <c r="D1245" s="1"/>
      <c r="E1245" s="1"/>
      <c r="F1245" s="1"/>
    </row>
    <row r="1246" spans="3:6">
      <c r="C1246" s="1"/>
      <c r="D1246" s="1"/>
      <c r="E1246" s="1"/>
      <c r="F1246" s="1"/>
    </row>
    <row r="1247" spans="3:6">
      <c r="C1247" s="1"/>
      <c r="D1247" s="1"/>
      <c r="E1247" s="1"/>
      <c r="F1247" s="1"/>
    </row>
    <row r="1248" spans="3:6">
      <c r="C1248" s="1"/>
      <c r="D1248" s="1"/>
      <c r="E1248" s="1"/>
      <c r="F1248" s="1"/>
    </row>
    <row r="1249" spans="3:6">
      <c r="C1249" s="1"/>
      <c r="D1249" s="1"/>
      <c r="E1249" s="1"/>
      <c r="F1249" s="1"/>
    </row>
    <row r="1250" spans="3:6">
      <c r="C1250" s="1"/>
      <c r="D1250" s="1"/>
      <c r="E1250" s="1"/>
      <c r="F1250" s="1"/>
    </row>
    <row r="1251" spans="3:6">
      <c r="C1251" s="1"/>
      <c r="D1251" s="1"/>
      <c r="E1251" s="1"/>
      <c r="F1251" s="1"/>
    </row>
    <row r="1252" spans="3:6">
      <c r="C1252" s="1"/>
      <c r="D1252" s="1"/>
      <c r="E1252" s="1"/>
      <c r="F1252" s="1"/>
    </row>
    <row r="1253" spans="3:6">
      <c r="C1253" s="1"/>
      <c r="D1253" s="1"/>
      <c r="E1253" s="1"/>
      <c r="F1253" s="1"/>
    </row>
    <row r="1254" spans="3:6">
      <c r="C1254" s="1"/>
      <c r="D1254" s="1"/>
      <c r="E1254" s="1"/>
      <c r="F1254" s="1"/>
    </row>
    <row r="1255" spans="3:6">
      <c r="C1255" s="1"/>
      <c r="D1255" s="1"/>
      <c r="E1255" s="1"/>
      <c r="F1255" s="1"/>
    </row>
    <row r="1256" spans="3:6">
      <c r="C1256" s="1"/>
      <c r="D1256" s="1"/>
      <c r="E1256" s="1"/>
      <c r="F1256" s="1"/>
    </row>
    <row r="1257" spans="3:6">
      <c r="C1257" s="1"/>
      <c r="D1257" s="1"/>
      <c r="E1257" s="1"/>
      <c r="F1257" s="1"/>
    </row>
    <row r="1258" spans="3:6">
      <c r="C1258" s="1"/>
      <c r="D1258" s="1"/>
      <c r="E1258" s="1"/>
      <c r="F1258" s="1"/>
    </row>
    <row r="1259" spans="3:6">
      <c r="C1259" s="1"/>
      <c r="D1259" s="1"/>
      <c r="E1259" s="1"/>
      <c r="F1259" s="1"/>
    </row>
    <row r="1260" spans="3:6">
      <c r="C1260" s="1"/>
      <c r="D1260" s="1"/>
      <c r="E1260" s="1"/>
      <c r="F1260" s="1"/>
    </row>
    <row r="1261" spans="3:6">
      <c r="C1261" s="1"/>
      <c r="D1261" s="1"/>
      <c r="E1261" s="1"/>
      <c r="F1261" s="1"/>
    </row>
    <row r="1262" spans="3:6">
      <c r="C1262" s="1"/>
      <c r="D1262" s="1"/>
      <c r="E1262" s="1"/>
      <c r="F1262" s="1"/>
    </row>
    <row r="1263" spans="3:6">
      <c r="C1263" s="1"/>
      <c r="D1263" s="1"/>
      <c r="E1263" s="1"/>
      <c r="F1263" s="1"/>
    </row>
    <row r="1264" spans="3:6">
      <c r="C1264" s="1"/>
      <c r="D1264" s="1"/>
      <c r="E1264" s="1"/>
      <c r="F1264" s="1"/>
    </row>
    <row r="1265" spans="3:6">
      <c r="C1265" s="1"/>
      <c r="D1265" s="1"/>
      <c r="E1265" s="1"/>
      <c r="F1265" s="1"/>
    </row>
    <row r="1266" spans="3:6">
      <c r="C1266" s="1"/>
      <c r="D1266" s="1"/>
      <c r="E1266" s="1"/>
      <c r="F1266" s="1"/>
    </row>
    <row r="1267" spans="3:6">
      <c r="C1267" s="1"/>
      <c r="D1267" s="1"/>
      <c r="E1267" s="1"/>
      <c r="F1267" s="1"/>
    </row>
    <row r="1268" spans="3:6">
      <c r="C1268" s="1"/>
      <c r="D1268" s="1"/>
      <c r="E1268" s="1"/>
      <c r="F1268" s="1"/>
    </row>
    <row r="1269" spans="3:6">
      <c r="C1269" s="1"/>
      <c r="D1269" s="1"/>
      <c r="E1269" s="1"/>
      <c r="F1269" s="1"/>
    </row>
    <row r="1270" spans="3:6">
      <c r="C1270" s="1"/>
      <c r="D1270" s="1"/>
      <c r="E1270" s="1"/>
      <c r="F1270" s="1"/>
    </row>
    <row r="1271" spans="3:6">
      <c r="C1271" s="1"/>
      <c r="D1271" s="1"/>
      <c r="E1271" s="1"/>
      <c r="F1271" s="1"/>
    </row>
    <row r="1272" spans="3:6">
      <c r="C1272" s="1"/>
      <c r="D1272" s="1"/>
      <c r="E1272" s="1"/>
      <c r="F1272" s="1"/>
    </row>
    <row r="1273" spans="3:6">
      <c r="C1273" s="1"/>
      <c r="D1273" s="1"/>
      <c r="E1273" s="1"/>
      <c r="F1273" s="1"/>
    </row>
    <row r="1274" spans="3:6">
      <c r="C1274" s="1"/>
      <c r="D1274" s="1"/>
      <c r="E1274" s="1"/>
      <c r="F1274" s="1"/>
    </row>
    <row r="1275" spans="3:6">
      <c r="C1275" s="1"/>
      <c r="D1275" s="1"/>
      <c r="E1275" s="1"/>
      <c r="F1275" s="1"/>
    </row>
    <row r="1276" spans="3:6">
      <c r="C1276" s="1"/>
      <c r="D1276" s="1"/>
      <c r="E1276" s="1"/>
      <c r="F1276" s="1"/>
    </row>
    <row r="1277" spans="3:6">
      <c r="C1277" s="1"/>
      <c r="D1277" s="1"/>
      <c r="E1277" s="1"/>
      <c r="F1277" s="1"/>
    </row>
    <row r="1278" spans="3:6">
      <c r="C1278" s="1"/>
      <c r="D1278" s="1"/>
      <c r="E1278" s="1"/>
      <c r="F1278" s="1"/>
    </row>
    <row r="1279" spans="3:6">
      <c r="C1279" s="1"/>
      <c r="D1279" s="1"/>
      <c r="E1279" s="1"/>
      <c r="F1279" s="1"/>
    </row>
    <row r="1280" spans="3:6">
      <c r="C1280" s="1"/>
      <c r="D1280" s="1"/>
      <c r="E1280" s="1"/>
      <c r="F1280" s="1"/>
    </row>
    <row r="1281" spans="3:6">
      <c r="C1281" s="1"/>
      <c r="D1281" s="1"/>
      <c r="E1281" s="1"/>
      <c r="F1281" s="1"/>
    </row>
    <row r="1282" spans="3:6">
      <c r="C1282" s="1"/>
      <c r="D1282" s="1"/>
      <c r="E1282" s="1"/>
      <c r="F1282" s="1"/>
    </row>
    <row r="1283" spans="3:6">
      <c r="C1283" s="1"/>
      <c r="D1283" s="1"/>
      <c r="E1283" s="1"/>
      <c r="F1283" s="1"/>
    </row>
    <row r="1284" spans="3:6">
      <c r="C1284" s="1"/>
      <c r="D1284" s="1"/>
      <c r="E1284" s="1"/>
      <c r="F1284" s="1"/>
    </row>
    <row r="1285" spans="3:6">
      <c r="C1285" s="1"/>
      <c r="D1285" s="1"/>
      <c r="E1285" s="1"/>
      <c r="F1285" s="1"/>
    </row>
    <row r="1286" spans="3:6">
      <c r="C1286" s="1"/>
      <c r="D1286" s="1"/>
      <c r="E1286" s="1"/>
      <c r="F1286" s="1"/>
    </row>
    <row r="1287" spans="3:6">
      <c r="C1287" s="1"/>
      <c r="D1287" s="1"/>
      <c r="E1287" s="1"/>
      <c r="F1287" s="1"/>
    </row>
    <row r="1288" spans="3:6">
      <c r="C1288" s="1"/>
      <c r="D1288" s="1"/>
      <c r="E1288" s="1"/>
      <c r="F1288" s="1"/>
    </row>
    <row r="1289" spans="3:6">
      <c r="C1289" s="1"/>
      <c r="D1289" s="1"/>
      <c r="E1289" s="1"/>
      <c r="F1289" s="1"/>
    </row>
    <row r="1290" spans="3:6">
      <c r="C1290" s="1"/>
      <c r="D1290" s="1"/>
      <c r="E1290" s="1"/>
      <c r="F1290" s="1"/>
    </row>
    <row r="1291" spans="3:6">
      <c r="C1291" s="1"/>
      <c r="D1291" s="1"/>
      <c r="E1291" s="1"/>
      <c r="F1291" s="1"/>
    </row>
    <row r="1292" spans="3:6">
      <c r="C1292" s="1"/>
      <c r="D1292" s="1"/>
      <c r="E1292" s="1"/>
      <c r="F1292" s="1"/>
    </row>
    <row r="1293" spans="3:6">
      <c r="C1293" s="1"/>
      <c r="D1293" s="1"/>
      <c r="E1293" s="1"/>
      <c r="F1293" s="1"/>
    </row>
    <row r="1294" spans="3:6">
      <c r="C1294" s="1"/>
      <c r="D1294" s="1"/>
      <c r="E1294" s="1"/>
      <c r="F1294" s="1"/>
    </row>
    <row r="1295" spans="3:6">
      <c r="C1295" s="1"/>
      <c r="D1295" s="1"/>
      <c r="E1295" s="1"/>
      <c r="F1295" s="1"/>
    </row>
    <row r="1296" spans="3:6">
      <c r="C1296" s="1"/>
      <c r="D1296" s="1"/>
      <c r="E1296" s="1"/>
      <c r="F1296" s="1"/>
    </row>
    <row r="1297" spans="3:6">
      <c r="C1297" s="1"/>
      <c r="D1297" s="1"/>
      <c r="E1297" s="1"/>
      <c r="F1297" s="1"/>
    </row>
    <row r="1298" spans="3:6">
      <c r="C1298" s="1"/>
      <c r="D1298" s="1"/>
      <c r="E1298" s="1"/>
      <c r="F1298" s="1"/>
    </row>
    <row r="1299" spans="3:6">
      <c r="C1299" s="1"/>
      <c r="D1299" s="1"/>
      <c r="E1299" s="1"/>
      <c r="F1299" s="1"/>
    </row>
    <row r="1300" spans="3:6">
      <c r="C1300" s="1"/>
      <c r="D1300" s="1"/>
      <c r="E1300" s="1"/>
      <c r="F1300" s="1"/>
    </row>
    <row r="1301" spans="3:6">
      <c r="C1301" s="1"/>
      <c r="D1301" s="1"/>
      <c r="E1301" s="1"/>
      <c r="F1301" s="1"/>
    </row>
    <row r="1302" spans="3:6">
      <c r="C1302" s="1"/>
      <c r="D1302" s="1"/>
      <c r="E1302" s="1"/>
      <c r="F1302" s="1"/>
    </row>
    <row r="1303" spans="3:6">
      <c r="C1303" s="1"/>
      <c r="D1303" s="1"/>
      <c r="E1303" s="1"/>
      <c r="F1303" s="1"/>
    </row>
    <row r="1304" spans="3:6">
      <c r="C1304" s="1"/>
      <c r="D1304" s="1"/>
      <c r="E1304" s="1"/>
      <c r="F1304" s="1"/>
    </row>
    <row r="1305" spans="3:6">
      <c r="C1305" s="1"/>
      <c r="D1305" s="1"/>
      <c r="E1305" s="1"/>
      <c r="F1305" s="1"/>
    </row>
    <row r="1306" spans="3:6">
      <c r="C1306" s="1"/>
      <c r="D1306" s="1"/>
      <c r="E1306" s="1"/>
      <c r="F1306" s="1"/>
    </row>
    <row r="1307" spans="3:6">
      <c r="C1307" s="1"/>
      <c r="D1307" s="1"/>
      <c r="E1307" s="1"/>
      <c r="F1307" s="1"/>
    </row>
    <row r="1308" spans="3:6">
      <c r="C1308" s="1"/>
      <c r="D1308" s="1"/>
      <c r="E1308" s="1"/>
      <c r="F1308" s="1"/>
    </row>
    <row r="1309" spans="3:6">
      <c r="C1309" s="1"/>
      <c r="D1309" s="1"/>
      <c r="E1309" s="1"/>
      <c r="F1309" s="1"/>
    </row>
    <row r="1310" spans="3:6">
      <c r="C1310" s="1"/>
      <c r="D1310" s="1"/>
      <c r="E1310" s="1"/>
      <c r="F1310" s="1"/>
    </row>
    <row r="1311" spans="3:6">
      <c r="C1311" s="1"/>
      <c r="D1311" s="1"/>
      <c r="E1311" s="1"/>
      <c r="F1311" s="1"/>
    </row>
    <row r="1312" spans="3:6">
      <c r="C1312" s="1"/>
      <c r="D1312" s="1"/>
      <c r="E1312" s="1"/>
      <c r="F1312" s="1"/>
    </row>
    <row r="1313" spans="3:6">
      <c r="C1313" s="1"/>
      <c r="D1313" s="1"/>
      <c r="E1313" s="1"/>
      <c r="F1313" s="1"/>
    </row>
    <row r="1314" spans="3:6">
      <c r="C1314" s="1"/>
      <c r="D1314" s="1"/>
      <c r="E1314" s="1"/>
      <c r="F1314" s="1"/>
    </row>
    <row r="1315" spans="3:6">
      <c r="C1315" s="1"/>
      <c r="D1315" s="1"/>
      <c r="E1315" s="1"/>
      <c r="F1315" s="1"/>
    </row>
    <row r="1316" spans="3:6">
      <c r="C1316" s="1"/>
      <c r="D1316" s="1"/>
      <c r="E1316" s="1"/>
      <c r="F1316" s="1"/>
    </row>
    <row r="1317" spans="3:6">
      <c r="C1317" s="1"/>
      <c r="D1317" s="1"/>
      <c r="E1317" s="1"/>
      <c r="F1317" s="1"/>
    </row>
    <row r="1318" spans="3:6">
      <c r="C1318" s="1"/>
      <c r="D1318" s="1"/>
      <c r="E1318" s="1"/>
      <c r="F1318" s="1"/>
    </row>
    <row r="1319" spans="3:6">
      <c r="C1319" s="1"/>
      <c r="D1319" s="1"/>
      <c r="E1319" s="1"/>
      <c r="F1319" s="1"/>
    </row>
    <row r="1320" spans="3:6">
      <c r="C1320" s="1"/>
      <c r="D1320" s="1"/>
      <c r="E1320" s="1"/>
      <c r="F1320" s="1"/>
    </row>
    <row r="1321" spans="3:6">
      <c r="C1321" s="1"/>
      <c r="D1321" s="1"/>
      <c r="E1321" s="1"/>
      <c r="F1321" s="1"/>
    </row>
    <row r="1322" spans="3:6">
      <c r="C1322" s="1"/>
      <c r="D1322" s="1"/>
      <c r="E1322" s="1"/>
      <c r="F1322" s="1"/>
    </row>
    <row r="1323" spans="3:6">
      <c r="C1323" s="1"/>
      <c r="D1323" s="1"/>
      <c r="E1323" s="1"/>
      <c r="F1323" s="1"/>
    </row>
    <row r="1324" spans="3:6">
      <c r="C1324" s="1"/>
      <c r="D1324" s="1"/>
      <c r="E1324" s="1"/>
      <c r="F1324" s="1"/>
    </row>
    <row r="1325" spans="3:6">
      <c r="C1325" s="1"/>
      <c r="D1325" s="1"/>
      <c r="E1325" s="1"/>
      <c r="F1325" s="1"/>
    </row>
    <row r="1326" spans="3:6">
      <c r="C1326" s="1"/>
      <c r="D1326" s="1"/>
      <c r="E1326" s="1"/>
      <c r="F1326" s="1"/>
    </row>
    <row r="1327" spans="3:6">
      <c r="C1327" s="1"/>
      <c r="D1327" s="1"/>
      <c r="E1327" s="1"/>
      <c r="F1327" s="1"/>
    </row>
    <row r="1328" spans="3:6">
      <c r="C1328" s="1"/>
      <c r="D1328" s="1"/>
      <c r="E1328" s="1"/>
      <c r="F1328" s="1"/>
    </row>
    <row r="1329" spans="3:6">
      <c r="C1329" s="1"/>
      <c r="D1329" s="1"/>
      <c r="E1329" s="1"/>
      <c r="F1329" s="1"/>
    </row>
    <row r="1330" spans="3:6">
      <c r="C1330" s="1"/>
      <c r="D1330" s="1"/>
      <c r="E1330" s="1"/>
      <c r="F1330" s="1"/>
    </row>
    <row r="1331" spans="3:6">
      <c r="C1331" s="1"/>
      <c r="D1331" s="1"/>
      <c r="E1331" s="1"/>
      <c r="F1331" s="1"/>
    </row>
    <row r="1332" spans="3:6">
      <c r="C1332" s="1"/>
      <c r="D1332" s="1"/>
      <c r="E1332" s="1"/>
      <c r="F1332" s="1"/>
    </row>
    <row r="1333" spans="3:6">
      <c r="C1333" s="1"/>
      <c r="D1333" s="1"/>
      <c r="E1333" s="1"/>
      <c r="F1333" s="1"/>
    </row>
    <row r="1334" spans="3:6">
      <c r="C1334" s="1"/>
      <c r="D1334" s="1"/>
      <c r="E1334" s="1"/>
      <c r="F1334" s="1"/>
    </row>
    <row r="1335" spans="3:6">
      <c r="C1335" s="1"/>
      <c r="D1335" s="1"/>
      <c r="E1335" s="1"/>
      <c r="F1335" s="1"/>
    </row>
    <row r="1336" spans="3:6">
      <c r="C1336" s="1"/>
      <c r="D1336" s="1"/>
      <c r="E1336" s="1"/>
      <c r="F1336" s="1"/>
    </row>
    <row r="1337" spans="3:6">
      <c r="C1337" s="1"/>
      <c r="D1337" s="1"/>
      <c r="E1337" s="1"/>
      <c r="F1337" s="1"/>
    </row>
    <row r="1338" spans="3:6">
      <c r="C1338" s="1"/>
      <c r="D1338" s="1"/>
      <c r="E1338" s="1"/>
      <c r="F1338" s="1"/>
    </row>
    <row r="1339" spans="3:6">
      <c r="C1339" s="1"/>
      <c r="D1339" s="1"/>
      <c r="E1339" s="1"/>
      <c r="F1339" s="1"/>
    </row>
    <row r="1340" spans="3:6">
      <c r="C1340" s="1"/>
      <c r="D1340" s="1"/>
      <c r="E1340" s="1"/>
      <c r="F1340" s="1"/>
    </row>
    <row r="1341" spans="3:6">
      <c r="C1341" s="1"/>
      <c r="D1341" s="1"/>
      <c r="E1341" s="1"/>
      <c r="F1341" s="1"/>
    </row>
    <row r="1342" spans="3:6">
      <c r="C1342" s="1"/>
      <c r="D1342" s="1"/>
      <c r="E1342" s="1"/>
      <c r="F1342" s="1"/>
    </row>
    <row r="1343" spans="3:6">
      <c r="C1343" s="1"/>
      <c r="D1343" s="1"/>
      <c r="E1343" s="1"/>
      <c r="F1343" s="1"/>
    </row>
    <row r="1344" spans="3:6">
      <c r="C1344" s="1"/>
      <c r="D1344" s="1"/>
      <c r="E1344" s="1"/>
      <c r="F1344" s="1"/>
    </row>
    <row r="1345" spans="3:6">
      <c r="C1345" s="1"/>
      <c r="D1345" s="1"/>
      <c r="E1345" s="1"/>
      <c r="F1345" s="1"/>
    </row>
    <row r="1346" spans="3:6">
      <c r="C1346" s="1"/>
      <c r="D1346" s="1"/>
      <c r="E1346" s="1"/>
      <c r="F1346" s="1"/>
    </row>
    <row r="1347" spans="3:6">
      <c r="C1347" s="1"/>
      <c r="D1347" s="1"/>
      <c r="E1347" s="1"/>
      <c r="F1347" s="1"/>
    </row>
    <row r="1348" spans="3:6">
      <c r="C1348" s="1"/>
      <c r="D1348" s="1"/>
      <c r="E1348" s="1"/>
      <c r="F1348" s="1"/>
    </row>
    <row r="1349" spans="3:6">
      <c r="C1349" s="1"/>
      <c r="D1349" s="1"/>
      <c r="E1349" s="1"/>
      <c r="F1349" s="1"/>
    </row>
    <row r="1350" spans="3:6">
      <c r="C1350" s="1"/>
      <c r="D1350" s="1"/>
      <c r="E1350" s="1"/>
      <c r="F1350" s="1"/>
    </row>
    <row r="1351" spans="3:6">
      <c r="C1351" s="1"/>
      <c r="D1351" s="1"/>
      <c r="E1351" s="1"/>
      <c r="F1351" s="1"/>
    </row>
    <row r="1352" spans="3:6">
      <c r="C1352" s="1"/>
      <c r="D1352" s="1"/>
      <c r="E1352" s="1"/>
      <c r="F1352" s="1"/>
    </row>
    <row r="1353" spans="3:6">
      <c r="C1353" s="1"/>
      <c r="D1353" s="1"/>
      <c r="E1353" s="1"/>
      <c r="F1353" s="1"/>
    </row>
    <row r="1354" spans="3:6">
      <c r="C1354" s="1"/>
      <c r="D1354" s="1"/>
      <c r="E1354" s="1"/>
      <c r="F1354" s="1"/>
    </row>
    <row r="1355" spans="3:6">
      <c r="C1355" s="1"/>
      <c r="D1355" s="1"/>
      <c r="E1355" s="1"/>
      <c r="F1355" s="1"/>
    </row>
    <row r="1356" spans="3:6">
      <c r="C1356" s="1"/>
      <c r="D1356" s="1"/>
      <c r="E1356" s="1"/>
      <c r="F1356" s="1"/>
    </row>
    <row r="1357" spans="3:6">
      <c r="C1357" s="1"/>
      <c r="D1357" s="1"/>
      <c r="E1357" s="1"/>
      <c r="F1357" s="1"/>
    </row>
    <row r="1358" spans="3:6">
      <c r="C1358" s="1"/>
      <c r="D1358" s="1"/>
      <c r="E1358" s="1"/>
      <c r="F1358" s="1"/>
    </row>
    <row r="1359" spans="3:6">
      <c r="C1359" s="1"/>
      <c r="D1359" s="1"/>
      <c r="E1359" s="1"/>
      <c r="F1359" s="1"/>
    </row>
    <row r="1360" spans="3:6">
      <c r="C1360" s="1"/>
      <c r="D1360" s="1"/>
      <c r="E1360" s="1"/>
      <c r="F1360" s="1"/>
    </row>
    <row r="1361" spans="3:6">
      <c r="C1361" s="1"/>
      <c r="D1361" s="1"/>
      <c r="E1361" s="1"/>
      <c r="F1361" s="1"/>
    </row>
    <row r="1362" spans="3:6">
      <c r="C1362" s="1"/>
      <c r="D1362" s="1"/>
      <c r="E1362" s="1"/>
      <c r="F1362" s="1"/>
    </row>
    <row r="1363" spans="3:6">
      <c r="C1363" s="1"/>
      <c r="D1363" s="1"/>
      <c r="E1363" s="1"/>
      <c r="F1363" s="1"/>
    </row>
    <row r="1364" spans="3:6">
      <c r="C1364" s="1"/>
      <c r="D1364" s="1"/>
      <c r="E1364" s="1"/>
      <c r="F1364" s="1"/>
    </row>
    <row r="1365" spans="3:6">
      <c r="C1365" s="1"/>
      <c r="D1365" s="1"/>
      <c r="E1365" s="1"/>
      <c r="F1365" s="1"/>
    </row>
    <row r="1366" spans="3:6">
      <c r="C1366" s="1"/>
      <c r="D1366" s="1"/>
      <c r="E1366" s="1"/>
      <c r="F1366" s="1"/>
    </row>
    <row r="1367" spans="3:6">
      <c r="C1367" s="1"/>
      <c r="D1367" s="1"/>
      <c r="E1367" s="1"/>
      <c r="F1367" s="1"/>
    </row>
    <row r="1368" spans="3:6">
      <c r="C1368" s="1"/>
      <c r="D1368" s="1"/>
      <c r="E1368" s="1"/>
      <c r="F1368" s="1"/>
    </row>
    <row r="1369" spans="3:6">
      <c r="C1369" s="1"/>
      <c r="D1369" s="1"/>
      <c r="E1369" s="1"/>
      <c r="F1369" s="1"/>
    </row>
    <row r="1370" spans="3:6">
      <c r="C1370" s="1"/>
      <c r="D1370" s="1"/>
      <c r="E1370" s="1"/>
      <c r="F1370" s="1"/>
    </row>
    <row r="1371" spans="3:6">
      <c r="C1371" s="1"/>
      <c r="D1371" s="1"/>
      <c r="E1371" s="1"/>
      <c r="F1371" s="1"/>
    </row>
    <row r="1372" spans="3:6">
      <c r="C1372" s="1"/>
      <c r="D1372" s="1"/>
      <c r="E1372" s="1"/>
      <c r="F1372" s="1"/>
    </row>
    <row r="1373" spans="3:6">
      <c r="C1373" s="1"/>
      <c r="D1373" s="1"/>
      <c r="E1373" s="1"/>
      <c r="F1373" s="1"/>
    </row>
    <row r="1374" spans="3:6">
      <c r="C1374" s="1"/>
      <c r="D1374" s="1"/>
      <c r="E1374" s="1"/>
      <c r="F1374" s="1"/>
    </row>
    <row r="1375" spans="3:6">
      <c r="C1375" s="1"/>
      <c r="D1375" s="1"/>
      <c r="E1375" s="1"/>
      <c r="F1375" s="1"/>
    </row>
    <row r="1376" spans="3:6">
      <c r="C1376" s="1"/>
      <c r="D1376" s="1"/>
      <c r="E1376" s="1"/>
      <c r="F1376" s="1"/>
    </row>
    <row r="1377" spans="3:6">
      <c r="C1377" s="1"/>
      <c r="D1377" s="1"/>
      <c r="E1377" s="1"/>
      <c r="F1377" s="1"/>
    </row>
    <row r="1378" spans="3:6">
      <c r="C1378" s="1"/>
      <c r="D1378" s="1"/>
      <c r="E1378" s="1"/>
      <c r="F1378" s="1"/>
    </row>
    <row r="1379" spans="3:6">
      <c r="C1379" s="1"/>
      <c r="D1379" s="1"/>
      <c r="E1379" s="1"/>
      <c r="F1379" s="1"/>
    </row>
    <row r="1380" spans="3:6">
      <c r="C1380" s="1"/>
      <c r="D1380" s="1"/>
      <c r="E1380" s="1"/>
      <c r="F1380" s="1"/>
    </row>
    <row r="1381" spans="3:6">
      <c r="C1381" s="1"/>
      <c r="D1381" s="1"/>
      <c r="E1381" s="1"/>
      <c r="F1381" s="1"/>
    </row>
    <row r="1382" spans="3:6">
      <c r="C1382" s="1"/>
      <c r="D1382" s="1"/>
      <c r="E1382" s="1"/>
      <c r="F1382" s="1"/>
    </row>
    <row r="1383" spans="3:6">
      <c r="C1383" s="1"/>
      <c r="D1383" s="1"/>
      <c r="E1383" s="1"/>
      <c r="F1383" s="1"/>
    </row>
    <row r="1384" spans="3:6">
      <c r="C1384" s="1"/>
      <c r="D1384" s="1"/>
      <c r="E1384" s="1"/>
      <c r="F1384" s="1"/>
    </row>
    <row r="1385" spans="3:6">
      <c r="C1385" s="1"/>
      <c r="D1385" s="1"/>
      <c r="E1385" s="1"/>
      <c r="F1385" s="1"/>
    </row>
    <row r="1386" spans="3:6">
      <c r="C1386" s="1"/>
      <c r="D1386" s="1"/>
      <c r="E1386" s="1"/>
      <c r="F1386" s="1"/>
    </row>
    <row r="1387" spans="3:6">
      <c r="C1387" s="1"/>
      <c r="D1387" s="1"/>
      <c r="E1387" s="1"/>
      <c r="F1387" s="1"/>
    </row>
    <row r="1388" spans="3:6">
      <c r="C1388" s="1"/>
      <c r="D1388" s="1"/>
      <c r="E1388" s="1"/>
      <c r="F1388" s="1"/>
    </row>
    <row r="1389" spans="3:6">
      <c r="C1389" s="1"/>
      <c r="D1389" s="1"/>
      <c r="E1389" s="1"/>
      <c r="F1389" s="1"/>
    </row>
    <row r="1390" spans="3:6">
      <c r="C1390" s="1"/>
      <c r="D1390" s="1"/>
      <c r="E1390" s="1"/>
      <c r="F1390" s="1"/>
    </row>
    <row r="1391" spans="3:6">
      <c r="C1391" s="1"/>
      <c r="D1391" s="1"/>
      <c r="E1391" s="1"/>
      <c r="F1391" s="1"/>
    </row>
    <row r="1392" spans="3:6">
      <c r="C1392" s="1"/>
      <c r="D1392" s="1"/>
      <c r="E1392" s="1"/>
      <c r="F1392" s="1"/>
    </row>
    <row r="1393" spans="3:6">
      <c r="C1393" s="1"/>
      <c r="D1393" s="1"/>
      <c r="E1393" s="1"/>
      <c r="F1393" s="1"/>
    </row>
    <row r="1394" spans="3:6">
      <c r="C1394" s="1"/>
      <c r="D1394" s="1"/>
      <c r="E1394" s="1"/>
      <c r="F1394" s="1"/>
    </row>
    <row r="1395" spans="3:6">
      <c r="C1395" s="1"/>
      <c r="D1395" s="1"/>
      <c r="E1395" s="1"/>
      <c r="F1395" s="1"/>
    </row>
    <row r="1396" spans="3:6">
      <c r="C1396" s="1"/>
      <c r="D1396" s="1"/>
      <c r="E1396" s="1"/>
      <c r="F1396" s="1"/>
    </row>
    <row r="1397" spans="3:6">
      <c r="C1397" s="1"/>
      <c r="D1397" s="1"/>
      <c r="E1397" s="1"/>
      <c r="F1397" s="1"/>
    </row>
    <row r="1398" spans="3:6">
      <c r="C1398" s="1"/>
      <c r="D1398" s="1"/>
      <c r="E1398" s="1"/>
      <c r="F1398" s="1"/>
    </row>
    <row r="1399" spans="3:6">
      <c r="C1399" s="1"/>
      <c r="D1399" s="1"/>
      <c r="E1399" s="1"/>
      <c r="F1399" s="1"/>
    </row>
    <row r="1400" spans="3:6">
      <c r="C1400" s="1"/>
      <c r="D1400" s="1"/>
      <c r="E1400" s="1"/>
      <c r="F1400" s="1"/>
    </row>
    <row r="1401" spans="3:6">
      <c r="C1401" s="1"/>
      <c r="D1401" s="1"/>
      <c r="E1401" s="1"/>
      <c r="F1401" s="1"/>
    </row>
    <row r="1402" spans="3:6">
      <c r="C1402" s="1"/>
      <c r="D1402" s="1"/>
      <c r="E1402" s="1"/>
      <c r="F1402" s="1"/>
    </row>
    <row r="1403" spans="3:6">
      <c r="C1403" s="1"/>
      <c r="D1403" s="1"/>
      <c r="E1403" s="1"/>
      <c r="F1403" s="1"/>
    </row>
    <row r="1404" spans="3:6">
      <c r="C1404" s="1"/>
      <c r="D1404" s="1"/>
      <c r="E1404" s="1"/>
      <c r="F1404" s="1"/>
    </row>
    <row r="1405" spans="3:6">
      <c r="C1405" s="1"/>
      <c r="D1405" s="1"/>
      <c r="E1405" s="1"/>
      <c r="F1405" s="1"/>
    </row>
    <row r="1406" spans="3:6">
      <c r="C1406" s="1"/>
      <c r="D1406" s="1"/>
      <c r="E1406" s="1"/>
      <c r="F1406" s="1"/>
    </row>
    <row r="1407" spans="3:6">
      <c r="C1407" s="1"/>
      <c r="D1407" s="1"/>
      <c r="E1407" s="1"/>
      <c r="F1407" s="1"/>
    </row>
    <row r="1408" spans="3:6">
      <c r="C1408" s="1"/>
      <c r="D1408" s="1"/>
      <c r="E1408" s="1"/>
      <c r="F1408" s="1"/>
    </row>
    <row r="1409" spans="3:6">
      <c r="C1409" s="1"/>
      <c r="D1409" s="1"/>
      <c r="E1409" s="1"/>
      <c r="F1409" s="1"/>
    </row>
    <row r="1410" spans="3:6">
      <c r="C1410" s="1"/>
      <c r="D1410" s="1"/>
      <c r="E1410" s="1"/>
      <c r="F1410" s="1"/>
    </row>
    <row r="1411" spans="3:6">
      <c r="C1411" s="1"/>
      <c r="D1411" s="1"/>
      <c r="E1411" s="1"/>
      <c r="F1411" s="1"/>
    </row>
    <row r="1412" spans="3:6">
      <c r="C1412" s="1"/>
      <c r="D1412" s="1"/>
      <c r="E1412" s="1"/>
      <c r="F1412" s="1"/>
    </row>
    <row r="1413" spans="3:6">
      <c r="C1413" s="1"/>
      <c r="D1413" s="1"/>
      <c r="E1413" s="1"/>
      <c r="F1413" s="1"/>
    </row>
    <row r="1414" spans="3:6">
      <c r="C1414" s="1"/>
      <c r="D1414" s="1"/>
      <c r="E1414" s="1"/>
      <c r="F1414" s="1"/>
    </row>
    <row r="1415" spans="3:6">
      <c r="C1415" s="1"/>
      <c r="D1415" s="1"/>
      <c r="E1415" s="1"/>
      <c r="F1415" s="1"/>
    </row>
    <row r="1416" spans="3:6">
      <c r="C1416" s="1"/>
      <c r="D1416" s="1"/>
      <c r="E1416" s="1"/>
      <c r="F1416" s="1"/>
    </row>
    <row r="1417" spans="3:6">
      <c r="C1417" s="1"/>
      <c r="D1417" s="1"/>
      <c r="E1417" s="1"/>
      <c r="F1417" s="1"/>
    </row>
    <row r="1418" spans="3:6">
      <c r="C1418" s="1"/>
      <c r="D1418" s="1"/>
      <c r="E1418" s="1"/>
      <c r="F1418" s="1"/>
    </row>
    <row r="1419" spans="3:6">
      <c r="C1419" s="1"/>
      <c r="D1419" s="1"/>
      <c r="E1419" s="1"/>
      <c r="F1419" s="1"/>
    </row>
    <row r="1420" spans="3:6">
      <c r="C1420" s="1"/>
      <c r="D1420" s="1"/>
      <c r="E1420" s="1"/>
      <c r="F1420" s="1"/>
    </row>
    <row r="1421" spans="3:6">
      <c r="C1421" s="1"/>
      <c r="D1421" s="1"/>
      <c r="E1421" s="1"/>
      <c r="F1421" s="1"/>
    </row>
    <row r="1422" spans="3:6">
      <c r="C1422" s="1"/>
      <c r="D1422" s="1"/>
      <c r="E1422" s="1"/>
      <c r="F1422" s="1"/>
    </row>
    <row r="1423" spans="3:6">
      <c r="C1423" s="1"/>
      <c r="D1423" s="1"/>
      <c r="E1423" s="1"/>
      <c r="F1423" s="1"/>
    </row>
    <row r="1424" spans="3:6">
      <c r="C1424" s="1"/>
      <c r="D1424" s="1"/>
      <c r="E1424" s="1"/>
      <c r="F1424" s="1"/>
    </row>
    <row r="1425" spans="3:6">
      <c r="C1425" s="1"/>
      <c r="D1425" s="1"/>
      <c r="E1425" s="1"/>
      <c r="F1425" s="1"/>
    </row>
    <row r="1426" spans="3:6">
      <c r="C1426" s="1"/>
      <c r="D1426" s="1"/>
      <c r="E1426" s="1"/>
      <c r="F1426" s="1"/>
    </row>
    <row r="1427" spans="3:6">
      <c r="C1427" s="1"/>
      <c r="D1427" s="1"/>
      <c r="E1427" s="1"/>
      <c r="F1427" s="1"/>
    </row>
    <row r="1428" spans="3:6">
      <c r="C1428" s="1"/>
      <c r="D1428" s="1"/>
      <c r="E1428" s="1"/>
      <c r="F1428" s="1"/>
    </row>
    <row r="1429" spans="3:6">
      <c r="C1429" s="1"/>
      <c r="D1429" s="1"/>
      <c r="E1429" s="1"/>
      <c r="F1429" s="1"/>
    </row>
    <row r="1430" spans="3:6">
      <c r="C1430" s="1"/>
      <c r="D1430" s="1"/>
      <c r="E1430" s="1"/>
      <c r="F1430" s="1"/>
    </row>
    <row r="1431" spans="3:6">
      <c r="C1431" s="1"/>
      <c r="D1431" s="1"/>
      <c r="E1431" s="1"/>
      <c r="F1431" s="1"/>
    </row>
    <row r="1432" spans="3:6">
      <c r="C1432" s="1"/>
      <c r="D1432" s="1"/>
      <c r="E1432" s="1"/>
      <c r="F1432" s="1"/>
    </row>
    <row r="1433" spans="3:6">
      <c r="C1433" s="1"/>
      <c r="D1433" s="1"/>
      <c r="E1433" s="1"/>
      <c r="F1433" s="1"/>
    </row>
    <row r="1434" spans="3:6">
      <c r="C1434" s="1"/>
      <c r="D1434" s="1"/>
      <c r="E1434" s="1"/>
      <c r="F1434" s="1"/>
    </row>
    <row r="1435" spans="3:6">
      <c r="C1435" s="1"/>
      <c r="D1435" s="1"/>
      <c r="E1435" s="1"/>
      <c r="F1435" s="1"/>
    </row>
    <row r="1436" spans="3:6">
      <c r="C1436" s="1"/>
      <c r="D1436" s="1"/>
      <c r="E1436" s="1"/>
      <c r="F1436" s="1"/>
    </row>
    <row r="1437" spans="3:6">
      <c r="C1437" s="1"/>
      <c r="D1437" s="1"/>
      <c r="E1437" s="1"/>
      <c r="F1437" s="1"/>
    </row>
    <row r="1438" spans="3:6">
      <c r="C1438" s="1"/>
      <c r="D1438" s="1"/>
      <c r="E1438" s="1"/>
      <c r="F1438" s="1"/>
    </row>
    <row r="1439" spans="3:6">
      <c r="C1439" s="1"/>
      <c r="D1439" s="1"/>
      <c r="E1439" s="1"/>
      <c r="F1439" s="1"/>
    </row>
    <row r="1440" spans="3:6">
      <c r="C1440" s="1"/>
      <c r="D1440" s="1"/>
      <c r="E1440" s="1"/>
      <c r="F1440" s="1"/>
    </row>
    <row r="1441" spans="3:6">
      <c r="C1441" s="1"/>
      <c r="D1441" s="1"/>
      <c r="E1441" s="1"/>
      <c r="F1441" s="1"/>
    </row>
    <row r="1442" spans="3:6">
      <c r="C1442" s="1"/>
      <c r="D1442" s="1"/>
      <c r="E1442" s="1"/>
      <c r="F1442" s="1"/>
    </row>
    <row r="1443" spans="3:6">
      <c r="C1443" s="1"/>
      <c r="D1443" s="1"/>
      <c r="E1443" s="1"/>
      <c r="F1443" s="1"/>
    </row>
    <row r="1444" spans="3:6">
      <c r="C1444" s="1"/>
      <c r="D1444" s="1"/>
      <c r="E1444" s="1"/>
      <c r="F1444" s="1"/>
    </row>
    <row r="1445" spans="3:6">
      <c r="C1445" s="1"/>
      <c r="D1445" s="1"/>
      <c r="E1445" s="1"/>
      <c r="F1445" s="1"/>
    </row>
    <row r="1446" spans="3:6">
      <c r="C1446" s="1"/>
      <c r="D1446" s="1"/>
      <c r="E1446" s="1"/>
      <c r="F1446" s="1"/>
    </row>
    <row r="1447" spans="3:6">
      <c r="C1447" s="1"/>
      <c r="D1447" s="1"/>
      <c r="E1447" s="1"/>
      <c r="F1447" s="1"/>
    </row>
    <row r="1448" spans="3:6">
      <c r="C1448" s="1"/>
      <c r="D1448" s="1"/>
      <c r="E1448" s="1"/>
      <c r="F1448" s="1"/>
    </row>
    <row r="1449" spans="3:6">
      <c r="C1449" s="1"/>
      <c r="D1449" s="1"/>
      <c r="E1449" s="1"/>
      <c r="F1449" s="1"/>
    </row>
    <row r="1450" spans="3:6">
      <c r="C1450" s="1"/>
      <c r="D1450" s="1"/>
      <c r="E1450" s="1"/>
      <c r="F1450" s="1"/>
    </row>
    <row r="1451" spans="3:6">
      <c r="C1451" s="1"/>
      <c r="D1451" s="1"/>
      <c r="E1451" s="1"/>
      <c r="F1451" s="1"/>
    </row>
    <row r="1452" spans="3:6">
      <c r="C1452" s="1"/>
      <c r="D1452" s="1"/>
      <c r="E1452" s="1"/>
      <c r="F1452" s="1"/>
    </row>
    <row r="1453" spans="3:6">
      <c r="C1453" s="1"/>
      <c r="D1453" s="1"/>
      <c r="E1453" s="1"/>
      <c r="F1453" s="1"/>
    </row>
    <row r="1454" spans="3:6">
      <c r="C1454" s="1"/>
      <c r="D1454" s="1"/>
      <c r="E1454" s="1"/>
      <c r="F1454" s="1"/>
    </row>
    <row r="1455" spans="3:6">
      <c r="C1455" s="1"/>
      <c r="D1455" s="1"/>
      <c r="E1455" s="1"/>
      <c r="F1455" s="1"/>
    </row>
    <row r="1456" spans="3:6">
      <c r="C1456" s="1"/>
      <c r="D1456" s="1"/>
      <c r="E1456" s="1"/>
      <c r="F1456" s="1"/>
    </row>
    <row r="1457" spans="3:6">
      <c r="C1457" s="1"/>
      <c r="D1457" s="1"/>
      <c r="E1457" s="1"/>
      <c r="F1457" s="1"/>
    </row>
    <row r="1458" spans="3:6">
      <c r="C1458" s="1"/>
      <c r="D1458" s="1"/>
      <c r="E1458" s="1"/>
      <c r="F1458" s="1"/>
    </row>
    <row r="1459" spans="3:6">
      <c r="C1459" s="1"/>
      <c r="D1459" s="1"/>
      <c r="E1459" s="1"/>
      <c r="F1459" s="1"/>
    </row>
    <row r="1460" spans="3:6">
      <c r="C1460" s="1"/>
      <c r="D1460" s="1"/>
      <c r="E1460" s="1"/>
      <c r="F1460" s="1"/>
    </row>
    <row r="1461" spans="3:6">
      <c r="C1461" s="1"/>
      <c r="D1461" s="1"/>
      <c r="E1461" s="1"/>
      <c r="F1461" s="1"/>
    </row>
    <row r="1462" spans="3:6">
      <c r="C1462" s="1"/>
      <c r="D1462" s="1"/>
      <c r="E1462" s="1"/>
      <c r="F1462" s="1"/>
    </row>
    <row r="1463" spans="3:6">
      <c r="C1463" s="1"/>
      <c r="D1463" s="1"/>
      <c r="E1463" s="1"/>
      <c r="F1463" s="1"/>
    </row>
    <row r="1464" spans="3:6">
      <c r="C1464" s="1"/>
      <c r="D1464" s="1"/>
      <c r="E1464" s="1"/>
      <c r="F1464" s="1"/>
    </row>
    <row r="1465" spans="3:6">
      <c r="C1465" s="1"/>
      <c r="D1465" s="1"/>
      <c r="E1465" s="1"/>
      <c r="F1465" s="1"/>
    </row>
    <row r="1466" spans="3:6">
      <c r="C1466" s="1"/>
      <c r="D1466" s="1"/>
      <c r="E1466" s="1"/>
      <c r="F1466" s="1"/>
    </row>
    <row r="1467" spans="3:6">
      <c r="C1467" s="1"/>
      <c r="D1467" s="1"/>
      <c r="E1467" s="1"/>
      <c r="F1467" s="1"/>
    </row>
    <row r="1468" spans="3:6">
      <c r="C1468" s="1"/>
      <c r="D1468" s="1"/>
      <c r="E1468" s="1"/>
      <c r="F1468" s="1"/>
    </row>
    <row r="1469" spans="3:6">
      <c r="C1469" s="1"/>
      <c r="D1469" s="1"/>
      <c r="E1469" s="1"/>
      <c r="F1469" s="1"/>
    </row>
    <row r="1470" spans="3:6">
      <c r="C1470" s="1"/>
      <c r="D1470" s="1"/>
      <c r="E1470" s="1"/>
      <c r="F1470" s="1"/>
    </row>
    <row r="1471" spans="3:6">
      <c r="C1471" s="1"/>
      <c r="D1471" s="1"/>
      <c r="E1471" s="1"/>
      <c r="F1471" s="1"/>
    </row>
    <row r="1472" spans="3:6">
      <c r="C1472" s="1"/>
      <c r="D1472" s="1"/>
      <c r="E1472" s="1"/>
      <c r="F1472" s="1"/>
    </row>
    <row r="1473" spans="3:6">
      <c r="C1473" s="1"/>
      <c r="D1473" s="1"/>
      <c r="E1473" s="1"/>
      <c r="F1473" s="1"/>
    </row>
    <row r="1474" spans="3:6">
      <c r="C1474" s="1"/>
      <c r="D1474" s="1"/>
      <c r="E1474" s="1"/>
      <c r="F1474" s="1"/>
    </row>
    <row r="1475" spans="3:6">
      <c r="C1475" s="1"/>
      <c r="D1475" s="1"/>
      <c r="E1475" s="1"/>
      <c r="F1475" s="1"/>
    </row>
    <row r="1476" spans="3:6">
      <c r="C1476" s="1"/>
      <c r="D1476" s="1"/>
      <c r="E1476" s="1"/>
      <c r="F1476" s="1"/>
    </row>
    <row r="1477" spans="3:6">
      <c r="C1477" s="1"/>
      <c r="D1477" s="1"/>
      <c r="E1477" s="1"/>
      <c r="F1477" s="1"/>
    </row>
    <row r="1478" spans="3:6">
      <c r="C1478" s="1"/>
      <c r="D1478" s="1"/>
      <c r="E1478" s="1"/>
      <c r="F1478" s="1"/>
    </row>
    <row r="1479" spans="3:6">
      <c r="C1479" s="1"/>
      <c r="D1479" s="1"/>
      <c r="E1479" s="1"/>
      <c r="F1479" s="1"/>
    </row>
    <row r="1480" spans="3:6">
      <c r="C1480" s="1"/>
      <c r="D1480" s="1"/>
      <c r="E1480" s="1"/>
      <c r="F1480" s="1"/>
    </row>
    <row r="1481" spans="3:6">
      <c r="C1481" s="1"/>
      <c r="D1481" s="1"/>
      <c r="E1481" s="1"/>
      <c r="F1481" s="1"/>
    </row>
    <row r="1482" spans="3:6">
      <c r="C1482" s="1"/>
      <c r="D1482" s="1"/>
      <c r="E1482" s="1"/>
      <c r="F1482" s="1"/>
    </row>
    <row r="1483" spans="3:6">
      <c r="C1483" s="1"/>
      <c r="D1483" s="1"/>
      <c r="E1483" s="1"/>
      <c r="F1483" s="1"/>
    </row>
    <row r="1484" spans="3:6">
      <c r="C1484" s="1"/>
      <c r="D1484" s="1"/>
      <c r="E1484" s="1"/>
      <c r="F1484" s="1"/>
    </row>
    <row r="1485" spans="3:6">
      <c r="C1485" s="1"/>
      <c r="D1485" s="1"/>
      <c r="E1485" s="1"/>
      <c r="F1485" s="1"/>
    </row>
    <row r="1486" spans="3:6">
      <c r="C1486" s="1"/>
      <c r="D1486" s="1"/>
      <c r="E1486" s="1"/>
      <c r="F1486" s="1"/>
    </row>
    <row r="1487" spans="3:6">
      <c r="C1487" s="1"/>
      <c r="D1487" s="1"/>
      <c r="E1487" s="1"/>
      <c r="F1487" s="1"/>
    </row>
    <row r="1488" spans="3:6">
      <c r="C1488" s="1"/>
      <c r="D1488" s="1"/>
      <c r="E1488" s="1"/>
      <c r="F1488" s="1"/>
    </row>
    <row r="1489" spans="3:6">
      <c r="C1489" s="1"/>
      <c r="D1489" s="1"/>
      <c r="E1489" s="1"/>
      <c r="F1489" s="1"/>
    </row>
    <row r="1490" spans="3:6">
      <c r="C1490" s="1"/>
      <c r="D1490" s="1"/>
      <c r="E1490" s="1"/>
      <c r="F1490" s="1"/>
    </row>
    <row r="1491" spans="3:6">
      <c r="C1491" s="1"/>
      <c r="D1491" s="1"/>
      <c r="E1491" s="1"/>
      <c r="F1491" s="1"/>
    </row>
    <row r="1492" spans="3:6">
      <c r="C1492" s="1"/>
      <c r="D1492" s="1"/>
      <c r="E1492" s="1"/>
      <c r="F1492" s="1"/>
    </row>
    <row r="1493" spans="3:6">
      <c r="C1493" s="1"/>
      <c r="D1493" s="1"/>
      <c r="E1493" s="1"/>
      <c r="F1493" s="1"/>
    </row>
    <row r="1494" spans="3:6">
      <c r="C1494" s="1"/>
      <c r="D1494" s="1"/>
      <c r="E1494" s="1"/>
      <c r="F1494" s="1"/>
    </row>
    <row r="1495" spans="3:6">
      <c r="C1495" s="1"/>
      <c r="D1495" s="1"/>
      <c r="E1495" s="1"/>
      <c r="F1495" s="1"/>
    </row>
    <row r="1496" spans="3:6">
      <c r="C1496" s="1"/>
      <c r="D1496" s="1"/>
      <c r="E1496" s="1"/>
      <c r="F1496" s="1"/>
    </row>
    <row r="1497" spans="3:6">
      <c r="C1497" s="1"/>
      <c r="D1497" s="1"/>
      <c r="E1497" s="1"/>
      <c r="F1497" s="1"/>
    </row>
    <row r="1498" spans="3:6">
      <c r="C1498" s="1"/>
      <c r="D1498" s="1"/>
      <c r="E1498" s="1"/>
      <c r="F1498" s="1"/>
    </row>
    <row r="1499" spans="3:6">
      <c r="C1499" s="1"/>
      <c r="D1499" s="1"/>
      <c r="E1499" s="1"/>
      <c r="F1499" s="1"/>
    </row>
    <row r="1500" spans="3:6">
      <c r="C1500" s="1"/>
      <c r="D1500" s="1"/>
      <c r="E1500" s="1"/>
      <c r="F1500" s="1"/>
    </row>
    <row r="1501" spans="3:6">
      <c r="C1501" s="1"/>
      <c r="D1501" s="1"/>
      <c r="E1501" s="1"/>
      <c r="F1501" s="1"/>
    </row>
    <row r="1502" spans="3:6">
      <c r="C1502" s="1"/>
      <c r="D1502" s="1"/>
      <c r="E1502" s="1"/>
      <c r="F1502" s="1"/>
    </row>
    <row r="1503" spans="3:6">
      <c r="C1503" s="1"/>
      <c r="D1503" s="1"/>
      <c r="E1503" s="1"/>
      <c r="F1503" s="1"/>
    </row>
    <row r="1504" spans="3:6">
      <c r="C1504" s="1"/>
      <c r="D1504" s="1"/>
      <c r="E1504" s="1"/>
      <c r="F1504" s="1"/>
    </row>
    <row r="1505" spans="3:6">
      <c r="C1505" s="1"/>
      <c r="D1505" s="1"/>
      <c r="E1505" s="1"/>
      <c r="F1505" s="1"/>
    </row>
    <row r="1506" spans="3:6">
      <c r="C1506" s="1"/>
      <c r="D1506" s="1"/>
      <c r="E1506" s="1"/>
      <c r="F1506" s="1"/>
    </row>
    <row r="1507" spans="3:6">
      <c r="C1507" s="1"/>
      <c r="D1507" s="1"/>
      <c r="E1507" s="1"/>
      <c r="F1507" s="1"/>
    </row>
    <row r="1508" spans="3:6">
      <c r="C1508" s="1"/>
      <c r="D1508" s="1"/>
      <c r="E1508" s="1"/>
      <c r="F1508" s="1"/>
    </row>
    <row r="1509" spans="3:6">
      <c r="C1509" s="1"/>
      <c r="D1509" s="1"/>
      <c r="E1509" s="1"/>
      <c r="F1509" s="1"/>
    </row>
    <row r="1510" spans="3:6">
      <c r="C1510" s="1"/>
      <c r="D1510" s="1"/>
      <c r="E1510" s="1"/>
      <c r="F1510" s="1"/>
    </row>
    <row r="1511" spans="3:6">
      <c r="C1511" s="1"/>
      <c r="D1511" s="1"/>
      <c r="E1511" s="1"/>
      <c r="F1511" s="1"/>
    </row>
    <row r="1512" spans="3:6">
      <c r="C1512" s="1"/>
      <c r="D1512" s="1"/>
      <c r="E1512" s="1"/>
      <c r="F1512" s="1"/>
    </row>
    <row r="1513" spans="3:6">
      <c r="C1513" s="1"/>
      <c r="D1513" s="1"/>
      <c r="E1513" s="1"/>
      <c r="F1513" s="1"/>
    </row>
    <row r="1514" spans="3:6">
      <c r="C1514" s="1"/>
      <c r="D1514" s="1"/>
      <c r="E1514" s="1"/>
      <c r="F1514" s="1"/>
    </row>
    <row r="1515" spans="3:6">
      <c r="C1515" s="1"/>
      <c r="D1515" s="1"/>
      <c r="E1515" s="1"/>
      <c r="F1515" s="1"/>
    </row>
    <row r="1516" spans="3:6">
      <c r="C1516" s="1"/>
      <c r="D1516" s="1"/>
      <c r="E1516" s="1"/>
      <c r="F1516" s="1"/>
    </row>
    <row r="1517" spans="3:6">
      <c r="C1517" s="1"/>
      <c r="D1517" s="1"/>
      <c r="E1517" s="1"/>
      <c r="F1517" s="1"/>
    </row>
    <row r="1518" spans="3:6">
      <c r="C1518" s="1"/>
      <c r="D1518" s="1"/>
      <c r="E1518" s="1"/>
      <c r="F1518" s="1"/>
    </row>
    <row r="1519" spans="3:6">
      <c r="C1519" s="1"/>
      <c r="D1519" s="1"/>
      <c r="E1519" s="1"/>
      <c r="F1519" s="1"/>
    </row>
    <row r="1520" spans="3:6">
      <c r="C1520" s="1"/>
      <c r="D1520" s="1"/>
      <c r="E1520" s="1"/>
      <c r="F1520" s="1"/>
    </row>
    <row r="1521" spans="3:6">
      <c r="C1521" s="1"/>
      <c r="D1521" s="1"/>
      <c r="E1521" s="1"/>
      <c r="F1521" s="1"/>
    </row>
    <row r="1522" spans="3:6">
      <c r="C1522" s="1"/>
      <c r="D1522" s="1"/>
      <c r="E1522" s="1"/>
      <c r="F1522" s="1"/>
    </row>
    <row r="1523" spans="3:6">
      <c r="C1523" s="1"/>
      <c r="D1523" s="1"/>
      <c r="E1523" s="1"/>
      <c r="F1523" s="1"/>
    </row>
    <row r="1524" spans="3:6">
      <c r="C1524" s="1"/>
      <c r="D1524" s="1"/>
      <c r="E1524" s="1"/>
      <c r="F1524" s="1"/>
    </row>
    <row r="1525" spans="3:6">
      <c r="C1525" s="1"/>
      <c r="D1525" s="1"/>
      <c r="E1525" s="1"/>
      <c r="F1525" s="1"/>
    </row>
    <row r="1526" spans="3:6">
      <c r="C1526" s="1"/>
      <c r="D1526" s="1"/>
      <c r="E1526" s="1"/>
      <c r="F1526" s="1"/>
    </row>
    <row r="1527" spans="3:6">
      <c r="C1527" s="1"/>
      <c r="D1527" s="1"/>
      <c r="E1527" s="1"/>
      <c r="F1527" s="1"/>
    </row>
    <row r="1528" spans="3:6">
      <c r="C1528" s="1"/>
      <c r="D1528" s="1"/>
      <c r="E1528" s="1"/>
      <c r="F1528" s="1"/>
    </row>
    <row r="1529" spans="3:6">
      <c r="C1529" s="1"/>
      <c r="D1529" s="1"/>
      <c r="E1529" s="1"/>
      <c r="F1529" s="1"/>
    </row>
    <row r="1530" spans="3:6">
      <c r="C1530" s="1"/>
      <c r="D1530" s="1"/>
      <c r="E1530" s="1"/>
      <c r="F1530" s="1"/>
    </row>
    <row r="1531" spans="3:6">
      <c r="C1531" s="1"/>
      <c r="D1531" s="1"/>
      <c r="E1531" s="1"/>
      <c r="F1531" s="1"/>
    </row>
    <row r="1532" spans="3:6">
      <c r="C1532" s="1"/>
      <c r="D1532" s="1"/>
      <c r="E1532" s="1"/>
      <c r="F1532" s="1"/>
    </row>
    <row r="1533" spans="3:6">
      <c r="C1533" s="1"/>
      <c r="D1533" s="1"/>
      <c r="E1533" s="1"/>
      <c r="F1533" s="1"/>
    </row>
    <row r="1534" spans="3:6">
      <c r="C1534" s="1"/>
      <c r="D1534" s="1"/>
      <c r="E1534" s="1"/>
      <c r="F1534" s="1"/>
    </row>
    <row r="1535" spans="3:6">
      <c r="C1535" s="1"/>
      <c r="D1535" s="1"/>
      <c r="E1535" s="1"/>
      <c r="F1535" s="1"/>
    </row>
    <row r="1536" spans="3:6">
      <c r="C1536" s="1"/>
      <c r="D1536" s="1"/>
      <c r="E1536" s="1"/>
      <c r="F1536" s="1"/>
    </row>
    <row r="1537" spans="3:6">
      <c r="C1537" s="1"/>
      <c r="D1537" s="1"/>
      <c r="E1537" s="1"/>
      <c r="F1537" s="1"/>
    </row>
    <row r="1538" spans="3:6">
      <c r="C1538" s="1"/>
      <c r="D1538" s="1"/>
      <c r="E1538" s="1"/>
      <c r="F1538" s="1"/>
    </row>
    <row r="1539" spans="3:6">
      <c r="C1539" s="1"/>
      <c r="D1539" s="1"/>
      <c r="E1539" s="1"/>
      <c r="F1539" s="1"/>
    </row>
    <row r="1540" spans="3:6">
      <c r="C1540" s="1"/>
      <c r="D1540" s="1"/>
      <c r="E1540" s="1"/>
      <c r="F1540" s="1"/>
    </row>
    <row r="1541" spans="3:6">
      <c r="C1541" s="1"/>
      <c r="D1541" s="1"/>
      <c r="E1541" s="1"/>
      <c r="F1541" s="1"/>
    </row>
    <row r="1542" spans="3:6">
      <c r="C1542" s="1"/>
      <c r="D1542" s="1"/>
      <c r="E1542" s="1"/>
      <c r="F1542" s="1"/>
    </row>
    <row r="1543" spans="3:6">
      <c r="C1543" s="1"/>
      <c r="D1543" s="1"/>
      <c r="E1543" s="1"/>
      <c r="F1543" s="1"/>
    </row>
    <row r="1544" spans="3:6">
      <c r="C1544" s="1"/>
      <c r="D1544" s="1"/>
      <c r="E1544" s="1"/>
      <c r="F1544" s="1"/>
    </row>
    <row r="1545" spans="3:6">
      <c r="C1545" s="1"/>
      <c r="D1545" s="1"/>
      <c r="E1545" s="1"/>
      <c r="F1545" s="1"/>
    </row>
    <row r="1546" spans="3:6">
      <c r="C1546" s="1"/>
      <c r="D1546" s="1"/>
      <c r="E1546" s="1"/>
      <c r="F1546" s="1"/>
    </row>
    <row r="1547" spans="3:6">
      <c r="C1547" s="1"/>
      <c r="D1547" s="1"/>
      <c r="E1547" s="1"/>
      <c r="F1547" s="1"/>
    </row>
    <row r="1548" spans="3:6">
      <c r="C1548" s="1"/>
      <c r="D1548" s="1"/>
      <c r="E1548" s="1"/>
      <c r="F1548" s="1"/>
    </row>
    <row r="1549" spans="3:6">
      <c r="C1549" s="1"/>
      <c r="D1549" s="1"/>
      <c r="E1549" s="1"/>
      <c r="F1549" s="1"/>
    </row>
    <row r="1550" spans="3:6">
      <c r="C1550" s="1"/>
      <c r="D1550" s="1"/>
      <c r="E1550" s="1"/>
      <c r="F1550" s="1"/>
    </row>
    <row r="1551" spans="3:6">
      <c r="C1551" s="1"/>
      <c r="D1551" s="1"/>
      <c r="E1551" s="1"/>
      <c r="F1551" s="1"/>
    </row>
    <row r="1552" spans="3:6">
      <c r="C1552" s="1"/>
      <c r="D1552" s="1"/>
      <c r="E1552" s="1"/>
      <c r="F1552" s="1"/>
    </row>
    <row r="1553" spans="3:6">
      <c r="C1553" s="1"/>
      <c r="D1553" s="1"/>
      <c r="E1553" s="1"/>
      <c r="F1553" s="1"/>
    </row>
    <row r="1554" spans="3:6">
      <c r="C1554" s="1"/>
      <c r="D1554" s="1"/>
      <c r="E1554" s="1"/>
      <c r="F1554" s="1"/>
    </row>
    <row r="1555" spans="3:6">
      <c r="C1555" s="1"/>
      <c r="D1555" s="1"/>
      <c r="E1555" s="1"/>
      <c r="F1555" s="1"/>
    </row>
    <row r="1556" spans="3:6">
      <c r="C1556" s="1"/>
      <c r="D1556" s="1"/>
      <c r="E1556" s="1"/>
      <c r="F1556" s="1"/>
    </row>
    <row r="1557" spans="3:6">
      <c r="C1557" s="1"/>
      <c r="D1557" s="1"/>
      <c r="E1557" s="1"/>
      <c r="F1557" s="1"/>
    </row>
    <row r="1558" spans="3:6">
      <c r="C1558" s="1"/>
      <c r="D1558" s="1"/>
      <c r="E1558" s="1"/>
      <c r="F1558" s="1"/>
    </row>
    <row r="1559" spans="3:6">
      <c r="C1559" s="1"/>
      <c r="D1559" s="1"/>
      <c r="E1559" s="1"/>
      <c r="F1559" s="1"/>
    </row>
    <row r="1560" spans="3:6">
      <c r="C1560" s="1"/>
      <c r="D1560" s="1"/>
      <c r="E1560" s="1"/>
      <c r="F1560" s="1"/>
    </row>
    <row r="1561" spans="3:6">
      <c r="C1561" s="1"/>
      <c r="D1561" s="1"/>
      <c r="E1561" s="1"/>
      <c r="F1561" s="1"/>
    </row>
    <row r="1562" spans="3:6">
      <c r="C1562" s="1"/>
      <c r="D1562" s="1"/>
      <c r="E1562" s="1"/>
      <c r="F1562" s="1"/>
    </row>
    <row r="1563" spans="3:6">
      <c r="C1563" s="1"/>
      <c r="D1563" s="1"/>
      <c r="E1563" s="1"/>
      <c r="F1563" s="1"/>
    </row>
    <row r="1564" spans="3:6">
      <c r="C1564" s="1"/>
      <c r="D1564" s="1"/>
      <c r="E1564" s="1"/>
      <c r="F1564" s="1"/>
    </row>
    <row r="1565" spans="3:6">
      <c r="C1565" s="1"/>
      <c r="D1565" s="1"/>
      <c r="E1565" s="1"/>
      <c r="F1565" s="1"/>
    </row>
    <row r="1566" spans="3:6">
      <c r="C1566" s="1"/>
      <c r="D1566" s="1"/>
      <c r="E1566" s="1"/>
      <c r="F1566" s="1"/>
    </row>
    <row r="1567" spans="3:6">
      <c r="C1567" s="1"/>
      <c r="D1567" s="1"/>
      <c r="E1567" s="1"/>
      <c r="F1567" s="1"/>
    </row>
    <row r="1568" spans="3:6">
      <c r="C1568" s="1"/>
      <c r="D1568" s="1"/>
      <c r="E1568" s="1"/>
      <c r="F1568" s="1"/>
    </row>
    <row r="1569" spans="3:6">
      <c r="C1569" s="1"/>
      <c r="D1569" s="1"/>
      <c r="E1569" s="1"/>
      <c r="F1569" s="1"/>
    </row>
    <row r="1570" spans="3:6">
      <c r="C1570" s="1"/>
      <c r="D1570" s="1"/>
      <c r="E1570" s="1"/>
      <c r="F1570" s="1"/>
    </row>
    <row r="1571" spans="3:6">
      <c r="C1571" s="1"/>
      <c r="D1571" s="1"/>
      <c r="E1571" s="1"/>
      <c r="F1571" s="1"/>
    </row>
    <row r="1572" spans="3:6">
      <c r="C1572" s="1"/>
      <c r="D1572" s="1"/>
      <c r="E1572" s="1"/>
      <c r="F1572" s="1"/>
    </row>
    <row r="1573" spans="3:6">
      <c r="C1573" s="1"/>
      <c r="D1573" s="1"/>
      <c r="E1573" s="1"/>
      <c r="F1573" s="1"/>
    </row>
    <row r="1574" spans="3:6">
      <c r="C1574" s="1"/>
      <c r="D1574" s="1"/>
      <c r="E1574" s="1"/>
      <c r="F1574" s="1"/>
    </row>
    <row r="1575" spans="3:6">
      <c r="C1575" s="1"/>
      <c r="D1575" s="1"/>
      <c r="E1575" s="1"/>
      <c r="F1575" s="1"/>
    </row>
    <row r="1576" spans="3:6">
      <c r="C1576" s="1"/>
      <c r="D1576" s="1"/>
      <c r="E1576" s="1"/>
      <c r="F1576" s="1"/>
    </row>
    <row r="1577" spans="3:6">
      <c r="C1577" s="1"/>
      <c r="D1577" s="1"/>
      <c r="E1577" s="1"/>
      <c r="F1577" s="1"/>
    </row>
    <row r="1578" spans="3:6">
      <c r="C1578" s="1"/>
      <c r="D1578" s="1"/>
      <c r="E1578" s="1"/>
      <c r="F1578" s="1"/>
    </row>
    <row r="1579" spans="3:6">
      <c r="C1579" s="1"/>
      <c r="D1579" s="1"/>
      <c r="E1579" s="1"/>
      <c r="F1579" s="1"/>
    </row>
    <row r="1580" spans="3:6">
      <c r="C1580" s="1"/>
      <c r="D1580" s="1"/>
      <c r="E1580" s="1"/>
      <c r="F1580" s="1"/>
    </row>
    <row r="1581" spans="3:6">
      <c r="C1581" s="1"/>
      <c r="D1581" s="1"/>
      <c r="E1581" s="1"/>
      <c r="F1581" s="1"/>
    </row>
    <row r="1582" spans="3:6">
      <c r="C1582" s="1"/>
      <c r="D1582" s="1"/>
      <c r="E1582" s="1"/>
      <c r="F1582" s="1"/>
    </row>
    <row r="1583" spans="3:6">
      <c r="C1583" s="1"/>
      <c r="D1583" s="1"/>
      <c r="E1583" s="1"/>
      <c r="F1583" s="1"/>
    </row>
    <row r="1584" spans="3:6">
      <c r="C1584" s="1"/>
      <c r="D1584" s="1"/>
      <c r="E1584" s="1"/>
      <c r="F1584" s="1"/>
    </row>
    <row r="1585" spans="3:6">
      <c r="C1585" s="1"/>
      <c r="D1585" s="1"/>
      <c r="E1585" s="1"/>
      <c r="F1585" s="1"/>
    </row>
    <row r="1586" spans="3:6">
      <c r="C1586" s="1"/>
      <c r="D1586" s="1"/>
      <c r="E1586" s="1"/>
      <c r="F1586" s="1"/>
    </row>
    <row r="1587" spans="3:6">
      <c r="C1587" s="1"/>
      <c r="D1587" s="1"/>
      <c r="E1587" s="1"/>
      <c r="F1587" s="1"/>
    </row>
    <row r="1588" spans="3:6">
      <c r="C1588" s="1"/>
      <c r="D1588" s="1"/>
      <c r="E1588" s="1"/>
      <c r="F1588" s="1"/>
    </row>
    <row r="1589" spans="3:6">
      <c r="C1589" s="1"/>
      <c r="D1589" s="1"/>
      <c r="E1589" s="1"/>
      <c r="F1589" s="1"/>
    </row>
    <row r="1590" spans="3:6">
      <c r="C1590" s="1"/>
      <c r="D1590" s="1"/>
      <c r="E1590" s="1"/>
      <c r="F1590" s="1"/>
    </row>
    <row r="1591" spans="3:6">
      <c r="C1591" s="1"/>
      <c r="D1591" s="1"/>
      <c r="E1591" s="1"/>
      <c r="F1591" s="1"/>
    </row>
    <row r="1592" spans="3:6">
      <c r="C1592" s="1"/>
      <c r="D1592" s="1"/>
      <c r="E1592" s="1"/>
      <c r="F1592" s="1"/>
    </row>
    <row r="1593" spans="3:6">
      <c r="C1593" s="1"/>
      <c r="D1593" s="1"/>
      <c r="E1593" s="1"/>
      <c r="F1593" s="1"/>
    </row>
    <row r="1594" spans="3:6">
      <c r="C1594" s="1"/>
      <c r="D1594" s="1"/>
      <c r="E1594" s="1"/>
      <c r="F1594" s="1"/>
    </row>
    <row r="1595" spans="3:6">
      <c r="C1595" s="1"/>
      <c r="D1595" s="1"/>
      <c r="E1595" s="1"/>
      <c r="F1595" s="1"/>
    </row>
    <row r="1596" spans="3:6">
      <c r="C1596" s="1"/>
      <c r="D1596" s="1"/>
      <c r="E1596" s="1"/>
      <c r="F1596" s="1"/>
    </row>
    <row r="1597" spans="3:6">
      <c r="C1597" s="1"/>
      <c r="D1597" s="1"/>
      <c r="E1597" s="1"/>
      <c r="F1597" s="1"/>
    </row>
    <row r="1598" spans="3:6">
      <c r="C1598" s="1"/>
      <c r="D1598" s="1"/>
      <c r="E1598" s="1"/>
      <c r="F1598" s="1"/>
    </row>
    <row r="1599" spans="3:6">
      <c r="C1599" s="1"/>
      <c r="D1599" s="1"/>
      <c r="E1599" s="1"/>
      <c r="F1599" s="1"/>
    </row>
    <row r="1600" spans="3:6">
      <c r="C1600" s="1"/>
      <c r="D1600" s="1"/>
      <c r="E1600" s="1"/>
      <c r="F1600" s="1"/>
    </row>
    <row r="1601" spans="3:6">
      <c r="C1601" s="1"/>
      <c r="D1601" s="1"/>
      <c r="E1601" s="1"/>
      <c r="F1601" s="1"/>
    </row>
    <row r="1602" spans="3:6">
      <c r="C1602" s="1"/>
      <c r="D1602" s="1"/>
      <c r="E1602" s="1"/>
      <c r="F1602" s="1"/>
    </row>
    <row r="1603" spans="3:6">
      <c r="C1603" s="1"/>
      <c r="D1603" s="1"/>
      <c r="E1603" s="1"/>
      <c r="F1603" s="1"/>
    </row>
    <row r="1604" spans="3:6">
      <c r="C1604" s="1"/>
      <c r="D1604" s="1"/>
      <c r="E1604" s="1"/>
      <c r="F1604" s="1"/>
    </row>
    <row r="1605" spans="3:6">
      <c r="C1605" s="1"/>
      <c r="D1605" s="1"/>
      <c r="E1605" s="1"/>
      <c r="F1605" s="1"/>
    </row>
    <row r="1606" spans="3:6">
      <c r="C1606" s="1"/>
      <c r="D1606" s="1"/>
      <c r="E1606" s="1"/>
      <c r="F1606" s="1"/>
    </row>
    <row r="1607" spans="3:6">
      <c r="C1607" s="1"/>
      <c r="D1607" s="1"/>
      <c r="E1607" s="1"/>
      <c r="F1607" s="1"/>
    </row>
    <row r="1608" spans="3:6">
      <c r="C1608" s="1"/>
      <c r="D1608" s="1"/>
      <c r="E1608" s="1"/>
      <c r="F1608" s="1"/>
    </row>
    <row r="1609" spans="3:6">
      <c r="C1609" s="1"/>
      <c r="D1609" s="1"/>
      <c r="E1609" s="1"/>
      <c r="F1609" s="1"/>
    </row>
    <row r="1610" spans="3:6">
      <c r="C1610" s="1"/>
      <c r="D1610" s="1"/>
      <c r="E1610" s="1"/>
      <c r="F1610" s="1"/>
    </row>
    <row r="1611" spans="3:6">
      <c r="C1611" s="1"/>
      <c r="D1611" s="1"/>
      <c r="E1611" s="1"/>
      <c r="F1611" s="1"/>
    </row>
    <row r="1612" spans="3:6">
      <c r="C1612" s="1"/>
      <c r="D1612" s="1"/>
      <c r="E1612" s="1"/>
      <c r="F1612" s="1"/>
    </row>
    <row r="1613" spans="3:6">
      <c r="C1613" s="1"/>
      <c r="D1613" s="1"/>
      <c r="E1613" s="1"/>
      <c r="F1613" s="1"/>
    </row>
    <row r="1614" spans="3:6">
      <c r="C1614" s="1"/>
      <c r="D1614" s="1"/>
      <c r="E1614" s="1"/>
      <c r="F1614" s="1"/>
    </row>
    <row r="1615" spans="3:6">
      <c r="C1615" s="1"/>
      <c r="D1615" s="1"/>
      <c r="E1615" s="1"/>
      <c r="F1615" s="1"/>
    </row>
    <row r="1616" spans="3:6">
      <c r="C1616" s="1"/>
      <c r="D1616" s="1"/>
      <c r="E1616" s="1"/>
      <c r="F1616" s="1"/>
    </row>
    <row r="1617" spans="3:6">
      <c r="C1617" s="1"/>
      <c r="D1617" s="1"/>
      <c r="E1617" s="1"/>
      <c r="F1617" s="1"/>
    </row>
    <row r="1618" spans="3:6">
      <c r="C1618" s="1"/>
      <c r="D1618" s="1"/>
      <c r="E1618" s="1"/>
      <c r="F1618" s="1"/>
    </row>
    <row r="1619" spans="3:6">
      <c r="C1619" s="1"/>
      <c r="D1619" s="1"/>
      <c r="E1619" s="1"/>
      <c r="F1619" s="1"/>
    </row>
    <row r="1620" spans="3:6">
      <c r="C1620" s="1"/>
      <c r="D1620" s="1"/>
      <c r="E1620" s="1"/>
      <c r="F1620" s="1"/>
    </row>
    <row r="1621" spans="3:6">
      <c r="C1621" s="1"/>
      <c r="D1621" s="1"/>
      <c r="E1621" s="1"/>
      <c r="F1621" s="1"/>
    </row>
    <row r="1622" spans="3:6">
      <c r="C1622" s="1"/>
      <c r="D1622" s="1"/>
      <c r="E1622" s="1"/>
      <c r="F1622" s="1"/>
    </row>
    <row r="1623" spans="3:6">
      <c r="C1623" s="1"/>
      <c r="D1623" s="1"/>
      <c r="E1623" s="1"/>
      <c r="F1623" s="1"/>
    </row>
    <row r="1624" spans="3:6">
      <c r="C1624" s="1"/>
      <c r="D1624" s="1"/>
      <c r="E1624" s="1"/>
      <c r="F1624" s="1"/>
    </row>
    <row r="1625" spans="3:6">
      <c r="C1625" s="1"/>
      <c r="D1625" s="1"/>
      <c r="E1625" s="1"/>
      <c r="F1625" s="1"/>
    </row>
    <row r="1626" spans="3:6">
      <c r="C1626" s="1"/>
      <c r="D1626" s="1"/>
      <c r="E1626" s="1"/>
      <c r="F1626" s="1"/>
    </row>
    <row r="1627" spans="3:6">
      <c r="C1627" s="1"/>
      <c r="D1627" s="1"/>
      <c r="E1627" s="1"/>
      <c r="F1627" s="1"/>
    </row>
    <row r="1628" spans="3:6">
      <c r="C1628" s="1"/>
      <c r="D1628" s="1"/>
      <c r="E1628" s="1"/>
      <c r="F1628" s="1"/>
    </row>
    <row r="1629" spans="3:6">
      <c r="C1629" s="1"/>
      <c r="D1629" s="1"/>
      <c r="E1629" s="1"/>
      <c r="F1629" s="1"/>
    </row>
    <row r="1630" spans="3:6">
      <c r="C1630" s="1"/>
      <c r="D1630" s="1"/>
      <c r="E1630" s="1"/>
      <c r="F1630" s="1"/>
    </row>
    <row r="1631" spans="3:6">
      <c r="C1631" s="1"/>
      <c r="D1631" s="1"/>
      <c r="E1631" s="1"/>
      <c r="F1631" s="1"/>
    </row>
    <row r="1632" spans="3:6">
      <c r="C1632" s="1"/>
      <c r="D1632" s="1"/>
      <c r="E1632" s="1"/>
      <c r="F1632" s="1"/>
    </row>
    <row r="1633" spans="3:6">
      <c r="C1633" s="1"/>
      <c r="D1633" s="1"/>
      <c r="E1633" s="1"/>
      <c r="F1633" s="1"/>
    </row>
    <row r="1634" spans="3:6">
      <c r="C1634" s="1"/>
      <c r="D1634" s="1"/>
      <c r="E1634" s="1"/>
      <c r="F1634" s="1"/>
    </row>
    <row r="1635" spans="3:6">
      <c r="C1635" s="1"/>
      <c r="D1635" s="1"/>
      <c r="E1635" s="1"/>
      <c r="F1635" s="1"/>
    </row>
    <row r="1636" spans="3:6">
      <c r="C1636" s="1"/>
      <c r="D1636" s="1"/>
      <c r="E1636" s="1"/>
      <c r="F1636" s="1"/>
    </row>
    <row r="1637" spans="3:6">
      <c r="C1637" s="1"/>
      <c r="D1637" s="1"/>
      <c r="E1637" s="1"/>
      <c r="F1637" s="1"/>
    </row>
    <row r="1638" spans="3:6">
      <c r="C1638" s="1"/>
      <c r="D1638" s="1"/>
      <c r="E1638" s="1"/>
      <c r="F1638" s="1"/>
    </row>
    <row r="1639" spans="3:6">
      <c r="C1639" s="1"/>
      <c r="D1639" s="1"/>
      <c r="E1639" s="1"/>
      <c r="F1639" s="1"/>
    </row>
    <row r="1640" spans="3:6">
      <c r="C1640" s="1"/>
      <c r="D1640" s="1"/>
      <c r="E1640" s="1"/>
      <c r="F1640" s="1"/>
    </row>
    <row r="1641" spans="3:6">
      <c r="C1641" s="1"/>
      <c r="D1641" s="1"/>
      <c r="E1641" s="1"/>
      <c r="F1641" s="1"/>
    </row>
    <row r="1642" spans="3:6">
      <c r="C1642" s="1"/>
      <c r="D1642" s="1"/>
      <c r="E1642" s="1"/>
      <c r="F1642" s="1"/>
    </row>
    <row r="1643" spans="3:6">
      <c r="C1643" s="1"/>
      <c r="D1643" s="1"/>
      <c r="E1643" s="1"/>
      <c r="F1643" s="1"/>
    </row>
    <row r="1644" spans="3:6">
      <c r="C1644" s="1"/>
      <c r="D1644" s="1"/>
      <c r="E1644" s="1"/>
      <c r="F1644" s="1"/>
    </row>
    <row r="1645" spans="3:6">
      <c r="C1645" s="1"/>
      <c r="D1645" s="1"/>
      <c r="E1645" s="1"/>
      <c r="F1645" s="1"/>
    </row>
    <row r="1646" spans="3:6">
      <c r="C1646" s="1"/>
      <c r="D1646" s="1"/>
      <c r="E1646" s="1"/>
      <c r="F1646" s="1"/>
    </row>
    <row r="1647" spans="3:6">
      <c r="C1647" s="1"/>
      <c r="D1647" s="1"/>
      <c r="E1647" s="1"/>
      <c r="F1647" s="1"/>
    </row>
    <row r="1648" spans="3:6">
      <c r="C1648" s="1"/>
      <c r="D1648" s="1"/>
      <c r="E1648" s="1"/>
      <c r="F1648" s="1"/>
    </row>
    <row r="1649" spans="3:6">
      <c r="C1649" s="1"/>
      <c r="D1649" s="1"/>
      <c r="E1649" s="1"/>
      <c r="F1649" s="1"/>
    </row>
    <row r="1650" spans="3:6">
      <c r="C1650" s="1"/>
      <c r="D1650" s="1"/>
      <c r="E1650" s="1"/>
      <c r="F1650" s="1"/>
    </row>
    <row r="1651" spans="3:6">
      <c r="C1651" s="1"/>
      <c r="D1651" s="1"/>
      <c r="E1651" s="1"/>
      <c r="F1651" s="1"/>
    </row>
    <row r="1652" spans="3:6">
      <c r="C1652" s="1"/>
      <c r="D1652" s="1"/>
      <c r="E1652" s="1"/>
      <c r="F1652" s="1"/>
    </row>
    <row r="1653" spans="3:6">
      <c r="C1653" s="1"/>
      <c r="D1653" s="1"/>
      <c r="E1653" s="1"/>
      <c r="F1653" s="1"/>
    </row>
    <row r="1654" spans="3:6">
      <c r="C1654" s="1"/>
      <c r="D1654" s="1"/>
      <c r="E1654" s="1"/>
      <c r="F1654" s="1"/>
    </row>
    <row r="1655" spans="3:6">
      <c r="C1655" s="1"/>
      <c r="D1655" s="1"/>
      <c r="E1655" s="1"/>
      <c r="F1655" s="1"/>
    </row>
    <row r="1656" spans="3:6">
      <c r="C1656" s="1"/>
      <c r="D1656" s="1"/>
      <c r="E1656" s="1"/>
      <c r="F1656" s="1"/>
    </row>
    <row r="1657" spans="3:6">
      <c r="C1657" s="1"/>
      <c r="D1657" s="1"/>
      <c r="E1657" s="1"/>
      <c r="F1657" s="1"/>
    </row>
    <row r="1658" spans="3:6">
      <c r="C1658" s="1"/>
      <c r="D1658" s="1"/>
      <c r="E1658" s="1"/>
      <c r="F1658" s="1"/>
    </row>
    <row r="1659" spans="3:6">
      <c r="C1659" s="1"/>
      <c r="D1659" s="1"/>
      <c r="E1659" s="1"/>
      <c r="F1659" s="1"/>
    </row>
    <row r="1660" spans="3:6">
      <c r="C1660" s="1"/>
      <c r="D1660" s="1"/>
      <c r="E1660" s="1"/>
      <c r="F1660" s="1"/>
    </row>
    <row r="1661" spans="3:6">
      <c r="C1661" s="1"/>
      <c r="D1661" s="1"/>
      <c r="E1661" s="1"/>
      <c r="F1661" s="1"/>
    </row>
    <row r="1662" spans="3:6">
      <c r="C1662" s="1"/>
      <c r="D1662" s="1"/>
      <c r="E1662" s="1"/>
      <c r="F1662" s="1"/>
    </row>
    <row r="1663" spans="3:6">
      <c r="C1663" s="1"/>
      <c r="D1663" s="1"/>
      <c r="E1663" s="1"/>
      <c r="F1663" s="1"/>
    </row>
    <row r="1664" spans="3:6">
      <c r="C1664" s="1"/>
      <c r="D1664" s="1"/>
      <c r="E1664" s="1"/>
      <c r="F1664" s="1"/>
    </row>
    <row r="1665" spans="3:6">
      <c r="C1665" s="1"/>
      <c r="D1665" s="1"/>
      <c r="E1665" s="1"/>
      <c r="F1665" s="1"/>
    </row>
    <row r="1666" spans="3:6">
      <c r="C1666" s="1"/>
      <c r="D1666" s="1"/>
      <c r="E1666" s="1"/>
      <c r="F1666" s="1"/>
    </row>
    <row r="1667" spans="3:6">
      <c r="C1667" s="1"/>
      <c r="D1667" s="1"/>
      <c r="E1667" s="1"/>
      <c r="F1667" s="1"/>
    </row>
    <row r="1668" spans="3:6">
      <c r="C1668" s="1"/>
      <c r="D1668" s="1"/>
      <c r="E1668" s="1"/>
      <c r="F1668" s="1"/>
    </row>
    <row r="1669" spans="3:6">
      <c r="C1669" s="1"/>
      <c r="D1669" s="1"/>
      <c r="E1669" s="1"/>
      <c r="F1669" s="1"/>
    </row>
    <row r="1670" spans="3:6">
      <c r="C1670" s="1"/>
      <c r="D1670" s="1"/>
      <c r="E1670" s="1"/>
      <c r="F1670" s="1"/>
    </row>
    <row r="1671" spans="3:6">
      <c r="C1671" s="1"/>
      <c r="D1671" s="1"/>
      <c r="E1671" s="1"/>
      <c r="F1671" s="1"/>
    </row>
    <row r="1672" spans="3:6">
      <c r="C1672" s="1"/>
      <c r="D1672" s="1"/>
      <c r="E1672" s="1"/>
      <c r="F1672" s="1"/>
    </row>
    <row r="1673" spans="3:6">
      <c r="C1673" s="1"/>
      <c r="D1673" s="1"/>
      <c r="E1673" s="1"/>
      <c r="F1673" s="1"/>
    </row>
    <row r="1674" spans="3:6">
      <c r="C1674" s="1"/>
      <c r="D1674" s="1"/>
      <c r="E1674" s="1"/>
      <c r="F1674" s="1"/>
    </row>
    <row r="1675" spans="3:6">
      <c r="C1675" s="1"/>
      <c r="D1675" s="1"/>
      <c r="E1675" s="1"/>
      <c r="F1675" s="1"/>
    </row>
    <row r="1676" spans="3:6">
      <c r="C1676" s="1"/>
      <c r="D1676" s="1"/>
      <c r="E1676" s="1"/>
      <c r="F1676" s="1"/>
    </row>
    <row r="1677" spans="3:6">
      <c r="C1677" s="1"/>
      <c r="D1677" s="1"/>
      <c r="E1677" s="1"/>
      <c r="F1677" s="1"/>
    </row>
    <row r="1678" spans="3:6">
      <c r="C1678" s="1"/>
      <c r="D1678" s="1"/>
      <c r="E1678" s="1"/>
      <c r="F1678" s="1"/>
    </row>
    <row r="1679" spans="3:6">
      <c r="C1679" s="1"/>
      <c r="D1679" s="1"/>
      <c r="E1679" s="1"/>
      <c r="F1679" s="1"/>
    </row>
    <row r="1680" spans="3:6">
      <c r="C1680" s="1"/>
      <c r="D1680" s="1"/>
      <c r="E1680" s="1"/>
      <c r="F1680" s="1"/>
    </row>
    <row r="1681" spans="3:6">
      <c r="C1681" s="1"/>
      <c r="D1681" s="1"/>
      <c r="E1681" s="1"/>
      <c r="F1681" s="1"/>
    </row>
    <row r="1682" spans="3:6">
      <c r="C1682" s="1"/>
      <c r="D1682" s="1"/>
      <c r="E1682" s="1"/>
      <c r="F1682" s="1"/>
    </row>
    <row r="1683" spans="3:6">
      <c r="C1683" s="1"/>
      <c r="D1683" s="1"/>
      <c r="E1683" s="1"/>
      <c r="F1683" s="1"/>
    </row>
    <row r="1684" spans="3:6">
      <c r="C1684" s="1"/>
      <c r="D1684" s="1"/>
      <c r="E1684" s="1"/>
      <c r="F1684" s="1"/>
    </row>
    <row r="1685" spans="3:6">
      <c r="C1685" s="1"/>
      <c r="D1685" s="1"/>
      <c r="E1685" s="1"/>
      <c r="F1685" s="1"/>
    </row>
    <row r="1686" spans="3:6">
      <c r="C1686" s="1"/>
      <c r="D1686" s="1"/>
      <c r="E1686" s="1"/>
      <c r="F1686" s="1"/>
    </row>
    <row r="1687" spans="3:6">
      <c r="C1687" s="1"/>
      <c r="D1687" s="1"/>
      <c r="E1687" s="1"/>
      <c r="F1687" s="1"/>
    </row>
    <row r="1688" spans="3:6">
      <c r="C1688" s="1"/>
      <c r="D1688" s="1"/>
      <c r="E1688" s="1"/>
      <c r="F1688" s="1"/>
    </row>
    <row r="1689" spans="3:6">
      <c r="C1689" s="1"/>
      <c r="D1689" s="1"/>
      <c r="E1689" s="1"/>
      <c r="F1689" s="1"/>
    </row>
    <row r="1690" spans="3:6">
      <c r="C1690" s="1"/>
      <c r="D1690" s="1"/>
      <c r="E1690" s="1"/>
      <c r="F1690" s="1"/>
    </row>
    <row r="1691" spans="3:6">
      <c r="C1691" s="1"/>
      <c r="D1691" s="1"/>
      <c r="E1691" s="1"/>
      <c r="F1691" s="1"/>
    </row>
    <row r="1692" spans="3:6">
      <c r="C1692" s="1"/>
      <c r="D1692" s="1"/>
      <c r="E1692" s="1"/>
      <c r="F1692" s="1"/>
    </row>
    <row r="1693" spans="3:6">
      <c r="C1693" s="1"/>
      <c r="D1693" s="1"/>
      <c r="E1693" s="1"/>
      <c r="F1693" s="1"/>
    </row>
    <row r="1694" spans="3:6">
      <c r="C1694" s="1"/>
      <c r="D1694" s="1"/>
      <c r="E1694" s="1"/>
      <c r="F1694" s="1"/>
    </row>
    <row r="1695" spans="3:6">
      <c r="C1695" s="1"/>
      <c r="D1695" s="1"/>
      <c r="E1695" s="1"/>
      <c r="F1695" s="1"/>
    </row>
    <row r="1696" spans="3:6">
      <c r="C1696" s="1"/>
      <c r="D1696" s="1"/>
      <c r="E1696" s="1"/>
      <c r="F1696" s="1"/>
    </row>
    <row r="1697" spans="3:6">
      <c r="C1697" s="1"/>
      <c r="D1697" s="1"/>
      <c r="E1697" s="1"/>
      <c r="F1697" s="1"/>
    </row>
    <row r="1698" spans="3:6">
      <c r="C1698" s="1"/>
      <c r="D1698" s="1"/>
      <c r="E1698" s="1"/>
      <c r="F1698" s="1"/>
    </row>
    <row r="1699" spans="3:6">
      <c r="C1699" s="1"/>
      <c r="D1699" s="1"/>
      <c r="E1699" s="1"/>
      <c r="F1699" s="1"/>
    </row>
    <row r="1700" spans="3:6">
      <c r="C1700" s="1"/>
      <c r="D1700" s="1"/>
      <c r="E1700" s="1"/>
      <c r="F1700" s="1"/>
    </row>
    <row r="1701" spans="3:6">
      <c r="C1701" s="1"/>
      <c r="D1701" s="1"/>
      <c r="E1701" s="1"/>
      <c r="F1701" s="1"/>
    </row>
    <row r="1702" spans="3:6">
      <c r="C1702" s="1"/>
      <c r="D1702" s="1"/>
      <c r="E1702" s="1"/>
      <c r="F1702" s="1"/>
    </row>
    <row r="1703" spans="3:6">
      <c r="C1703" s="1"/>
      <c r="D1703" s="1"/>
      <c r="E1703" s="1"/>
      <c r="F1703" s="1"/>
    </row>
    <row r="1704" spans="3:6">
      <c r="C1704" s="1"/>
      <c r="D1704" s="1"/>
      <c r="E1704" s="1"/>
      <c r="F1704" s="1"/>
    </row>
    <row r="1705" spans="3:6">
      <c r="C1705" s="1"/>
      <c r="D1705" s="1"/>
      <c r="E1705" s="1"/>
      <c r="F1705" s="1"/>
    </row>
    <row r="1706" spans="3:6">
      <c r="C1706" s="1"/>
      <c r="D1706" s="1"/>
      <c r="E1706" s="1"/>
      <c r="F1706" s="1"/>
    </row>
    <row r="1707" spans="3:6">
      <c r="C1707" s="1"/>
      <c r="D1707" s="1"/>
      <c r="E1707" s="1"/>
      <c r="F1707" s="1"/>
    </row>
    <row r="1708" spans="3:6">
      <c r="C1708" s="1"/>
      <c r="D1708" s="1"/>
      <c r="E1708" s="1"/>
      <c r="F1708" s="1"/>
    </row>
    <row r="1709" spans="3:6">
      <c r="C1709" s="1"/>
      <c r="D1709" s="1"/>
      <c r="E1709" s="1"/>
      <c r="F1709" s="1"/>
    </row>
    <row r="1710" spans="3:6">
      <c r="C1710" s="1"/>
      <c r="D1710" s="1"/>
      <c r="E1710" s="1"/>
      <c r="F1710" s="1"/>
    </row>
    <row r="1711" spans="3:6">
      <c r="C1711" s="1"/>
      <c r="D1711" s="1"/>
      <c r="E1711" s="1"/>
      <c r="F1711" s="1"/>
    </row>
    <row r="1712" spans="3:6">
      <c r="C1712" s="1"/>
      <c r="D1712" s="1"/>
      <c r="E1712" s="1"/>
      <c r="F1712" s="1"/>
    </row>
    <row r="1713" spans="3:6">
      <c r="C1713" s="1"/>
      <c r="D1713" s="1"/>
      <c r="E1713" s="1"/>
      <c r="F1713" s="1"/>
    </row>
    <row r="1714" spans="3:6">
      <c r="C1714" s="1"/>
      <c r="D1714" s="1"/>
      <c r="E1714" s="1"/>
      <c r="F1714" s="1"/>
    </row>
    <row r="1715" spans="3:6">
      <c r="C1715" s="1"/>
      <c r="D1715" s="1"/>
      <c r="E1715" s="1"/>
      <c r="F1715" s="1"/>
    </row>
    <row r="1716" spans="3:6">
      <c r="C1716" s="1"/>
      <c r="D1716" s="1"/>
      <c r="E1716" s="1"/>
      <c r="F1716" s="1"/>
    </row>
    <row r="1717" spans="3:6">
      <c r="C1717" s="1"/>
      <c r="D1717" s="1"/>
      <c r="E1717" s="1"/>
      <c r="F1717" s="1"/>
    </row>
    <row r="1718" spans="3:6">
      <c r="C1718" s="1"/>
      <c r="D1718" s="1"/>
      <c r="E1718" s="1"/>
      <c r="F1718" s="1"/>
    </row>
    <row r="1719" spans="3:6">
      <c r="C1719" s="1"/>
      <c r="D1719" s="1"/>
      <c r="E1719" s="1"/>
      <c r="F1719" s="1"/>
    </row>
    <row r="1720" spans="3:6">
      <c r="C1720" s="1"/>
      <c r="D1720" s="1"/>
      <c r="E1720" s="1"/>
      <c r="F1720" s="1"/>
    </row>
    <row r="1721" spans="3:6">
      <c r="C1721" s="1"/>
      <c r="D1721" s="1"/>
      <c r="E1721" s="1"/>
      <c r="F1721" s="1"/>
    </row>
    <row r="1722" spans="3:6">
      <c r="C1722" s="1"/>
      <c r="D1722" s="1"/>
      <c r="E1722" s="1"/>
      <c r="F1722" s="1"/>
    </row>
    <row r="1723" spans="3:6">
      <c r="C1723" s="1"/>
      <c r="D1723" s="1"/>
      <c r="E1723" s="1"/>
      <c r="F1723" s="1"/>
    </row>
    <row r="1724" spans="3:6">
      <c r="C1724" s="1"/>
      <c r="D1724" s="1"/>
      <c r="E1724" s="1"/>
      <c r="F1724" s="1"/>
    </row>
    <row r="1725" spans="3:6">
      <c r="C1725" s="1"/>
      <c r="D1725" s="1"/>
      <c r="E1725" s="1"/>
      <c r="F1725" s="1"/>
    </row>
    <row r="1726" spans="3:6">
      <c r="C1726" s="1"/>
      <c r="D1726" s="1"/>
      <c r="E1726" s="1"/>
      <c r="F1726" s="1"/>
    </row>
    <row r="1727" spans="3:6">
      <c r="C1727" s="1"/>
      <c r="D1727" s="1"/>
      <c r="E1727" s="1"/>
      <c r="F1727" s="1"/>
    </row>
    <row r="1728" spans="3:6">
      <c r="C1728" s="1"/>
      <c r="D1728" s="1"/>
      <c r="E1728" s="1"/>
      <c r="F1728" s="1"/>
    </row>
    <row r="1729" spans="3:6">
      <c r="C1729" s="1"/>
      <c r="D1729" s="1"/>
      <c r="E1729" s="1"/>
      <c r="F1729" s="1"/>
    </row>
    <row r="1730" spans="3:6">
      <c r="C1730" s="1"/>
      <c r="D1730" s="1"/>
      <c r="E1730" s="1"/>
      <c r="F1730" s="1"/>
    </row>
    <row r="1731" spans="3:6">
      <c r="C1731" s="1"/>
      <c r="D1731" s="1"/>
      <c r="E1731" s="1"/>
      <c r="F1731" s="1"/>
    </row>
    <row r="1732" spans="3:6">
      <c r="C1732" s="1"/>
      <c r="D1732" s="1"/>
      <c r="E1732" s="1"/>
      <c r="F1732" s="1"/>
    </row>
    <row r="1733" spans="3:6">
      <c r="C1733" s="1"/>
      <c r="D1733" s="1"/>
      <c r="E1733" s="1"/>
      <c r="F1733" s="1"/>
    </row>
    <row r="1734" spans="3:6">
      <c r="C1734" s="1"/>
      <c r="D1734" s="1"/>
      <c r="E1734" s="1"/>
      <c r="F1734" s="1"/>
    </row>
    <row r="1735" spans="3:6">
      <c r="C1735" s="1"/>
      <c r="D1735" s="1"/>
      <c r="E1735" s="1"/>
      <c r="F1735" s="1"/>
    </row>
    <row r="1736" spans="3:6">
      <c r="C1736" s="1"/>
      <c r="D1736" s="1"/>
      <c r="E1736" s="1"/>
      <c r="F1736" s="1"/>
    </row>
    <row r="1737" spans="3:6">
      <c r="C1737" s="1"/>
      <c r="D1737" s="1"/>
      <c r="E1737" s="1"/>
      <c r="F1737" s="1"/>
    </row>
    <row r="1738" spans="3:6">
      <c r="C1738" s="1"/>
      <c r="D1738" s="1"/>
      <c r="E1738" s="1"/>
      <c r="F1738" s="1"/>
    </row>
    <row r="1739" spans="3:6">
      <c r="C1739" s="1"/>
      <c r="D1739" s="1"/>
      <c r="E1739" s="1"/>
      <c r="F1739" s="1"/>
    </row>
    <row r="1740" spans="3:6">
      <c r="C1740" s="1"/>
      <c r="D1740" s="1"/>
      <c r="E1740" s="1"/>
      <c r="F1740" s="1"/>
    </row>
    <row r="1741" spans="3:6">
      <c r="C1741" s="1"/>
      <c r="D1741" s="1"/>
      <c r="E1741" s="1"/>
      <c r="F1741" s="1"/>
    </row>
    <row r="1742" spans="3:6">
      <c r="C1742" s="1"/>
      <c r="D1742" s="1"/>
      <c r="E1742" s="1"/>
      <c r="F1742" s="1"/>
    </row>
    <row r="1743" spans="3:6">
      <c r="C1743" s="1"/>
      <c r="D1743" s="1"/>
      <c r="E1743" s="1"/>
      <c r="F1743" s="1"/>
    </row>
    <row r="1744" spans="3:6">
      <c r="C1744" s="1"/>
      <c r="D1744" s="1"/>
      <c r="E1744" s="1"/>
      <c r="F1744" s="1"/>
    </row>
    <row r="1745" spans="3:6">
      <c r="C1745" s="1"/>
      <c r="D1745" s="1"/>
      <c r="E1745" s="1"/>
      <c r="F1745" s="1"/>
    </row>
    <row r="1746" spans="3:6">
      <c r="C1746" s="1"/>
      <c r="D1746" s="1"/>
      <c r="E1746" s="1"/>
      <c r="F1746" s="1"/>
    </row>
    <row r="1747" spans="3:6">
      <c r="C1747" s="1"/>
      <c r="D1747" s="1"/>
      <c r="E1747" s="1"/>
      <c r="F1747" s="1"/>
    </row>
    <row r="1748" spans="3:6">
      <c r="C1748" s="1"/>
      <c r="D1748" s="1"/>
      <c r="E1748" s="1"/>
      <c r="F1748" s="1"/>
    </row>
    <row r="1749" spans="3:6">
      <c r="C1749" s="1"/>
      <c r="D1749" s="1"/>
      <c r="E1749" s="1"/>
      <c r="F1749" s="1"/>
    </row>
    <row r="1750" spans="3:6">
      <c r="C1750" s="1"/>
      <c r="D1750" s="1"/>
      <c r="E1750" s="1"/>
      <c r="F1750" s="1"/>
    </row>
    <row r="1751" spans="3:6">
      <c r="C1751" s="1"/>
      <c r="D1751" s="1"/>
      <c r="E1751" s="1"/>
      <c r="F1751" s="1"/>
    </row>
    <row r="1752" spans="3:6">
      <c r="C1752" s="1"/>
      <c r="D1752" s="1"/>
      <c r="E1752" s="1"/>
      <c r="F1752" s="1"/>
    </row>
    <row r="1753" spans="3:6">
      <c r="C1753" s="1"/>
      <c r="D1753" s="1"/>
      <c r="E1753" s="1"/>
      <c r="F1753" s="1"/>
    </row>
    <row r="1754" spans="3:6">
      <c r="C1754" s="1"/>
      <c r="D1754" s="1"/>
      <c r="E1754" s="1"/>
      <c r="F1754" s="1"/>
    </row>
    <row r="1755" spans="3:6">
      <c r="C1755" s="1"/>
      <c r="D1755" s="1"/>
      <c r="E1755" s="1"/>
      <c r="F1755" s="1"/>
    </row>
    <row r="1756" spans="3:6">
      <c r="C1756" s="1"/>
      <c r="D1756" s="1"/>
      <c r="E1756" s="1"/>
      <c r="F1756" s="1"/>
    </row>
    <row r="1757" spans="3:6">
      <c r="C1757" s="1"/>
      <c r="D1757" s="1"/>
      <c r="E1757" s="1"/>
      <c r="F1757" s="1"/>
    </row>
    <row r="1758" spans="3:6">
      <c r="C1758" s="1"/>
      <c r="D1758" s="1"/>
      <c r="E1758" s="1"/>
      <c r="F1758" s="1"/>
    </row>
    <row r="1759" spans="3:6">
      <c r="C1759" s="1"/>
      <c r="D1759" s="1"/>
      <c r="E1759" s="1"/>
      <c r="F1759" s="1"/>
    </row>
    <row r="1760" spans="3:6">
      <c r="C1760" s="1"/>
      <c r="D1760" s="1"/>
      <c r="E1760" s="1"/>
      <c r="F1760" s="1"/>
    </row>
    <row r="1761" spans="3:6">
      <c r="C1761" s="1"/>
      <c r="D1761" s="1"/>
      <c r="E1761" s="1"/>
      <c r="F1761" s="1"/>
    </row>
    <row r="1762" spans="3:6">
      <c r="C1762" s="1"/>
      <c r="D1762" s="1"/>
      <c r="E1762" s="1"/>
      <c r="F1762" s="1"/>
    </row>
    <row r="1763" spans="3:6">
      <c r="C1763" s="1"/>
      <c r="D1763" s="1"/>
      <c r="E1763" s="1"/>
      <c r="F1763" s="1"/>
    </row>
    <row r="1764" spans="3:6">
      <c r="C1764" s="1"/>
      <c r="D1764" s="1"/>
      <c r="E1764" s="1"/>
      <c r="F1764" s="1"/>
    </row>
    <row r="1765" spans="3:6">
      <c r="C1765" s="1"/>
      <c r="D1765" s="1"/>
      <c r="E1765" s="1"/>
      <c r="F1765" s="1"/>
    </row>
    <row r="1766" spans="3:6">
      <c r="C1766" s="1"/>
      <c r="D1766" s="1"/>
      <c r="E1766" s="1"/>
      <c r="F1766" s="1"/>
    </row>
    <row r="1767" spans="3:6">
      <c r="C1767" s="1"/>
      <c r="D1767" s="1"/>
      <c r="E1767" s="1"/>
      <c r="F1767" s="1"/>
    </row>
    <row r="1768" spans="3:6">
      <c r="C1768" s="1"/>
      <c r="D1768" s="1"/>
      <c r="E1768" s="1"/>
      <c r="F1768" s="1"/>
    </row>
    <row r="1769" spans="3:6">
      <c r="C1769" s="1"/>
      <c r="D1769" s="1"/>
      <c r="E1769" s="1"/>
      <c r="F1769" s="1"/>
    </row>
    <row r="1770" spans="3:6">
      <c r="C1770" s="1"/>
      <c r="D1770" s="1"/>
      <c r="E1770" s="1"/>
      <c r="F1770" s="1"/>
    </row>
    <row r="1771" spans="3:6">
      <c r="C1771" s="1"/>
      <c r="D1771" s="1"/>
      <c r="E1771" s="1"/>
      <c r="F1771" s="1"/>
    </row>
    <row r="1772" spans="3:6">
      <c r="C1772" s="1"/>
      <c r="D1772" s="1"/>
      <c r="E1772" s="1"/>
      <c r="F1772" s="1"/>
    </row>
    <row r="1773" spans="3:6">
      <c r="C1773" s="1"/>
      <c r="D1773" s="1"/>
      <c r="E1773" s="1"/>
      <c r="F1773" s="1"/>
    </row>
    <row r="1774" spans="3:6">
      <c r="C1774" s="1"/>
      <c r="D1774" s="1"/>
      <c r="E1774" s="1"/>
      <c r="F1774" s="1"/>
    </row>
    <row r="1775" spans="3:6">
      <c r="C1775" s="1"/>
      <c r="D1775" s="1"/>
      <c r="E1775" s="1"/>
      <c r="F1775" s="1"/>
    </row>
    <row r="1776" spans="3:6">
      <c r="C1776" s="1"/>
      <c r="D1776" s="1"/>
      <c r="E1776" s="1"/>
      <c r="F1776" s="1"/>
    </row>
    <row r="1777" spans="3:6">
      <c r="C1777" s="1"/>
      <c r="D1777" s="1"/>
      <c r="E1777" s="1"/>
      <c r="F1777" s="1"/>
    </row>
    <row r="1778" spans="3:6">
      <c r="C1778" s="1"/>
      <c r="D1778" s="1"/>
      <c r="E1778" s="1"/>
      <c r="F1778" s="1"/>
    </row>
    <row r="1779" spans="3:6">
      <c r="C1779" s="1"/>
      <c r="D1779" s="1"/>
      <c r="E1779" s="1"/>
      <c r="F1779" s="1"/>
    </row>
    <row r="1780" spans="3:6">
      <c r="C1780" s="1"/>
      <c r="D1780" s="1"/>
      <c r="E1780" s="1"/>
      <c r="F1780" s="1"/>
    </row>
    <row r="1781" spans="3:6">
      <c r="C1781" s="1"/>
      <c r="D1781" s="1"/>
      <c r="E1781" s="1"/>
      <c r="F1781" s="1"/>
    </row>
    <row r="1782" spans="3:6">
      <c r="C1782" s="1"/>
      <c r="D1782" s="1"/>
      <c r="E1782" s="1"/>
      <c r="F1782" s="1"/>
    </row>
    <row r="1783" spans="3:6">
      <c r="C1783" s="1"/>
      <c r="D1783" s="1"/>
      <c r="E1783" s="1"/>
      <c r="F1783" s="1"/>
    </row>
    <row r="1784" spans="3:6">
      <c r="C1784" s="1"/>
      <c r="D1784" s="1"/>
      <c r="E1784" s="1"/>
      <c r="F1784" s="1"/>
    </row>
    <row r="1785" spans="3:6">
      <c r="C1785" s="1"/>
      <c r="D1785" s="1"/>
      <c r="E1785" s="1"/>
      <c r="F1785" s="1"/>
    </row>
    <row r="1786" spans="3:6">
      <c r="C1786" s="1"/>
      <c r="D1786" s="1"/>
      <c r="E1786" s="1"/>
      <c r="F1786" s="1"/>
    </row>
    <row r="1787" spans="3:6">
      <c r="C1787" s="1"/>
      <c r="D1787" s="1"/>
      <c r="E1787" s="1"/>
      <c r="F1787" s="1"/>
    </row>
    <row r="1788" spans="3:6">
      <c r="C1788" s="1"/>
      <c r="D1788" s="1"/>
      <c r="E1788" s="1"/>
      <c r="F1788" s="1"/>
    </row>
    <row r="1789" spans="3:6">
      <c r="C1789" s="1"/>
      <c r="D1789" s="1"/>
      <c r="E1789" s="1"/>
      <c r="F1789" s="1"/>
    </row>
    <row r="1790" spans="3:6">
      <c r="C1790" s="1"/>
      <c r="D1790" s="1"/>
      <c r="E1790" s="1"/>
      <c r="F1790" s="1"/>
    </row>
    <row r="1791" spans="3:6">
      <c r="C1791" s="1"/>
      <c r="D1791" s="1"/>
      <c r="E1791" s="1"/>
      <c r="F1791" s="1"/>
    </row>
    <row r="1792" spans="3:6">
      <c r="C1792" s="1"/>
      <c r="D1792" s="1"/>
      <c r="E1792" s="1"/>
      <c r="F1792" s="1"/>
    </row>
    <row r="1793" spans="3:6">
      <c r="C1793" s="1"/>
      <c r="D1793" s="1"/>
      <c r="E1793" s="1"/>
      <c r="F1793" s="1"/>
    </row>
    <row r="1794" spans="3:6">
      <c r="C1794" s="1"/>
      <c r="D1794" s="1"/>
      <c r="E1794" s="1"/>
      <c r="F1794" s="1"/>
    </row>
    <row r="1795" spans="3:6">
      <c r="C1795" s="1"/>
      <c r="D1795" s="1"/>
      <c r="E1795" s="1"/>
      <c r="F1795" s="1"/>
    </row>
    <row r="1796" spans="3:6">
      <c r="C1796" s="1"/>
      <c r="D1796" s="1"/>
      <c r="E1796" s="1"/>
      <c r="F1796" s="1"/>
    </row>
    <row r="1797" spans="3:6">
      <c r="C1797" s="1"/>
      <c r="D1797" s="1"/>
      <c r="E1797" s="1"/>
      <c r="F1797" s="1"/>
    </row>
    <row r="1798" spans="3:6">
      <c r="C1798" s="1"/>
      <c r="D1798" s="1"/>
      <c r="E1798" s="1"/>
      <c r="F1798" s="1"/>
    </row>
    <row r="1799" spans="3:6">
      <c r="C1799" s="1"/>
      <c r="D1799" s="1"/>
      <c r="E1799" s="1"/>
      <c r="F1799" s="1"/>
    </row>
    <row r="1800" spans="3:6">
      <c r="C1800" s="1"/>
      <c r="D1800" s="1"/>
      <c r="E1800" s="1"/>
      <c r="F1800" s="1"/>
    </row>
    <row r="1801" spans="3:6">
      <c r="C1801" s="1"/>
      <c r="D1801" s="1"/>
      <c r="E1801" s="1"/>
      <c r="F1801" s="1"/>
    </row>
    <row r="1802" spans="3:6">
      <c r="C1802" s="1"/>
      <c r="D1802" s="1"/>
      <c r="E1802" s="1"/>
      <c r="F1802" s="1"/>
    </row>
    <row r="1803" spans="3:6">
      <c r="C1803" s="1"/>
      <c r="D1803" s="1"/>
      <c r="E1803" s="1"/>
      <c r="F1803" s="1"/>
    </row>
    <row r="1804" spans="3:6">
      <c r="C1804" s="1"/>
      <c r="D1804" s="1"/>
      <c r="E1804" s="1"/>
      <c r="F1804" s="1"/>
    </row>
    <row r="1805" spans="3:6">
      <c r="C1805" s="1"/>
      <c r="D1805" s="1"/>
      <c r="E1805" s="1"/>
      <c r="F1805" s="1"/>
    </row>
    <row r="1806" spans="3:6">
      <c r="C1806" s="1"/>
      <c r="D1806" s="1"/>
      <c r="E1806" s="1"/>
      <c r="F1806" s="1"/>
    </row>
    <row r="1807" spans="3:6">
      <c r="C1807" s="1"/>
      <c r="D1807" s="1"/>
      <c r="E1807" s="1"/>
      <c r="F1807" s="1"/>
    </row>
    <row r="1808" spans="3:6">
      <c r="C1808" s="1"/>
      <c r="D1808" s="1"/>
      <c r="E1808" s="1"/>
      <c r="F1808" s="1"/>
    </row>
    <row r="1809" spans="3:6">
      <c r="C1809" s="1"/>
      <c r="D1809" s="1"/>
      <c r="E1809" s="1"/>
      <c r="F1809" s="1"/>
    </row>
    <row r="1810" spans="3:6">
      <c r="C1810" s="1"/>
      <c r="D1810" s="1"/>
      <c r="E1810" s="1"/>
      <c r="F1810" s="1"/>
    </row>
    <row r="1811" spans="3:6">
      <c r="C1811" s="1"/>
      <c r="D1811" s="1"/>
      <c r="E1811" s="1"/>
      <c r="F1811" s="1"/>
    </row>
    <row r="1812" spans="3:6">
      <c r="C1812" s="1"/>
      <c r="D1812" s="1"/>
      <c r="E1812" s="1"/>
      <c r="F1812" s="1"/>
    </row>
    <row r="1813" spans="3:6">
      <c r="C1813" s="1"/>
      <c r="D1813" s="1"/>
      <c r="E1813" s="1"/>
      <c r="F1813" s="1"/>
    </row>
    <row r="1814" spans="3:6">
      <c r="C1814" s="1"/>
      <c r="D1814" s="1"/>
      <c r="E1814" s="1"/>
      <c r="F1814" s="1"/>
    </row>
    <row r="1815" spans="3:6">
      <c r="C1815" s="1"/>
      <c r="D1815" s="1"/>
      <c r="E1815" s="1"/>
      <c r="F1815" s="1"/>
    </row>
    <row r="1816" spans="3:6">
      <c r="C1816" s="1"/>
      <c r="D1816" s="1"/>
      <c r="E1816" s="1"/>
      <c r="F1816" s="1"/>
    </row>
    <row r="1817" spans="3:6">
      <c r="C1817" s="1"/>
      <c r="D1817" s="1"/>
      <c r="E1817" s="1"/>
      <c r="F1817" s="1"/>
    </row>
    <row r="1818" spans="3:6">
      <c r="C1818" s="1"/>
      <c r="D1818" s="1"/>
      <c r="E1818" s="1"/>
      <c r="F1818" s="1"/>
    </row>
    <row r="1819" spans="3:6">
      <c r="C1819" s="1"/>
      <c r="D1819" s="1"/>
      <c r="E1819" s="1"/>
      <c r="F1819" s="1"/>
    </row>
    <row r="1820" spans="3:6">
      <c r="C1820" s="1"/>
      <c r="D1820" s="1"/>
      <c r="E1820" s="1"/>
      <c r="F1820" s="1"/>
    </row>
    <row r="1821" spans="3:6">
      <c r="C1821" s="1"/>
      <c r="D1821" s="1"/>
      <c r="E1821" s="1"/>
      <c r="F1821" s="1"/>
    </row>
    <row r="1822" spans="3:6">
      <c r="C1822" s="1"/>
      <c r="D1822" s="1"/>
      <c r="E1822" s="1"/>
      <c r="F1822" s="1"/>
    </row>
    <row r="1823" spans="3:6">
      <c r="C1823" s="1"/>
      <c r="D1823" s="1"/>
      <c r="E1823" s="1"/>
      <c r="F1823" s="1"/>
    </row>
    <row r="1824" spans="3:6">
      <c r="C1824" s="1"/>
      <c r="D1824" s="1"/>
      <c r="E1824" s="1"/>
      <c r="F1824" s="1"/>
    </row>
    <row r="1825" spans="3:6">
      <c r="C1825" s="1"/>
      <c r="D1825" s="1"/>
      <c r="E1825" s="1"/>
      <c r="F1825" s="1"/>
    </row>
    <row r="1826" spans="3:6">
      <c r="C1826" s="1"/>
      <c r="D1826" s="1"/>
      <c r="E1826" s="1"/>
      <c r="F1826" s="1"/>
    </row>
    <row r="1827" spans="3:6">
      <c r="C1827" s="1"/>
      <c r="D1827" s="1"/>
      <c r="E1827" s="1"/>
      <c r="F1827" s="1"/>
    </row>
    <row r="1828" spans="3:6">
      <c r="C1828" s="1"/>
      <c r="D1828" s="1"/>
      <c r="E1828" s="1"/>
      <c r="F1828" s="1"/>
    </row>
    <row r="1829" spans="3:6">
      <c r="C1829" s="1"/>
      <c r="D1829" s="1"/>
      <c r="E1829" s="1"/>
      <c r="F1829" s="1"/>
    </row>
    <row r="1830" spans="3:6">
      <c r="C1830" s="1"/>
      <c r="D1830" s="1"/>
      <c r="E1830" s="1"/>
      <c r="F1830" s="1"/>
    </row>
    <row r="1831" spans="3:6">
      <c r="C1831" s="1"/>
      <c r="D1831" s="1"/>
      <c r="E1831" s="1"/>
      <c r="F1831" s="1"/>
    </row>
    <row r="1832" spans="3:6">
      <c r="C1832" s="1"/>
      <c r="D1832" s="1"/>
      <c r="E1832" s="1"/>
      <c r="F1832" s="1"/>
    </row>
    <row r="1833" spans="3:6">
      <c r="C1833" s="1"/>
      <c r="D1833" s="1"/>
      <c r="E1833" s="1"/>
      <c r="F1833" s="1"/>
    </row>
    <row r="1834" spans="3:6">
      <c r="C1834" s="1"/>
      <c r="D1834" s="1"/>
      <c r="E1834" s="1"/>
      <c r="F1834" s="1"/>
    </row>
    <row r="1835" spans="3:6">
      <c r="C1835" s="1"/>
      <c r="D1835" s="1"/>
      <c r="E1835" s="1"/>
      <c r="F1835" s="1"/>
    </row>
    <row r="1836" spans="3:6">
      <c r="C1836" s="1"/>
      <c r="D1836" s="1"/>
      <c r="E1836" s="1"/>
      <c r="F1836" s="1"/>
    </row>
    <row r="1837" spans="3:6">
      <c r="C1837" s="1"/>
      <c r="D1837" s="1"/>
      <c r="E1837" s="1"/>
      <c r="F1837" s="1"/>
    </row>
    <row r="1838" spans="3:6">
      <c r="C1838" s="1"/>
      <c r="D1838" s="1"/>
      <c r="E1838" s="1"/>
      <c r="F1838" s="1"/>
    </row>
    <row r="1839" spans="3:6">
      <c r="C1839" s="1"/>
      <c r="D1839" s="1"/>
      <c r="E1839" s="1"/>
      <c r="F1839" s="1"/>
    </row>
    <row r="1840" spans="3:6">
      <c r="C1840" s="1"/>
      <c r="D1840" s="1"/>
      <c r="E1840" s="1"/>
      <c r="F1840" s="1"/>
    </row>
    <row r="1841" spans="3:6">
      <c r="C1841" s="1"/>
      <c r="D1841" s="1"/>
      <c r="E1841" s="1"/>
      <c r="F1841" s="1"/>
    </row>
    <row r="1842" spans="3:6">
      <c r="C1842" s="1"/>
      <c r="D1842" s="1"/>
      <c r="E1842" s="1"/>
      <c r="F1842" s="1"/>
    </row>
    <row r="1843" spans="3:6">
      <c r="C1843" s="1"/>
      <c r="D1843" s="1"/>
      <c r="E1843" s="1"/>
      <c r="F1843" s="1"/>
    </row>
    <row r="1844" spans="3:6">
      <c r="C1844" s="1"/>
      <c r="D1844" s="1"/>
      <c r="E1844" s="1"/>
      <c r="F1844" s="1"/>
    </row>
    <row r="1845" spans="3:6">
      <c r="C1845" s="1"/>
      <c r="D1845" s="1"/>
      <c r="E1845" s="1"/>
      <c r="F1845" s="1"/>
    </row>
    <row r="1846" spans="3:6">
      <c r="C1846" s="1"/>
      <c r="D1846" s="1"/>
      <c r="E1846" s="1"/>
      <c r="F1846" s="1"/>
    </row>
    <row r="1847" spans="3:6">
      <c r="C1847" s="1"/>
      <c r="D1847" s="1"/>
      <c r="E1847" s="1"/>
      <c r="F1847" s="1"/>
    </row>
    <row r="1848" spans="3:6">
      <c r="C1848" s="1"/>
      <c r="D1848" s="1"/>
      <c r="E1848" s="1"/>
      <c r="F1848" s="1"/>
    </row>
    <row r="1849" spans="3:6">
      <c r="C1849" s="1"/>
      <c r="D1849" s="1"/>
      <c r="E1849" s="1"/>
      <c r="F1849" s="1"/>
    </row>
    <row r="1850" spans="3:6">
      <c r="C1850" s="1"/>
      <c r="D1850" s="1"/>
      <c r="E1850" s="1"/>
      <c r="F1850" s="1"/>
    </row>
    <row r="1851" spans="3:6">
      <c r="C1851" s="1"/>
      <c r="D1851" s="1"/>
      <c r="E1851" s="1"/>
      <c r="F1851" s="1"/>
    </row>
    <row r="1852" spans="3:6">
      <c r="C1852" s="1"/>
      <c r="D1852" s="1"/>
      <c r="E1852" s="1"/>
      <c r="F1852" s="1"/>
    </row>
    <row r="1853" spans="3:6">
      <c r="C1853" s="1"/>
      <c r="D1853" s="1"/>
      <c r="E1853" s="1"/>
      <c r="F1853" s="1"/>
    </row>
    <row r="1854" spans="3:6">
      <c r="C1854" s="1"/>
      <c r="D1854" s="1"/>
      <c r="E1854" s="1"/>
      <c r="F1854" s="1"/>
    </row>
    <row r="1855" spans="3:6">
      <c r="C1855" s="1"/>
      <c r="D1855" s="1"/>
      <c r="E1855" s="1"/>
      <c r="F1855" s="1"/>
    </row>
    <row r="1856" spans="3:6">
      <c r="C1856" s="1"/>
      <c r="D1856" s="1"/>
      <c r="E1856" s="1"/>
      <c r="F1856" s="1"/>
    </row>
    <row r="1857" spans="3:6">
      <c r="C1857" s="1"/>
      <c r="D1857" s="1"/>
      <c r="E1857" s="1"/>
      <c r="F1857" s="1"/>
    </row>
    <row r="1858" spans="3:6">
      <c r="C1858" s="1"/>
      <c r="D1858" s="1"/>
      <c r="E1858" s="1"/>
      <c r="F1858" s="1"/>
    </row>
    <row r="1859" spans="3:6">
      <c r="C1859" s="1"/>
      <c r="D1859" s="1"/>
      <c r="E1859" s="1"/>
      <c r="F1859" s="1"/>
    </row>
    <row r="1860" spans="3:6">
      <c r="C1860" s="1"/>
      <c r="D1860" s="1"/>
      <c r="E1860" s="1"/>
      <c r="F1860" s="1"/>
    </row>
    <row r="1861" spans="3:6">
      <c r="C1861" s="1"/>
      <c r="D1861" s="1"/>
      <c r="E1861" s="1"/>
      <c r="F1861" s="1"/>
    </row>
    <row r="1862" spans="3:6">
      <c r="C1862" s="1"/>
      <c r="D1862" s="1"/>
      <c r="E1862" s="1"/>
      <c r="F1862" s="1"/>
    </row>
    <row r="1863" spans="3:6">
      <c r="C1863" s="1"/>
      <c r="D1863" s="1"/>
      <c r="E1863" s="1"/>
      <c r="F1863" s="1"/>
    </row>
    <row r="1864" spans="3:6">
      <c r="C1864" s="1"/>
      <c r="D1864" s="1"/>
      <c r="E1864" s="1"/>
      <c r="F1864" s="1"/>
    </row>
    <row r="1865" spans="3:6">
      <c r="C1865" s="1"/>
      <c r="D1865" s="1"/>
      <c r="E1865" s="1"/>
      <c r="F1865" s="1"/>
    </row>
    <row r="1866" spans="3:6">
      <c r="C1866" s="1"/>
      <c r="D1866" s="1"/>
      <c r="E1866" s="1"/>
      <c r="F1866" s="1"/>
    </row>
    <row r="1867" spans="3:6">
      <c r="C1867" s="1"/>
      <c r="D1867" s="1"/>
      <c r="E1867" s="1"/>
      <c r="F1867" s="1"/>
    </row>
    <row r="1868" spans="3:6">
      <c r="C1868" s="1"/>
      <c r="D1868" s="1"/>
      <c r="E1868" s="1"/>
      <c r="F1868" s="1"/>
    </row>
    <row r="1869" spans="3:6">
      <c r="C1869" s="1"/>
      <c r="D1869" s="1"/>
      <c r="E1869" s="1"/>
      <c r="F1869" s="1"/>
    </row>
    <row r="1870" spans="3:6">
      <c r="C1870" s="1"/>
      <c r="D1870" s="1"/>
      <c r="E1870" s="1"/>
      <c r="F1870" s="1"/>
    </row>
    <row r="1871" spans="3:6">
      <c r="C1871" s="1"/>
      <c r="D1871" s="1"/>
      <c r="E1871" s="1"/>
      <c r="F1871" s="1"/>
    </row>
    <row r="1872" spans="3:6">
      <c r="C1872" s="1"/>
      <c r="D1872" s="1"/>
      <c r="E1872" s="1"/>
      <c r="F1872" s="1"/>
    </row>
    <row r="1873" spans="3:6">
      <c r="C1873" s="1"/>
      <c r="D1873" s="1"/>
      <c r="E1873" s="1"/>
      <c r="F1873" s="1"/>
    </row>
    <row r="1874" spans="3:6">
      <c r="C1874" s="1"/>
      <c r="D1874" s="1"/>
      <c r="E1874" s="1"/>
      <c r="F1874" s="1"/>
    </row>
    <row r="1875" spans="3:6">
      <c r="C1875" s="1"/>
      <c r="D1875" s="1"/>
      <c r="E1875" s="1"/>
      <c r="F1875" s="1"/>
    </row>
    <row r="1876" spans="3:6">
      <c r="C1876" s="1"/>
      <c r="D1876" s="1"/>
      <c r="E1876" s="1"/>
      <c r="F1876" s="1"/>
    </row>
    <row r="1877" spans="3:6">
      <c r="C1877" s="1"/>
      <c r="D1877" s="1"/>
      <c r="E1877" s="1"/>
      <c r="F1877" s="1"/>
    </row>
    <row r="1878" spans="3:6">
      <c r="C1878" s="1"/>
      <c r="D1878" s="1"/>
      <c r="E1878" s="1"/>
      <c r="F1878" s="1"/>
    </row>
    <row r="1879" spans="3:6">
      <c r="C1879" s="1"/>
      <c r="D1879" s="1"/>
      <c r="E1879" s="1"/>
      <c r="F1879" s="1"/>
    </row>
    <row r="1880" spans="3:6">
      <c r="C1880" s="1"/>
      <c r="D1880" s="1"/>
      <c r="E1880" s="1"/>
      <c r="F1880" s="1"/>
    </row>
    <row r="1881" spans="3:6">
      <c r="C1881" s="1"/>
      <c r="D1881" s="1"/>
      <c r="E1881" s="1"/>
      <c r="F1881" s="1"/>
    </row>
    <row r="1882" spans="3:6">
      <c r="C1882" s="1"/>
      <c r="D1882" s="1"/>
      <c r="E1882" s="1"/>
      <c r="F1882" s="1"/>
    </row>
    <row r="1883" spans="3:6">
      <c r="C1883" s="1"/>
      <c r="D1883" s="1"/>
      <c r="E1883" s="1"/>
      <c r="F1883" s="1"/>
    </row>
    <row r="1884" spans="3:6">
      <c r="C1884" s="1"/>
      <c r="D1884" s="1"/>
      <c r="E1884" s="1"/>
      <c r="F1884" s="1"/>
    </row>
    <row r="1885" spans="3:6">
      <c r="C1885" s="1"/>
      <c r="D1885" s="1"/>
      <c r="E1885" s="1"/>
      <c r="F1885" s="1"/>
    </row>
    <row r="1886" spans="3:6">
      <c r="C1886" s="1"/>
      <c r="D1886" s="1"/>
      <c r="E1886" s="1"/>
      <c r="F1886" s="1"/>
    </row>
    <row r="1887" spans="3:6">
      <c r="C1887" s="1"/>
      <c r="D1887" s="1"/>
      <c r="E1887" s="1"/>
      <c r="F1887" s="1"/>
    </row>
    <row r="1888" spans="3:6">
      <c r="C1888" s="1"/>
      <c r="D1888" s="1"/>
      <c r="E1888" s="1"/>
      <c r="F1888" s="1"/>
    </row>
    <row r="1889" spans="3:6">
      <c r="C1889" s="1"/>
      <c r="D1889" s="1"/>
      <c r="E1889" s="1"/>
      <c r="F1889" s="1"/>
    </row>
    <row r="1890" spans="3:6">
      <c r="C1890" s="1"/>
      <c r="D1890" s="1"/>
      <c r="E1890" s="1"/>
      <c r="F1890" s="1"/>
    </row>
    <row r="1891" spans="3:6">
      <c r="C1891" s="1"/>
      <c r="D1891" s="1"/>
      <c r="E1891" s="1"/>
      <c r="F1891" s="1"/>
    </row>
    <row r="1892" spans="3:6">
      <c r="C1892" s="1"/>
      <c r="D1892" s="1"/>
      <c r="E1892" s="1"/>
      <c r="F1892" s="1"/>
    </row>
    <row r="1893" spans="3:6">
      <c r="C1893" s="1"/>
      <c r="D1893" s="1"/>
      <c r="E1893" s="1"/>
      <c r="F1893" s="1"/>
    </row>
    <row r="1894" spans="3:6">
      <c r="C1894" s="1"/>
      <c r="D1894" s="1"/>
      <c r="E1894" s="1"/>
      <c r="F1894" s="1"/>
    </row>
    <row r="1895" spans="3:6">
      <c r="C1895" s="1"/>
      <c r="D1895" s="1"/>
      <c r="E1895" s="1"/>
      <c r="F1895" s="1"/>
    </row>
    <row r="1896" spans="3:6">
      <c r="C1896" s="1"/>
      <c r="D1896" s="1"/>
      <c r="E1896" s="1"/>
      <c r="F1896" s="1"/>
    </row>
    <row r="1897" spans="3:6">
      <c r="C1897" s="1"/>
      <c r="D1897" s="1"/>
      <c r="E1897" s="1"/>
      <c r="F1897" s="1"/>
    </row>
    <row r="1898" spans="3:6">
      <c r="C1898" s="1"/>
      <c r="D1898" s="1"/>
      <c r="E1898" s="1"/>
      <c r="F1898" s="1"/>
    </row>
    <row r="1899" spans="3:6">
      <c r="C1899" s="1"/>
      <c r="D1899" s="1"/>
      <c r="E1899" s="1"/>
      <c r="F1899" s="1"/>
    </row>
    <row r="1900" spans="3:6">
      <c r="C1900" s="1"/>
      <c r="D1900" s="1"/>
      <c r="E1900" s="1"/>
      <c r="F1900" s="1"/>
    </row>
    <row r="1901" spans="3:6">
      <c r="C1901" s="1"/>
      <c r="D1901" s="1"/>
      <c r="E1901" s="1"/>
      <c r="F1901" s="1"/>
    </row>
    <row r="1902" spans="3:6">
      <c r="C1902" s="1"/>
      <c r="D1902" s="1"/>
      <c r="E1902" s="1"/>
      <c r="F1902" s="1"/>
    </row>
    <row r="1903" spans="3:6">
      <c r="C1903" s="1"/>
      <c r="D1903" s="1"/>
      <c r="E1903" s="1"/>
      <c r="F1903" s="1"/>
    </row>
    <row r="1904" spans="3:6">
      <c r="C1904" s="1"/>
      <c r="D1904" s="1"/>
      <c r="E1904" s="1"/>
      <c r="F1904" s="1"/>
    </row>
    <row r="1905" spans="3:6">
      <c r="C1905" s="1"/>
      <c r="D1905" s="1"/>
      <c r="E1905" s="1"/>
      <c r="F1905" s="1"/>
    </row>
    <row r="1906" spans="3:6">
      <c r="C1906" s="1"/>
      <c r="D1906" s="1"/>
      <c r="E1906" s="1"/>
      <c r="F1906" s="1"/>
    </row>
    <row r="1907" spans="3:6">
      <c r="C1907" s="1"/>
      <c r="D1907" s="1"/>
      <c r="E1907" s="1"/>
      <c r="F1907" s="1"/>
    </row>
    <row r="1908" spans="3:6">
      <c r="C1908" s="1"/>
      <c r="D1908" s="1"/>
      <c r="E1908" s="1"/>
      <c r="F1908" s="1"/>
    </row>
    <row r="1909" spans="3:6">
      <c r="C1909" s="1"/>
      <c r="D1909" s="1"/>
      <c r="E1909" s="1"/>
      <c r="F1909" s="1"/>
    </row>
    <row r="1910" spans="3:6">
      <c r="C1910" s="1"/>
      <c r="D1910" s="1"/>
      <c r="E1910" s="1"/>
      <c r="F1910" s="1"/>
    </row>
    <row r="1911" spans="3:6">
      <c r="C1911" s="1"/>
      <c r="D1911" s="1"/>
      <c r="E1911" s="1"/>
      <c r="F1911" s="1"/>
    </row>
    <row r="1912" spans="3:6">
      <c r="C1912" s="1"/>
      <c r="D1912" s="1"/>
      <c r="E1912" s="1"/>
      <c r="F1912" s="1"/>
    </row>
    <row r="1913" spans="3:6">
      <c r="C1913" s="1"/>
      <c r="D1913" s="1"/>
      <c r="E1913" s="1"/>
      <c r="F1913" s="1"/>
    </row>
    <row r="1914" spans="3:6">
      <c r="C1914" s="1"/>
      <c r="D1914" s="1"/>
      <c r="E1914" s="1"/>
      <c r="F1914" s="1"/>
    </row>
    <row r="1915" spans="3:6">
      <c r="C1915" s="1"/>
      <c r="D1915" s="1"/>
      <c r="E1915" s="1"/>
      <c r="F1915" s="1"/>
    </row>
    <row r="1916" spans="3:6">
      <c r="C1916" s="1"/>
      <c r="D1916" s="1"/>
      <c r="E1916" s="1"/>
      <c r="F1916" s="1"/>
    </row>
    <row r="1917" spans="3:6">
      <c r="C1917" s="1"/>
      <c r="D1917" s="1"/>
      <c r="E1917" s="1"/>
      <c r="F1917" s="1"/>
    </row>
    <row r="1918" spans="3:6">
      <c r="C1918" s="1"/>
      <c r="D1918" s="1"/>
      <c r="E1918" s="1"/>
      <c r="F1918" s="1"/>
    </row>
    <row r="1919" spans="3:6">
      <c r="C1919" s="1"/>
      <c r="D1919" s="1"/>
      <c r="E1919" s="1"/>
      <c r="F1919" s="1"/>
    </row>
    <row r="1920" spans="3:6">
      <c r="C1920" s="1"/>
      <c r="D1920" s="1"/>
      <c r="E1920" s="1"/>
      <c r="F1920" s="1"/>
    </row>
    <row r="1921" spans="3:6">
      <c r="C1921" s="1"/>
      <c r="D1921" s="1"/>
      <c r="E1921" s="1"/>
      <c r="F1921" s="1"/>
    </row>
    <row r="1922" spans="3:6">
      <c r="C1922" s="1"/>
      <c r="D1922" s="1"/>
      <c r="E1922" s="1"/>
      <c r="F1922" s="1"/>
    </row>
    <row r="1923" spans="3:6">
      <c r="C1923" s="1"/>
      <c r="D1923" s="1"/>
      <c r="E1923" s="1"/>
      <c r="F1923" s="1"/>
    </row>
    <row r="1924" spans="3:6">
      <c r="C1924" s="1"/>
      <c r="D1924" s="1"/>
      <c r="E1924" s="1"/>
      <c r="F1924" s="1"/>
    </row>
    <row r="1925" spans="3:6">
      <c r="C1925" s="1"/>
      <c r="D1925" s="1"/>
      <c r="E1925" s="1"/>
      <c r="F1925" s="1"/>
    </row>
    <row r="1926" spans="3:6">
      <c r="C1926" s="1"/>
      <c r="D1926" s="1"/>
      <c r="E1926" s="1"/>
      <c r="F1926" s="1"/>
    </row>
    <row r="1927" spans="3:6">
      <c r="C1927" s="1"/>
      <c r="D1927" s="1"/>
      <c r="E1927" s="1"/>
      <c r="F1927" s="1"/>
    </row>
    <row r="1928" spans="3:6">
      <c r="C1928" s="1"/>
      <c r="D1928" s="1"/>
      <c r="E1928" s="1"/>
      <c r="F1928" s="1"/>
    </row>
    <row r="1929" spans="3:6">
      <c r="C1929" s="1"/>
      <c r="D1929" s="1"/>
      <c r="E1929" s="1"/>
      <c r="F1929" s="1"/>
    </row>
    <row r="1930" spans="3:6">
      <c r="C1930" s="1"/>
      <c r="D1930" s="1"/>
      <c r="E1930" s="1"/>
      <c r="F1930" s="1"/>
    </row>
    <row r="1931" spans="3:6">
      <c r="C1931" s="1"/>
      <c r="D1931" s="1"/>
      <c r="E1931" s="1"/>
      <c r="F1931" s="1"/>
    </row>
    <row r="1932" spans="3:6">
      <c r="C1932" s="1"/>
      <c r="D1932" s="1"/>
      <c r="E1932" s="1"/>
      <c r="F1932" s="1"/>
    </row>
    <row r="1933" spans="3:6">
      <c r="C1933" s="1"/>
      <c r="D1933" s="1"/>
      <c r="E1933" s="1"/>
      <c r="F1933" s="1"/>
    </row>
    <row r="1934" spans="3:6">
      <c r="C1934" s="1"/>
      <c r="D1934" s="1"/>
      <c r="E1934" s="1"/>
      <c r="F1934" s="1"/>
    </row>
    <row r="1935" spans="3:6">
      <c r="C1935" s="1"/>
      <c r="D1935" s="1"/>
      <c r="E1935" s="1"/>
      <c r="F1935" s="1"/>
    </row>
    <row r="1936" spans="3:6">
      <c r="C1936" s="1"/>
      <c r="D1936" s="1"/>
      <c r="E1936" s="1"/>
      <c r="F1936" s="1"/>
    </row>
    <row r="1937" spans="3:6">
      <c r="C1937" s="1"/>
      <c r="D1937" s="1"/>
      <c r="E1937" s="1"/>
      <c r="F1937" s="1"/>
    </row>
    <row r="1938" spans="3:6">
      <c r="C1938" s="1"/>
      <c r="D1938" s="1"/>
      <c r="E1938" s="1"/>
      <c r="F1938" s="1"/>
    </row>
    <row r="1939" spans="3:6">
      <c r="C1939" s="1"/>
      <c r="D1939" s="1"/>
      <c r="E1939" s="1"/>
      <c r="F1939" s="1"/>
    </row>
    <row r="1940" spans="3:6">
      <c r="C1940" s="1"/>
      <c r="D1940" s="1"/>
      <c r="E1940" s="1"/>
      <c r="F1940" s="1"/>
    </row>
    <row r="1941" spans="3:6">
      <c r="C1941" s="1"/>
      <c r="D1941" s="1"/>
      <c r="E1941" s="1"/>
      <c r="F1941" s="1"/>
    </row>
    <row r="1942" spans="3:6">
      <c r="C1942" s="1"/>
      <c r="D1942" s="1"/>
      <c r="E1942" s="1"/>
      <c r="F1942" s="1"/>
    </row>
    <row r="1943" spans="3:6">
      <c r="C1943" s="1"/>
      <c r="D1943" s="1"/>
      <c r="E1943" s="1"/>
      <c r="F1943" s="1"/>
    </row>
    <row r="1944" spans="3:6">
      <c r="C1944" s="1"/>
      <c r="D1944" s="1"/>
      <c r="E1944" s="1"/>
      <c r="F1944" s="1"/>
    </row>
    <row r="1945" spans="3:6">
      <c r="C1945" s="1"/>
      <c r="D1945" s="1"/>
      <c r="E1945" s="1"/>
      <c r="F1945" s="1"/>
    </row>
    <row r="1946" spans="3:6">
      <c r="C1946" s="1"/>
      <c r="D1946" s="1"/>
      <c r="E1946" s="1"/>
      <c r="F1946" s="1"/>
    </row>
    <row r="1947" spans="3:6">
      <c r="C1947" s="1"/>
      <c r="D1947" s="1"/>
      <c r="E1947" s="1"/>
      <c r="F1947" s="1"/>
    </row>
    <row r="1948" spans="3:6">
      <c r="C1948" s="1"/>
      <c r="D1948" s="1"/>
      <c r="E1948" s="1"/>
      <c r="F1948" s="1"/>
    </row>
    <row r="1949" spans="3:6">
      <c r="C1949" s="1"/>
      <c r="D1949" s="1"/>
      <c r="E1949" s="1"/>
      <c r="F1949" s="1"/>
    </row>
    <row r="1950" spans="3:6">
      <c r="C1950" s="1"/>
      <c r="D1950" s="1"/>
      <c r="E1950" s="1"/>
      <c r="F1950" s="1"/>
    </row>
    <row r="1951" spans="3:6">
      <c r="C1951" s="1"/>
      <c r="D1951" s="1"/>
      <c r="E1951" s="1"/>
      <c r="F1951" s="1"/>
    </row>
    <row r="1952" spans="3:6">
      <c r="C1952" s="1"/>
      <c r="D1952" s="1"/>
      <c r="E1952" s="1"/>
      <c r="F1952" s="1"/>
    </row>
    <row r="1953" spans="3:6">
      <c r="C1953" s="1"/>
      <c r="D1953" s="1"/>
      <c r="E1953" s="1"/>
      <c r="F1953" s="1"/>
    </row>
    <row r="1954" spans="3:6">
      <c r="C1954" s="1"/>
      <c r="D1954" s="1"/>
      <c r="E1954" s="1"/>
      <c r="F1954" s="1"/>
    </row>
    <row r="1955" spans="3:6">
      <c r="C1955" s="1"/>
      <c r="D1955" s="1"/>
      <c r="E1955" s="1"/>
      <c r="F1955" s="1"/>
    </row>
    <row r="1956" spans="3:6">
      <c r="C1956" s="1"/>
      <c r="D1956" s="1"/>
      <c r="E1956" s="1"/>
      <c r="F1956" s="1"/>
    </row>
    <row r="1957" spans="3:6">
      <c r="C1957" s="1"/>
      <c r="D1957" s="1"/>
      <c r="E1957" s="1"/>
      <c r="F1957" s="1"/>
    </row>
    <row r="1958" spans="3:6">
      <c r="C1958" s="1"/>
      <c r="D1958" s="1"/>
      <c r="E1958" s="1"/>
      <c r="F1958" s="1"/>
    </row>
    <row r="1959" spans="3:6">
      <c r="C1959" s="1"/>
      <c r="D1959" s="1"/>
      <c r="E1959" s="1"/>
      <c r="F1959" s="1"/>
    </row>
    <row r="1960" spans="3:6">
      <c r="C1960" s="1"/>
      <c r="D1960" s="1"/>
      <c r="E1960" s="1"/>
      <c r="F1960" s="1"/>
    </row>
    <row r="1961" spans="3:6">
      <c r="C1961" s="1"/>
      <c r="D1961" s="1"/>
      <c r="E1961" s="1"/>
      <c r="F1961" s="1"/>
    </row>
    <row r="1962" spans="3:6">
      <c r="C1962" s="1"/>
      <c r="D1962" s="1"/>
      <c r="E1962" s="1"/>
      <c r="F1962" s="1"/>
    </row>
    <row r="1963" spans="3:6">
      <c r="C1963" s="1"/>
      <c r="D1963" s="1"/>
      <c r="E1963" s="1"/>
      <c r="F1963" s="1"/>
    </row>
    <row r="1964" spans="3:6">
      <c r="C1964" s="1"/>
      <c r="D1964" s="1"/>
      <c r="E1964" s="1"/>
      <c r="F1964" s="1"/>
    </row>
    <row r="1965" spans="3:6">
      <c r="C1965" s="1"/>
      <c r="D1965" s="1"/>
      <c r="E1965" s="1"/>
      <c r="F1965" s="1"/>
    </row>
    <row r="1966" spans="3:6">
      <c r="C1966" s="1"/>
      <c r="D1966" s="1"/>
      <c r="E1966" s="1"/>
      <c r="F1966" s="1"/>
    </row>
    <row r="1967" spans="3:6">
      <c r="C1967" s="1"/>
      <c r="D1967" s="1"/>
      <c r="E1967" s="1"/>
      <c r="F1967" s="1"/>
    </row>
    <row r="1968" spans="3:6">
      <c r="C1968" s="1"/>
      <c r="D1968" s="1"/>
      <c r="E1968" s="1"/>
      <c r="F1968" s="1"/>
    </row>
    <row r="1969" spans="3:6">
      <c r="C1969" s="1"/>
      <c r="D1969" s="1"/>
      <c r="E1969" s="1"/>
      <c r="F1969" s="1"/>
    </row>
    <row r="1970" spans="3:6">
      <c r="C1970" s="1"/>
      <c r="D1970" s="1"/>
      <c r="E1970" s="1"/>
      <c r="F1970" s="1"/>
    </row>
    <row r="1971" spans="3:6">
      <c r="C1971" s="1"/>
      <c r="D1971" s="1"/>
      <c r="E1971" s="1"/>
      <c r="F1971" s="1"/>
    </row>
    <row r="1972" spans="3:6">
      <c r="C1972" s="1"/>
      <c r="D1972" s="1"/>
      <c r="E1972" s="1"/>
      <c r="F1972" s="1"/>
    </row>
    <row r="1973" spans="3:6">
      <c r="C1973" s="1"/>
      <c r="D1973" s="1"/>
      <c r="E1973" s="1"/>
      <c r="F1973" s="1"/>
    </row>
    <row r="1974" spans="3:6">
      <c r="C1974" s="1"/>
      <c r="D1974" s="1"/>
      <c r="E1974" s="1"/>
      <c r="F1974" s="1"/>
    </row>
    <row r="1975" spans="3:6">
      <c r="C1975" s="1"/>
      <c r="D1975" s="1"/>
      <c r="E1975" s="1"/>
      <c r="F1975" s="1"/>
    </row>
    <row r="1976" spans="3:6">
      <c r="C1976" s="1"/>
      <c r="D1976" s="1"/>
      <c r="E1976" s="1"/>
      <c r="F1976" s="1"/>
    </row>
    <row r="1977" spans="3:6">
      <c r="C1977" s="1"/>
      <c r="D1977" s="1"/>
      <c r="E1977" s="1"/>
      <c r="F1977" s="1"/>
    </row>
    <row r="1978" spans="3:6">
      <c r="C1978" s="1"/>
      <c r="D1978" s="1"/>
      <c r="E1978" s="1"/>
      <c r="F1978" s="1"/>
    </row>
    <row r="1979" spans="3:6">
      <c r="C1979" s="1"/>
      <c r="D1979" s="1"/>
      <c r="E1979" s="1"/>
      <c r="F1979" s="1"/>
    </row>
    <row r="1980" spans="3:6">
      <c r="C1980" s="1"/>
      <c r="D1980" s="1"/>
      <c r="E1980" s="1"/>
      <c r="F1980" s="1"/>
    </row>
    <row r="1981" spans="3:6">
      <c r="C1981" s="1"/>
      <c r="D1981" s="1"/>
      <c r="E1981" s="1"/>
      <c r="F1981" s="1"/>
    </row>
    <row r="1982" spans="3:6">
      <c r="C1982" s="1"/>
      <c r="D1982" s="1"/>
      <c r="E1982" s="1"/>
      <c r="F1982" s="1"/>
    </row>
    <row r="1983" spans="3:6">
      <c r="C1983" s="1"/>
      <c r="D1983" s="1"/>
      <c r="E1983" s="1"/>
      <c r="F1983" s="1"/>
    </row>
    <row r="1984" spans="3:6">
      <c r="C1984" s="1"/>
      <c r="D1984" s="1"/>
      <c r="E1984" s="1"/>
      <c r="F1984" s="1"/>
    </row>
    <row r="1985" spans="3:6">
      <c r="C1985" s="1"/>
      <c r="D1985" s="1"/>
      <c r="E1985" s="1"/>
      <c r="F1985" s="1"/>
    </row>
    <row r="1986" spans="3:6">
      <c r="C1986" s="1"/>
      <c r="D1986" s="1"/>
      <c r="E1986" s="1"/>
      <c r="F1986" s="1"/>
    </row>
    <row r="1987" spans="3:6">
      <c r="C1987" s="1"/>
      <c r="D1987" s="1"/>
      <c r="E1987" s="1"/>
      <c r="F1987" s="1"/>
    </row>
    <row r="1988" spans="3:6">
      <c r="C1988" s="1"/>
      <c r="D1988" s="1"/>
      <c r="E1988" s="1"/>
      <c r="F1988" s="1"/>
    </row>
    <row r="1989" spans="3:6">
      <c r="C1989" s="1"/>
      <c r="D1989" s="1"/>
      <c r="E1989" s="1"/>
      <c r="F1989" s="1"/>
    </row>
    <row r="1990" spans="3:6">
      <c r="C1990" s="1"/>
      <c r="D1990" s="1"/>
      <c r="E1990" s="1"/>
      <c r="F1990" s="1"/>
    </row>
    <row r="1991" spans="3:6">
      <c r="C1991" s="1"/>
      <c r="D1991" s="1"/>
      <c r="E1991" s="1"/>
      <c r="F1991" s="1"/>
    </row>
    <row r="1992" spans="3:6">
      <c r="C1992" s="1"/>
      <c r="D1992" s="1"/>
      <c r="E1992" s="1"/>
      <c r="F1992" s="1"/>
    </row>
    <row r="1993" spans="3:6">
      <c r="C1993" s="1"/>
      <c r="D1993" s="1"/>
      <c r="E1993" s="1"/>
      <c r="F1993" s="1"/>
    </row>
    <row r="1994" spans="3:6">
      <c r="C1994" s="1"/>
      <c r="D1994" s="1"/>
      <c r="E1994" s="1"/>
      <c r="F1994" s="1"/>
    </row>
    <row r="1995" spans="3:6">
      <c r="C1995" s="1"/>
      <c r="D1995" s="1"/>
      <c r="E1995" s="1"/>
      <c r="F1995" s="1"/>
    </row>
    <row r="1996" spans="3:6">
      <c r="C1996" s="1"/>
      <c r="D1996" s="1"/>
      <c r="E1996" s="1"/>
      <c r="F1996" s="1"/>
    </row>
    <row r="1997" spans="3:6">
      <c r="C1997" s="1"/>
      <c r="D1997" s="1"/>
      <c r="E1997" s="1"/>
      <c r="F1997" s="1"/>
    </row>
    <row r="1998" spans="3:6">
      <c r="C1998" s="1"/>
      <c r="D1998" s="1"/>
      <c r="E1998" s="1"/>
      <c r="F1998" s="1"/>
    </row>
    <row r="1999" spans="3:6">
      <c r="C1999" s="1"/>
      <c r="D1999" s="1"/>
      <c r="E1999" s="1"/>
      <c r="F1999" s="1"/>
    </row>
    <row r="2000" spans="3:6">
      <c r="C2000" s="1"/>
      <c r="D2000" s="1"/>
      <c r="E2000" s="1"/>
      <c r="F2000" s="1"/>
    </row>
    <row r="2001" spans="3:6">
      <c r="C2001" s="1"/>
      <c r="D2001" s="1"/>
      <c r="E2001" s="1"/>
      <c r="F2001" s="1"/>
    </row>
    <row r="2002" spans="3:6">
      <c r="C2002" s="1"/>
      <c r="D2002" s="1"/>
      <c r="E2002" s="1"/>
      <c r="F2002" s="1"/>
    </row>
    <row r="2003" spans="3:6">
      <c r="C2003" s="1"/>
      <c r="D2003" s="1"/>
      <c r="E2003" s="1"/>
      <c r="F2003" s="1"/>
    </row>
    <row r="2004" spans="3:6">
      <c r="C2004" s="1"/>
      <c r="D2004" s="1"/>
      <c r="E2004" s="1"/>
      <c r="F2004" s="1"/>
    </row>
    <row r="2005" spans="3:6">
      <c r="C2005" s="1"/>
      <c r="D2005" s="1"/>
      <c r="E2005" s="1"/>
      <c r="F2005" s="1"/>
    </row>
    <row r="2006" spans="3:6">
      <c r="C2006" s="1"/>
      <c r="D2006" s="1"/>
      <c r="E2006" s="1"/>
      <c r="F2006" s="1"/>
    </row>
    <row r="2007" spans="3:6">
      <c r="C2007" s="1"/>
      <c r="D2007" s="1"/>
      <c r="E2007" s="1"/>
      <c r="F2007" s="1"/>
    </row>
    <row r="2008" spans="3:6">
      <c r="C2008" s="1"/>
      <c r="D2008" s="1"/>
      <c r="E2008" s="1"/>
      <c r="F2008" s="1"/>
    </row>
    <row r="2009" spans="3:6">
      <c r="C2009" s="1"/>
      <c r="D2009" s="1"/>
      <c r="E2009" s="1"/>
      <c r="F2009" s="1"/>
    </row>
    <row r="2010" spans="3:6">
      <c r="C2010" s="1"/>
      <c r="D2010" s="1"/>
      <c r="E2010" s="1"/>
      <c r="F2010" s="1"/>
    </row>
    <row r="2011" spans="3:6">
      <c r="C2011" s="1"/>
      <c r="D2011" s="1"/>
      <c r="E2011" s="1"/>
      <c r="F2011" s="1"/>
    </row>
    <row r="2012" spans="3:6">
      <c r="C2012" s="1"/>
      <c r="D2012" s="1"/>
      <c r="E2012" s="1"/>
      <c r="F2012" s="1"/>
    </row>
    <row r="2013" spans="3:6">
      <c r="C2013" s="1"/>
      <c r="D2013" s="1"/>
      <c r="E2013" s="1"/>
      <c r="F2013" s="1"/>
    </row>
    <row r="2014" spans="3:6">
      <c r="C2014" s="1"/>
      <c r="D2014" s="1"/>
      <c r="E2014" s="1"/>
      <c r="F2014" s="1"/>
    </row>
    <row r="2015" spans="3:6">
      <c r="C2015" s="1"/>
      <c r="D2015" s="1"/>
      <c r="E2015" s="1"/>
      <c r="F2015" s="1"/>
    </row>
    <row r="2016" spans="3:6">
      <c r="C2016" s="1"/>
      <c r="D2016" s="1"/>
      <c r="E2016" s="1"/>
      <c r="F2016" s="1"/>
    </row>
    <row r="2017" spans="3:6">
      <c r="C2017" s="1"/>
      <c r="D2017" s="1"/>
      <c r="E2017" s="1"/>
      <c r="F2017" s="1"/>
    </row>
    <row r="2018" spans="3:6">
      <c r="C2018" s="1"/>
      <c r="D2018" s="1"/>
      <c r="E2018" s="1"/>
      <c r="F2018" s="1"/>
    </row>
    <row r="2019" spans="3:6">
      <c r="C2019" s="1"/>
      <c r="D2019" s="1"/>
      <c r="E2019" s="1"/>
      <c r="F2019" s="1"/>
    </row>
    <row r="2020" spans="3:6">
      <c r="C2020" s="1"/>
      <c r="D2020" s="1"/>
      <c r="E2020" s="1"/>
      <c r="F2020" s="1"/>
    </row>
    <row r="2021" spans="3:6">
      <c r="C2021" s="1"/>
      <c r="D2021" s="1"/>
      <c r="E2021" s="1"/>
      <c r="F2021" s="1"/>
    </row>
    <row r="2022" spans="3:6">
      <c r="C2022" s="1"/>
      <c r="D2022" s="1"/>
      <c r="E2022" s="1"/>
      <c r="F2022" s="1"/>
    </row>
    <row r="2023" spans="3:6">
      <c r="C2023" s="1"/>
      <c r="D2023" s="1"/>
      <c r="E2023" s="1"/>
      <c r="F2023" s="1"/>
    </row>
    <row r="2024" spans="3:6">
      <c r="C2024" s="1"/>
      <c r="D2024" s="1"/>
      <c r="E2024" s="1"/>
      <c r="F2024" s="1"/>
    </row>
    <row r="2025" spans="3:6">
      <c r="C2025" s="1"/>
      <c r="D2025" s="1"/>
      <c r="E2025" s="1"/>
      <c r="F2025" s="1"/>
    </row>
    <row r="2026" spans="3:6">
      <c r="C2026" s="1"/>
      <c r="D2026" s="1"/>
      <c r="E2026" s="1"/>
      <c r="F2026" s="1"/>
    </row>
    <row r="2027" spans="3:6">
      <c r="C2027" s="1"/>
      <c r="D2027" s="1"/>
      <c r="E2027" s="1"/>
      <c r="F2027" s="1"/>
    </row>
    <row r="2028" spans="3:6">
      <c r="C2028" s="1"/>
      <c r="D2028" s="1"/>
      <c r="E2028" s="1"/>
      <c r="F2028" s="1"/>
    </row>
    <row r="2029" spans="3:6">
      <c r="C2029" s="1"/>
      <c r="D2029" s="1"/>
      <c r="E2029" s="1"/>
      <c r="F2029" s="1"/>
    </row>
    <row r="2030" spans="3:6">
      <c r="C2030" s="1"/>
      <c r="D2030" s="1"/>
      <c r="E2030" s="1"/>
      <c r="F2030" s="1"/>
    </row>
    <row r="2031" spans="3:6">
      <c r="C2031" s="1"/>
      <c r="D2031" s="1"/>
      <c r="E2031" s="1"/>
      <c r="F2031" s="1"/>
    </row>
    <row r="2032" spans="3:6">
      <c r="C2032" s="1"/>
      <c r="D2032" s="1"/>
      <c r="E2032" s="1"/>
      <c r="F2032" s="1"/>
    </row>
    <row r="2033" spans="3:6">
      <c r="C2033" s="1"/>
      <c r="D2033" s="1"/>
      <c r="E2033" s="1"/>
      <c r="F2033" s="1"/>
    </row>
    <row r="2034" spans="3:6">
      <c r="C2034" s="1"/>
      <c r="D2034" s="1"/>
      <c r="E2034" s="1"/>
      <c r="F2034" s="1"/>
    </row>
    <row r="2035" spans="3:6">
      <c r="C2035" s="1"/>
      <c r="D2035" s="1"/>
      <c r="E2035" s="1"/>
      <c r="F2035" s="1"/>
    </row>
    <row r="2036" spans="3:6">
      <c r="C2036" s="1"/>
      <c r="D2036" s="1"/>
      <c r="E2036" s="1"/>
      <c r="F2036" s="1"/>
    </row>
    <row r="2037" spans="3:6">
      <c r="C2037" s="1"/>
      <c r="D2037" s="1"/>
      <c r="E2037" s="1"/>
      <c r="F2037" s="1"/>
    </row>
    <row r="2038" spans="3:6">
      <c r="C2038" s="1"/>
      <c r="D2038" s="1"/>
      <c r="E2038" s="1"/>
      <c r="F2038" s="1"/>
    </row>
    <row r="2039" spans="3:6">
      <c r="C2039" s="1"/>
      <c r="D2039" s="1"/>
      <c r="E2039" s="1"/>
      <c r="F2039" s="1"/>
    </row>
    <row r="2040" spans="3:6">
      <c r="C2040" s="1"/>
      <c r="D2040" s="1"/>
      <c r="E2040" s="1"/>
      <c r="F2040" s="1"/>
    </row>
    <row r="2041" spans="3:6">
      <c r="C2041" s="1"/>
      <c r="D2041" s="1"/>
      <c r="E2041" s="1"/>
      <c r="F2041" s="1"/>
    </row>
    <row r="2042" spans="3:6">
      <c r="C2042" s="1"/>
      <c r="D2042" s="1"/>
      <c r="E2042" s="1"/>
      <c r="F2042" s="1"/>
    </row>
    <row r="2043" spans="3:6">
      <c r="C2043" s="1"/>
      <c r="D2043" s="1"/>
      <c r="E2043" s="1"/>
      <c r="F2043" s="1"/>
    </row>
    <row r="2044" spans="3:6">
      <c r="C2044" s="1"/>
      <c r="D2044" s="1"/>
      <c r="E2044" s="1"/>
      <c r="F2044" s="1"/>
    </row>
    <row r="2045" spans="3:6">
      <c r="C2045" s="1"/>
      <c r="D2045" s="1"/>
      <c r="E2045" s="1"/>
      <c r="F2045" s="1"/>
    </row>
    <row r="2046" spans="3:6">
      <c r="C2046" s="1"/>
      <c r="D2046" s="1"/>
      <c r="E2046" s="1"/>
      <c r="F2046" s="1"/>
    </row>
    <row r="2047" spans="3:6">
      <c r="C2047" s="1"/>
      <c r="D2047" s="1"/>
      <c r="E2047" s="1"/>
      <c r="F2047" s="1"/>
    </row>
    <row r="2048" spans="3:6">
      <c r="C2048" s="1"/>
      <c r="D2048" s="1"/>
      <c r="E2048" s="1"/>
      <c r="F2048" s="1"/>
    </row>
    <row r="2049" spans="3:6">
      <c r="C2049" s="1"/>
      <c r="D2049" s="1"/>
      <c r="E2049" s="1"/>
      <c r="F2049" s="1"/>
    </row>
    <row r="2050" spans="3:6">
      <c r="C2050" s="1"/>
      <c r="D2050" s="1"/>
      <c r="E2050" s="1"/>
      <c r="F2050" s="1"/>
    </row>
    <row r="2051" spans="3:6">
      <c r="C2051" s="1"/>
      <c r="D2051" s="1"/>
      <c r="E2051" s="1"/>
      <c r="F2051" s="1"/>
    </row>
    <row r="2052" spans="3:6">
      <c r="C2052" s="1"/>
      <c r="D2052" s="1"/>
      <c r="E2052" s="1"/>
      <c r="F2052" s="1"/>
    </row>
    <row r="2053" spans="3:6">
      <c r="C2053" s="1"/>
      <c r="D2053" s="1"/>
      <c r="E2053" s="1"/>
      <c r="F2053" s="1"/>
    </row>
    <row r="2054" spans="3:6">
      <c r="C2054" s="1"/>
      <c r="D2054" s="1"/>
      <c r="E2054" s="1"/>
      <c r="F2054" s="1"/>
    </row>
    <row r="2055" spans="3:6">
      <c r="C2055" s="1"/>
      <c r="D2055" s="1"/>
      <c r="E2055" s="1"/>
      <c r="F2055" s="1"/>
    </row>
    <row r="2056" spans="3:6">
      <c r="C2056" s="1"/>
      <c r="D2056" s="1"/>
      <c r="E2056" s="1"/>
      <c r="F2056" s="1"/>
    </row>
    <row r="2057" spans="3:6">
      <c r="C2057" s="1"/>
      <c r="D2057" s="1"/>
      <c r="E2057" s="1"/>
      <c r="F2057" s="1"/>
    </row>
    <row r="2058" spans="3:6">
      <c r="C2058" s="1"/>
      <c r="D2058" s="1"/>
      <c r="E2058" s="1"/>
      <c r="F2058" s="1"/>
    </row>
    <row r="2059" spans="3:6">
      <c r="C2059" s="1"/>
      <c r="D2059" s="1"/>
      <c r="E2059" s="1"/>
      <c r="F2059" s="1"/>
    </row>
    <row r="2060" spans="3:6">
      <c r="C2060" s="1"/>
      <c r="D2060" s="1"/>
      <c r="E2060" s="1"/>
      <c r="F2060" s="1"/>
    </row>
    <row r="2061" spans="3:6">
      <c r="C2061" s="1"/>
      <c r="D2061" s="1"/>
      <c r="E2061" s="1"/>
      <c r="F2061" s="1"/>
    </row>
    <row r="2062" spans="3:6">
      <c r="C2062" s="1"/>
      <c r="D2062" s="1"/>
      <c r="E2062" s="1"/>
      <c r="F2062" s="1"/>
    </row>
    <row r="2063" spans="3:6">
      <c r="C2063" s="1"/>
      <c r="D2063" s="1"/>
      <c r="E2063" s="1"/>
      <c r="F2063" s="1"/>
    </row>
    <row r="2064" spans="3:6">
      <c r="C2064" s="1"/>
      <c r="D2064" s="1"/>
      <c r="E2064" s="1"/>
      <c r="F2064" s="1"/>
    </row>
    <row r="2065" spans="3:6">
      <c r="C2065" s="1"/>
      <c r="D2065" s="1"/>
      <c r="E2065" s="1"/>
      <c r="F2065" s="1"/>
    </row>
    <row r="2066" spans="3:6">
      <c r="C2066" s="1"/>
      <c r="D2066" s="1"/>
      <c r="E2066" s="1"/>
      <c r="F2066" s="1"/>
    </row>
    <row r="2067" spans="3:6">
      <c r="C2067" s="1"/>
      <c r="D2067" s="1"/>
      <c r="E2067" s="1"/>
      <c r="F2067" s="1"/>
    </row>
    <row r="2068" spans="3:6">
      <c r="C2068" s="1"/>
      <c r="D2068" s="1"/>
      <c r="E2068" s="1"/>
      <c r="F2068" s="1"/>
    </row>
    <row r="2069" spans="3:6">
      <c r="C2069" s="1"/>
      <c r="D2069" s="1"/>
      <c r="E2069" s="1"/>
      <c r="F2069" s="1"/>
    </row>
    <row r="2070" spans="3:6">
      <c r="C2070" s="1"/>
      <c r="D2070" s="1"/>
      <c r="E2070" s="1"/>
      <c r="F2070" s="1"/>
    </row>
    <row r="2071" spans="3:6">
      <c r="C2071" s="1"/>
      <c r="D2071" s="1"/>
      <c r="E2071" s="1"/>
      <c r="F2071" s="1"/>
    </row>
    <row r="2072" spans="3:6">
      <c r="C2072" s="1"/>
      <c r="D2072" s="1"/>
      <c r="E2072" s="1"/>
      <c r="F2072" s="1"/>
    </row>
    <row r="2073" spans="3:6">
      <c r="C2073" s="1"/>
      <c r="D2073" s="1"/>
      <c r="E2073" s="1"/>
      <c r="F2073" s="1"/>
    </row>
    <row r="2074" spans="3:6">
      <c r="C2074" s="1"/>
      <c r="D2074" s="1"/>
      <c r="E2074" s="1"/>
      <c r="F2074" s="1"/>
    </row>
    <row r="2075" spans="3:6">
      <c r="C2075" s="1"/>
      <c r="D2075" s="1"/>
      <c r="E2075" s="1"/>
      <c r="F2075" s="1"/>
    </row>
    <row r="2076" spans="3:6">
      <c r="C2076" s="1"/>
      <c r="D2076" s="1"/>
      <c r="E2076" s="1"/>
      <c r="F2076" s="1"/>
    </row>
    <row r="2077" spans="3:6">
      <c r="C2077" s="1"/>
      <c r="D2077" s="1"/>
      <c r="E2077" s="1"/>
      <c r="F2077" s="1"/>
    </row>
    <row r="2078" spans="3:6">
      <c r="C2078" s="1"/>
      <c r="D2078" s="1"/>
      <c r="E2078" s="1"/>
      <c r="F2078" s="1"/>
    </row>
    <row r="2079" spans="3:6">
      <c r="C2079" s="1"/>
      <c r="D2079" s="1"/>
      <c r="E2079" s="1"/>
      <c r="F2079" s="1"/>
    </row>
    <row r="2080" spans="3:6">
      <c r="C2080" s="1"/>
      <c r="D2080" s="1"/>
      <c r="E2080" s="1"/>
      <c r="F2080" s="1"/>
    </row>
    <row r="2081" spans="3:6">
      <c r="C2081" s="1"/>
      <c r="D2081" s="1"/>
      <c r="E2081" s="1"/>
      <c r="F2081" s="1"/>
    </row>
    <row r="2082" spans="3:6">
      <c r="C2082" s="1"/>
      <c r="D2082" s="1"/>
      <c r="E2082" s="1"/>
      <c r="F2082" s="1"/>
    </row>
    <row r="2083" spans="3:6">
      <c r="C2083" s="1"/>
      <c r="D2083" s="1"/>
      <c r="E2083" s="1"/>
      <c r="F2083" s="1"/>
    </row>
    <row r="2084" spans="3:6">
      <c r="C2084" s="1"/>
      <c r="D2084" s="1"/>
      <c r="E2084" s="1"/>
      <c r="F2084" s="1"/>
    </row>
    <row r="2085" spans="3:6">
      <c r="C2085" s="1"/>
      <c r="D2085" s="1"/>
      <c r="E2085" s="1"/>
      <c r="F2085" s="1"/>
    </row>
    <row r="2086" spans="3:6">
      <c r="C2086" s="1"/>
      <c r="D2086" s="1"/>
      <c r="E2086" s="1"/>
      <c r="F2086" s="1"/>
    </row>
    <row r="2087" spans="3:6">
      <c r="C2087" s="1"/>
      <c r="D2087" s="1"/>
      <c r="E2087" s="1"/>
      <c r="F2087" s="1"/>
    </row>
    <row r="2088" spans="3:6">
      <c r="C2088" s="1"/>
      <c r="D2088" s="1"/>
      <c r="E2088" s="1"/>
      <c r="F2088" s="1"/>
    </row>
    <row r="2089" spans="3:6">
      <c r="C2089" s="1"/>
      <c r="D2089" s="1"/>
      <c r="E2089" s="1"/>
      <c r="F2089" s="1"/>
    </row>
    <row r="2090" spans="3:6">
      <c r="C2090" s="1"/>
      <c r="D2090" s="1"/>
      <c r="E2090" s="1"/>
      <c r="F2090" s="1"/>
    </row>
    <row r="2091" spans="3:6">
      <c r="C2091" s="1"/>
      <c r="D2091" s="1"/>
      <c r="E2091" s="1"/>
      <c r="F2091" s="1"/>
    </row>
    <row r="2092" spans="3:6">
      <c r="C2092" s="1"/>
      <c r="D2092" s="1"/>
      <c r="E2092" s="1"/>
      <c r="F2092" s="1"/>
    </row>
    <row r="2093" spans="3:6">
      <c r="C2093" s="1"/>
      <c r="D2093" s="1"/>
      <c r="E2093" s="1"/>
      <c r="F2093" s="1"/>
    </row>
    <row r="2094" spans="3:6">
      <c r="C2094" s="1"/>
      <c r="D2094" s="1"/>
      <c r="E2094" s="1"/>
      <c r="F2094" s="1"/>
    </row>
    <row r="2095" spans="3:6">
      <c r="C2095" s="1"/>
      <c r="D2095" s="1"/>
      <c r="E2095" s="1"/>
      <c r="F2095" s="1"/>
    </row>
    <row r="2096" spans="3:6">
      <c r="C2096" s="1"/>
      <c r="D2096" s="1"/>
      <c r="E2096" s="1"/>
      <c r="F2096" s="1"/>
    </row>
    <row r="2097" spans="3:6">
      <c r="C2097" s="1"/>
      <c r="D2097" s="1"/>
      <c r="E2097" s="1"/>
      <c r="F2097" s="1"/>
    </row>
    <row r="2098" spans="3:6">
      <c r="C2098" s="1"/>
      <c r="D2098" s="1"/>
      <c r="E2098" s="1"/>
      <c r="F2098" s="1"/>
    </row>
    <row r="2099" spans="3:6">
      <c r="C2099" s="1"/>
      <c r="D2099" s="1"/>
      <c r="E2099" s="1"/>
      <c r="F2099" s="1"/>
    </row>
    <row r="2100" spans="3:6">
      <c r="C2100" s="1"/>
      <c r="D2100" s="1"/>
      <c r="E2100" s="1"/>
      <c r="F2100" s="1"/>
    </row>
    <row r="2101" spans="3:6">
      <c r="C2101" s="1"/>
      <c r="D2101" s="1"/>
      <c r="E2101" s="1"/>
      <c r="F2101" s="1"/>
    </row>
    <row r="2102" spans="3:6">
      <c r="C2102" s="1"/>
      <c r="D2102" s="1"/>
      <c r="E2102" s="1"/>
      <c r="F2102" s="1"/>
    </row>
    <row r="2103" spans="3:6">
      <c r="C2103" s="1"/>
      <c r="D2103" s="1"/>
      <c r="E2103" s="1"/>
      <c r="F2103" s="1"/>
    </row>
    <row r="2104" spans="3:6">
      <c r="C2104" s="1"/>
      <c r="D2104" s="1"/>
      <c r="E2104" s="1"/>
      <c r="F2104" s="1"/>
    </row>
    <row r="2105" spans="3:6">
      <c r="C2105" s="1"/>
      <c r="D2105" s="1"/>
      <c r="E2105" s="1"/>
      <c r="F2105" s="1"/>
    </row>
    <row r="2106" spans="3:6">
      <c r="C2106" s="1"/>
      <c r="D2106" s="1"/>
      <c r="E2106" s="1"/>
      <c r="F2106" s="1"/>
    </row>
    <row r="2107" spans="3:6">
      <c r="C2107" s="1"/>
      <c r="D2107" s="1"/>
      <c r="E2107" s="1"/>
      <c r="F2107" s="1"/>
    </row>
    <row r="2108" spans="3:6">
      <c r="C2108" s="1"/>
      <c r="D2108" s="1"/>
      <c r="E2108" s="1"/>
      <c r="F2108" s="1"/>
    </row>
    <row r="2109" spans="3:6">
      <c r="C2109" s="1"/>
      <c r="D2109" s="1"/>
      <c r="E2109" s="1"/>
      <c r="F2109" s="1"/>
    </row>
    <row r="2110" spans="3:6">
      <c r="C2110" s="1"/>
      <c r="D2110" s="1"/>
      <c r="E2110" s="1"/>
      <c r="F2110" s="1"/>
    </row>
    <row r="2111" spans="3:6">
      <c r="C2111" s="1"/>
      <c r="D2111" s="1"/>
      <c r="E2111" s="1"/>
      <c r="F2111" s="1"/>
    </row>
    <row r="2112" spans="3:6">
      <c r="C2112" s="1"/>
      <c r="D2112" s="1"/>
      <c r="E2112" s="1"/>
      <c r="F2112" s="1"/>
    </row>
    <row r="2113" spans="3:6">
      <c r="C2113" s="1"/>
      <c r="D2113" s="1"/>
      <c r="E2113" s="1"/>
      <c r="F2113" s="1"/>
    </row>
    <row r="2114" spans="3:6">
      <c r="C2114" s="1"/>
      <c r="D2114" s="1"/>
      <c r="E2114" s="1"/>
      <c r="F2114" s="1"/>
    </row>
    <row r="2115" spans="3:6">
      <c r="C2115" s="1"/>
      <c r="D2115" s="1"/>
      <c r="E2115" s="1"/>
      <c r="F2115" s="1"/>
    </row>
    <row r="2116" spans="3:6">
      <c r="C2116" s="1"/>
      <c r="D2116" s="1"/>
      <c r="E2116" s="1"/>
      <c r="F2116" s="1"/>
    </row>
    <row r="2117" spans="3:6">
      <c r="C2117" s="1"/>
      <c r="D2117" s="1"/>
      <c r="E2117" s="1"/>
      <c r="F2117" s="1"/>
    </row>
    <row r="2118" spans="3:6">
      <c r="C2118" s="1"/>
      <c r="D2118" s="1"/>
      <c r="E2118" s="1"/>
      <c r="F2118" s="1"/>
    </row>
    <row r="2119" spans="3:6">
      <c r="C2119" s="1"/>
      <c r="D2119" s="1"/>
      <c r="E2119" s="1"/>
      <c r="F2119" s="1"/>
    </row>
    <row r="2120" spans="3:6">
      <c r="C2120" s="1"/>
      <c r="D2120" s="1"/>
      <c r="E2120" s="1"/>
      <c r="F2120" s="1"/>
    </row>
    <row r="2121" spans="3:6">
      <c r="C2121" s="1"/>
      <c r="D2121" s="1"/>
      <c r="E2121" s="1"/>
      <c r="F2121" s="1"/>
    </row>
    <row r="2122" spans="3:6">
      <c r="C2122" s="1"/>
      <c r="D2122" s="1"/>
      <c r="E2122" s="1"/>
      <c r="F2122" s="1"/>
    </row>
    <row r="2123" spans="3:6">
      <c r="C2123" s="1"/>
      <c r="D2123" s="1"/>
      <c r="E2123" s="1"/>
      <c r="F2123" s="1"/>
    </row>
    <row r="2124" spans="3:6">
      <c r="C2124" s="1"/>
      <c r="D2124" s="1"/>
      <c r="E2124" s="1"/>
      <c r="F2124" s="1"/>
    </row>
    <row r="2125" spans="3:6">
      <c r="C2125" s="1"/>
      <c r="D2125" s="1"/>
      <c r="E2125" s="1"/>
      <c r="F2125" s="1"/>
    </row>
    <row r="2126" spans="3:6">
      <c r="C2126" s="1"/>
      <c r="D2126" s="1"/>
      <c r="E2126" s="1"/>
      <c r="F2126" s="1"/>
    </row>
    <row r="2127" spans="3:6">
      <c r="C2127" s="1"/>
      <c r="D2127" s="1"/>
      <c r="E2127" s="1"/>
      <c r="F2127" s="1"/>
    </row>
    <row r="2128" spans="3:6">
      <c r="C2128" s="1"/>
      <c r="D2128" s="1"/>
      <c r="E2128" s="1"/>
      <c r="F2128" s="1"/>
    </row>
    <row r="2129" spans="3:6">
      <c r="C2129" s="1"/>
      <c r="D2129" s="1"/>
      <c r="E2129" s="1"/>
      <c r="F2129" s="1"/>
    </row>
    <row r="2130" spans="3:6">
      <c r="C2130" s="1"/>
      <c r="D2130" s="1"/>
      <c r="E2130" s="1"/>
      <c r="F2130" s="1"/>
    </row>
    <row r="2131" spans="3:6">
      <c r="C2131" s="1"/>
      <c r="D2131" s="1"/>
      <c r="E2131" s="1"/>
      <c r="F2131" s="1"/>
    </row>
    <row r="2132" spans="3:6">
      <c r="C2132" s="1"/>
      <c r="D2132" s="1"/>
      <c r="E2132" s="1"/>
      <c r="F2132" s="1"/>
    </row>
    <row r="2133" spans="3:6">
      <c r="C2133" s="1"/>
      <c r="D2133" s="1"/>
      <c r="E2133" s="1"/>
      <c r="F2133" s="1"/>
    </row>
    <row r="2134" spans="3:6">
      <c r="C2134" s="1"/>
      <c r="D2134" s="1"/>
      <c r="E2134" s="1"/>
      <c r="F2134" s="1"/>
    </row>
    <row r="2135" spans="3:6">
      <c r="C2135" s="1"/>
      <c r="D2135" s="1"/>
      <c r="E2135" s="1"/>
      <c r="F2135" s="1"/>
    </row>
    <row r="2136" spans="3:6">
      <c r="C2136" s="1"/>
      <c r="D2136" s="1"/>
      <c r="E2136" s="1"/>
      <c r="F2136" s="1"/>
    </row>
    <row r="2137" spans="3:6">
      <c r="C2137" s="1"/>
      <c r="D2137" s="1"/>
      <c r="E2137" s="1"/>
      <c r="F2137" s="1"/>
    </row>
    <row r="2138" spans="3:6">
      <c r="C2138" s="1"/>
      <c r="D2138" s="1"/>
      <c r="E2138" s="1"/>
      <c r="F2138" s="1"/>
    </row>
    <row r="2139" spans="3:6">
      <c r="C2139" s="1"/>
      <c r="D2139" s="1"/>
      <c r="E2139" s="1"/>
      <c r="F2139" s="1"/>
    </row>
    <row r="2140" spans="3:6">
      <c r="C2140" s="1"/>
      <c r="D2140" s="1"/>
      <c r="E2140" s="1"/>
      <c r="F2140" s="1"/>
    </row>
    <row r="2141" spans="3:6">
      <c r="C2141" s="1"/>
      <c r="D2141" s="1"/>
      <c r="E2141" s="1"/>
      <c r="F2141" s="1"/>
    </row>
    <row r="2142" spans="3:6">
      <c r="C2142" s="1"/>
      <c r="D2142" s="1"/>
      <c r="E2142" s="1"/>
      <c r="F2142" s="1"/>
    </row>
    <row r="2143" spans="3:6">
      <c r="C2143" s="1"/>
      <c r="D2143" s="1"/>
      <c r="E2143" s="1"/>
      <c r="F2143" s="1"/>
    </row>
    <row r="2144" spans="3:6">
      <c r="C2144" s="1"/>
      <c r="D2144" s="1"/>
      <c r="E2144" s="1"/>
      <c r="F2144" s="1"/>
    </row>
    <row r="2145" spans="3:6">
      <c r="C2145" s="1"/>
      <c r="D2145" s="1"/>
      <c r="E2145" s="1"/>
      <c r="F2145" s="1"/>
    </row>
    <row r="2146" spans="3:6">
      <c r="C2146" s="1"/>
      <c r="D2146" s="1"/>
      <c r="E2146" s="1"/>
      <c r="F2146" s="1"/>
    </row>
    <row r="2147" spans="3:6">
      <c r="C2147" s="1"/>
      <c r="D2147" s="1"/>
      <c r="E2147" s="1"/>
      <c r="F2147" s="1"/>
    </row>
    <row r="2148" spans="3:6">
      <c r="C2148" s="1"/>
      <c r="D2148" s="1"/>
      <c r="E2148" s="1"/>
      <c r="F2148" s="1"/>
    </row>
    <row r="2149" spans="3:6">
      <c r="C2149" s="1"/>
      <c r="D2149" s="1"/>
      <c r="E2149" s="1"/>
      <c r="F2149" s="1"/>
    </row>
    <row r="2150" spans="3:6">
      <c r="C2150" s="1"/>
      <c r="D2150" s="1"/>
      <c r="E2150" s="1"/>
      <c r="F2150" s="1"/>
    </row>
    <row r="2151" spans="3:6">
      <c r="C2151" s="1"/>
      <c r="D2151" s="1"/>
      <c r="E2151" s="1"/>
      <c r="F2151" s="1"/>
    </row>
    <row r="2152" spans="3:6">
      <c r="C2152" s="1"/>
      <c r="D2152" s="1"/>
      <c r="E2152" s="1"/>
      <c r="F2152" s="1"/>
    </row>
    <row r="2153" spans="3:6">
      <c r="C2153" s="1"/>
      <c r="D2153" s="1"/>
      <c r="E2153" s="1"/>
      <c r="F2153" s="1"/>
    </row>
    <row r="2154" spans="3:6">
      <c r="C2154" s="1"/>
      <c r="D2154" s="1"/>
      <c r="E2154" s="1"/>
      <c r="F2154" s="1"/>
    </row>
    <row r="2155" spans="3:6">
      <c r="C2155" s="1"/>
      <c r="D2155" s="1"/>
      <c r="E2155" s="1"/>
      <c r="F2155" s="1"/>
    </row>
    <row r="2156" spans="3:6">
      <c r="C2156" s="1"/>
      <c r="D2156" s="1"/>
      <c r="E2156" s="1"/>
      <c r="F2156" s="1"/>
    </row>
    <row r="2157" spans="3:6">
      <c r="C2157" s="1"/>
      <c r="D2157" s="1"/>
      <c r="E2157" s="1"/>
      <c r="F2157" s="1"/>
    </row>
    <row r="2158" spans="3:6">
      <c r="C2158" s="1"/>
      <c r="D2158" s="1"/>
      <c r="E2158" s="1"/>
      <c r="F2158" s="1"/>
    </row>
    <row r="2159" spans="3:6">
      <c r="C2159" s="1"/>
      <c r="D2159" s="1"/>
      <c r="E2159" s="1"/>
      <c r="F2159" s="1"/>
    </row>
    <row r="2160" spans="3:6">
      <c r="C2160" s="1"/>
      <c r="D2160" s="1"/>
      <c r="E2160" s="1"/>
      <c r="F2160" s="1"/>
    </row>
    <row r="2161" spans="3:6">
      <c r="C2161" s="1"/>
      <c r="D2161" s="1"/>
      <c r="E2161" s="1"/>
      <c r="F2161" s="1"/>
    </row>
    <row r="2162" spans="3:6">
      <c r="C2162" s="1"/>
      <c r="D2162" s="1"/>
      <c r="E2162" s="1"/>
      <c r="F2162" s="1"/>
    </row>
    <row r="2163" spans="3:6">
      <c r="C2163" s="1"/>
      <c r="D2163" s="1"/>
      <c r="E2163" s="1"/>
      <c r="F2163" s="1"/>
    </row>
    <row r="2164" spans="3:6">
      <c r="C2164" s="1"/>
      <c r="D2164" s="1"/>
      <c r="E2164" s="1"/>
      <c r="F2164" s="1"/>
    </row>
    <row r="2165" spans="3:6">
      <c r="C2165" s="1"/>
      <c r="D2165" s="1"/>
      <c r="E2165" s="1"/>
      <c r="F2165" s="1"/>
    </row>
    <row r="2166" spans="3:6">
      <c r="C2166" s="1"/>
      <c r="D2166" s="1"/>
      <c r="E2166" s="1"/>
      <c r="F2166" s="1"/>
    </row>
    <row r="2167" spans="3:6">
      <c r="C2167" s="1"/>
      <c r="D2167" s="1"/>
      <c r="E2167" s="1"/>
      <c r="F2167" s="1"/>
    </row>
    <row r="2168" spans="3:6">
      <c r="C2168" s="1"/>
      <c r="D2168" s="1"/>
      <c r="E2168" s="1"/>
      <c r="F2168" s="1"/>
    </row>
    <row r="2169" spans="3:6">
      <c r="C2169" s="1"/>
      <c r="D2169" s="1"/>
      <c r="E2169" s="1"/>
      <c r="F2169" s="1"/>
    </row>
    <row r="2170" spans="3:6">
      <c r="C2170" s="1"/>
      <c r="D2170" s="1"/>
      <c r="E2170" s="1"/>
      <c r="F2170" s="1"/>
    </row>
    <row r="2171" spans="3:6">
      <c r="C2171" s="1"/>
      <c r="D2171" s="1"/>
      <c r="E2171" s="1"/>
      <c r="F2171" s="1"/>
    </row>
    <row r="2172" spans="3:6">
      <c r="C2172" s="1"/>
      <c r="D2172" s="1"/>
      <c r="E2172" s="1"/>
      <c r="F2172" s="1"/>
    </row>
    <row r="2173" spans="3:6">
      <c r="C2173" s="1"/>
      <c r="D2173" s="1"/>
      <c r="E2173" s="1"/>
      <c r="F2173" s="1"/>
    </row>
    <row r="2174" spans="3:6">
      <c r="C2174" s="1"/>
      <c r="D2174" s="1"/>
      <c r="E2174" s="1"/>
      <c r="F2174" s="1"/>
    </row>
    <row r="2175" spans="3:6">
      <c r="C2175" s="1"/>
      <c r="D2175" s="1"/>
      <c r="E2175" s="1"/>
      <c r="F2175" s="1"/>
    </row>
    <row r="2176" spans="3:6">
      <c r="C2176" s="1"/>
      <c r="D2176" s="1"/>
      <c r="E2176" s="1"/>
      <c r="F2176" s="1"/>
    </row>
    <row r="2177" spans="3:6">
      <c r="C2177" s="1"/>
      <c r="D2177" s="1"/>
      <c r="E2177" s="1"/>
      <c r="F2177" s="1"/>
    </row>
    <row r="2178" spans="3:6">
      <c r="C2178" s="1"/>
      <c r="D2178" s="1"/>
      <c r="E2178" s="1"/>
      <c r="F2178" s="1"/>
    </row>
    <row r="2179" spans="3:6">
      <c r="C2179" s="1"/>
      <c r="D2179" s="1"/>
      <c r="E2179" s="1"/>
      <c r="F2179" s="1"/>
    </row>
    <row r="2180" spans="3:6">
      <c r="C2180" s="1"/>
      <c r="D2180" s="1"/>
      <c r="E2180" s="1"/>
      <c r="F2180" s="1"/>
    </row>
    <row r="2181" spans="3:6">
      <c r="C2181" s="1"/>
      <c r="D2181" s="1"/>
      <c r="E2181" s="1"/>
      <c r="F2181" s="1"/>
    </row>
    <row r="2182" spans="3:6">
      <c r="C2182" s="1"/>
      <c r="D2182" s="1"/>
      <c r="E2182" s="1"/>
      <c r="F2182" s="1"/>
    </row>
    <row r="2183" spans="3:6">
      <c r="C2183" s="1"/>
      <c r="D2183" s="1"/>
      <c r="E2183" s="1"/>
      <c r="F2183" s="1"/>
    </row>
    <row r="2184" spans="3:6">
      <c r="C2184" s="1"/>
      <c r="D2184" s="1"/>
      <c r="E2184" s="1"/>
      <c r="F2184" s="1"/>
    </row>
    <row r="2185" spans="3:6">
      <c r="C2185" s="1"/>
      <c r="D2185" s="1"/>
      <c r="E2185" s="1"/>
      <c r="F2185" s="1"/>
    </row>
    <row r="2186" spans="3:6">
      <c r="C2186" s="1"/>
      <c r="D2186" s="1"/>
      <c r="E2186" s="1"/>
      <c r="F2186" s="1"/>
    </row>
    <row r="2187" spans="3:6">
      <c r="C2187" s="1"/>
      <c r="D2187" s="1"/>
      <c r="E2187" s="1"/>
      <c r="F2187" s="1"/>
    </row>
    <row r="2188" spans="3:6">
      <c r="C2188" s="1"/>
      <c r="D2188" s="1"/>
      <c r="E2188" s="1"/>
      <c r="F2188" s="1"/>
    </row>
    <row r="2189" spans="3:6">
      <c r="C2189" s="1"/>
      <c r="D2189" s="1"/>
      <c r="E2189" s="1"/>
      <c r="F2189" s="1"/>
    </row>
    <row r="2190" spans="3:6">
      <c r="C2190" s="1"/>
      <c r="D2190" s="1"/>
      <c r="E2190" s="1"/>
      <c r="F2190" s="1"/>
    </row>
    <row r="2191" spans="3:6">
      <c r="C2191" s="1"/>
      <c r="D2191" s="1"/>
      <c r="E2191" s="1"/>
      <c r="F2191" s="1"/>
    </row>
    <row r="2192" spans="3:6">
      <c r="C2192" s="1"/>
      <c r="D2192" s="1"/>
      <c r="E2192" s="1"/>
      <c r="F2192" s="1"/>
    </row>
    <row r="2193" spans="3:6">
      <c r="C2193" s="1"/>
      <c r="D2193" s="1"/>
      <c r="E2193" s="1"/>
      <c r="F2193" s="1"/>
    </row>
    <row r="2194" spans="3:6">
      <c r="C2194" s="1"/>
      <c r="D2194" s="1"/>
      <c r="E2194" s="1"/>
      <c r="F2194" s="1"/>
    </row>
    <row r="2195" spans="3:6">
      <c r="C2195" s="1"/>
      <c r="D2195" s="1"/>
      <c r="E2195" s="1"/>
      <c r="F2195" s="1"/>
    </row>
    <row r="2196" spans="3:6">
      <c r="C2196" s="1"/>
      <c r="D2196" s="1"/>
      <c r="E2196" s="1"/>
      <c r="F2196" s="1"/>
    </row>
    <row r="2197" spans="3:6">
      <c r="C2197" s="1"/>
      <c r="D2197" s="1"/>
      <c r="E2197" s="1"/>
      <c r="F2197" s="1"/>
    </row>
    <row r="2198" spans="3:6">
      <c r="C2198" s="1"/>
      <c r="D2198" s="1"/>
      <c r="E2198" s="1"/>
      <c r="F2198" s="1"/>
    </row>
    <row r="2199" spans="3:6">
      <c r="C2199" s="1"/>
      <c r="D2199" s="1"/>
      <c r="E2199" s="1"/>
      <c r="F2199" s="1"/>
    </row>
    <row r="2200" spans="3:6">
      <c r="C2200" s="1"/>
      <c r="D2200" s="1"/>
      <c r="E2200" s="1"/>
      <c r="F2200" s="1"/>
    </row>
    <row r="2201" spans="3:6">
      <c r="C2201" s="1"/>
      <c r="D2201" s="1"/>
      <c r="E2201" s="1"/>
      <c r="F2201" s="1"/>
    </row>
    <row r="2202" spans="3:6">
      <c r="C2202" s="1"/>
      <c r="D2202" s="1"/>
      <c r="E2202" s="1"/>
      <c r="F2202" s="1"/>
    </row>
    <row r="2203" spans="3:6">
      <c r="C2203" s="1"/>
      <c r="D2203" s="1"/>
      <c r="E2203" s="1"/>
      <c r="F2203" s="1"/>
    </row>
    <row r="2204" spans="3:6">
      <c r="C2204" s="1"/>
      <c r="D2204" s="1"/>
      <c r="E2204" s="1"/>
      <c r="F2204" s="1"/>
    </row>
    <row r="2205" spans="3:6">
      <c r="C2205" s="1"/>
      <c r="D2205" s="1"/>
      <c r="E2205" s="1"/>
      <c r="F2205" s="1"/>
    </row>
    <row r="2206" spans="3:6">
      <c r="C2206" s="1"/>
      <c r="D2206" s="1"/>
      <c r="E2206" s="1"/>
      <c r="F2206" s="1"/>
    </row>
    <row r="2207" spans="3:6">
      <c r="C2207" s="1"/>
      <c r="D2207" s="1"/>
      <c r="E2207" s="1"/>
      <c r="F2207" s="1"/>
    </row>
    <row r="2208" spans="3:6">
      <c r="C2208" s="1"/>
      <c r="D2208" s="1"/>
      <c r="E2208" s="1"/>
      <c r="F2208" s="1"/>
    </row>
    <row r="2209" spans="3:6">
      <c r="C2209" s="1"/>
      <c r="D2209" s="1"/>
      <c r="E2209" s="1"/>
      <c r="F2209" s="1"/>
    </row>
    <row r="2210" spans="3:6">
      <c r="C2210" s="1"/>
      <c r="D2210" s="1"/>
      <c r="E2210" s="1"/>
      <c r="F2210" s="1"/>
    </row>
    <row r="2211" spans="3:6">
      <c r="C2211" s="1"/>
      <c r="D2211" s="1"/>
      <c r="E2211" s="1"/>
      <c r="F2211" s="1"/>
    </row>
    <row r="2212" spans="3:6">
      <c r="C2212" s="1"/>
      <c r="D2212" s="1"/>
      <c r="E2212" s="1"/>
      <c r="F2212" s="1"/>
    </row>
    <row r="2213" spans="3:6">
      <c r="C2213" s="1"/>
      <c r="D2213" s="1"/>
      <c r="E2213" s="1"/>
      <c r="F2213" s="1"/>
    </row>
    <row r="2214" spans="3:6">
      <c r="C2214" s="1"/>
      <c r="D2214" s="1"/>
      <c r="E2214" s="1"/>
      <c r="F2214" s="1"/>
    </row>
    <row r="2215" spans="3:6">
      <c r="C2215" s="1"/>
      <c r="D2215" s="1"/>
      <c r="E2215" s="1"/>
      <c r="F2215" s="1"/>
    </row>
    <row r="2216" spans="3:6">
      <c r="C2216" s="1"/>
      <c r="D2216" s="1"/>
      <c r="E2216" s="1"/>
      <c r="F2216" s="1"/>
    </row>
    <row r="2217" spans="3:6">
      <c r="C2217" s="1"/>
      <c r="D2217" s="1"/>
      <c r="E2217" s="1"/>
      <c r="F2217" s="1"/>
    </row>
    <row r="2218" spans="3:6">
      <c r="C2218" s="1"/>
      <c r="D2218" s="1"/>
      <c r="E2218" s="1"/>
      <c r="F2218" s="1"/>
    </row>
    <row r="2219" spans="3:6">
      <c r="C2219" s="1"/>
      <c r="D2219" s="1"/>
      <c r="E2219" s="1"/>
      <c r="F2219" s="1"/>
    </row>
    <row r="2220" spans="3:6">
      <c r="C2220" s="1"/>
      <c r="D2220" s="1"/>
      <c r="E2220" s="1"/>
      <c r="F2220" s="1"/>
    </row>
    <row r="2221" spans="3:6">
      <c r="C2221" s="1"/>
      <c r="D2221" s="1"/>
      <c r="E2221" s="1"/>
      <c r="F2221" s="1"/>
    </row>
    <row r="2222" spans="3:6">
      <c r="C2222" s="1"/>
      <c r="D2222" s="1"/>
      <c r="E2222" s="1"/>
      <c r="F2222" s="1"/>
    </row>
    <row r="2223" spans="3:6">
      <c r="C2223" s="1"/>
      <c r="D2223" s="1"/>
      <c r="E2223" s="1"/>
      <c r="F2223" s="1"/>
    </row>
    <row r="2224" spans="3:6">
      <c r="C2224" s="1"/>
      <c r="D2224" s="1"/>
      <c r="E2224" s="1"/>
      <c r="F2224" s="1"/>
    </row>
    <row r="2225" spans="3:6">
      <c r="C2225" s="1"/>
      <c r="D2225" s="1"/>
      <c r="E2225" s="1"/>
      <c r="F2225" s="1"/>
    </row>
    <row r="2226" spans="3:6">
      <c r="C2226" s="1"/>
      <c r="D2226" s="1"/>
      <c r="E2226" s="1"/>
      <c r="F2226" s="1"/>
    </row>
    <row r="2227" spans="3:6">
      <c r="C2227" s="1"/>
      <c r="D2227" s="1"/>
      <c r="E2227" s="1"/>
      <c r="F2227" s="1"/>
    </row>
    <row r="2228" spans="3:6">
      <c r="C2228" s="1"/>
      <c r="D2228" s="1"/>
      <c r="E2228" s="1"/>
      <c r="F2228" s="1"/>
    </row>
    <row r="2229" spans="3:6">
      <c r="C2229" s="1"/>
      <c r="D2229" s="1"/>
      <c r="E2229" s="1"/>
      <c r="F2229" s="1"/>
    </row>
    <row r="2230" spans="3:6">
      <c r="C2230" s="1"/>
      <c r="D2230" s="1"/>
      <c r="E2230" s="1"/>
      <c r="F2230" s="1"/>
    </row>
    <row r="2231" spans="3:6">
      <c r="C2231" s="1"/>
      <c r="D2231" s="1"/>
      <c r="E2231" s="1"/>
      <c r="F2231" s="1"/>
    </row>
    <row r="2232" spans="3:6">
      <c r="C2232" s="1"/>
      <c r="D2232" s="1"/>
      <c r="E2232" s="1"/>
      <c r="F2232" s="1"/>
    </row>
    <row r="2233" spans="3:6">
      <c r="C2233" s="1"/>
      <c r="D2233" s="1"/>
      <c r="E2233" s="1"/>
      <c r="F2233" s="1"/>
    </row>
    <row r="2234" spans="3:6">
      <c r="C2234" s="1"/>
      <c r="D2234" s="1"/>
      <c r="E2234" s="1"/>
      <c r="F2234" s="1"/>
    </row>
    <row r="2235" spans="3:6">
      <c r="C2235" s="1"/>
      <c r="D2235" s="1"/>
      <c r="E2235" s="1"/>
      <c r="F2235" s="1"/>
    </row>
    <row r="2236" spans="3:6">
      <c r="C2236" s="1"/>
      <c r="D2236" s="1"/>
      <c r="E2236" s="1"/>
      <c r="F2236" s="1"/>
    </row>
    <row r="2237" spans="3:6">
      <c r="C2237" s="1"/>
      <c r="D2237" s="1"/>
      <c r="E2237" s="1"/>
      <c r="F2237" s="1"/>
    </row>
    <row r="2238" spans="3:6">
      <c r="C2238" s="1"/>
      <c r="D2238" s="1"/>
      <c r="E2238" s="1"/>
      <c r="F2238" s="1"/>
    </row>
    <row r="2239" spans="3:6">
      <c r="C2239" s="1"/>
      <c r="D2239" s="1"/>
      <c r="E2239" s="1"/>
      <c r="F2239" s="1"/>
    </row>
    <row r="2240" spans="3:6">
      <c r="C2240" s="1"/>
      <c r="D2240" s="1"/>
      <c r="E2240" s="1"/>
      <c r="F2240" s="1"/>
    </row>
    <row r="2241" spans="3:6">
      <c r="C2241" s="1"/>
      <c r="D2241" s="1"/>
      <c r="E2241" s="1"/>
      <c r="F2241" s="1"/>
    </row>
    <row r="2242" spans="3:6">
      <c r="C2242" s="1"/>
      <c r="D2242" s="1"/>
      <c r="E2242" s="1"/>
      <c r="F2242" s="1"/>
    </row>
    <row r="2243" spans="3:6">
      <c r="C2243" s="1"/>
      <c r="D2243" s="1"/>
      <c r="E2243" s="1"/>
      <c r="F2243" s="1"/>
    </row>
    <row r="2244" spans="3:6">
      <c r="C2244" s="1"/>
      <c r="D2244" s="1"/>
      <c r="E2244" s="1"/>
      <c r="F2244" s="1"/>
    </row>
    <row r="2245" spans="3:6">
      <c r="C2245" s="1"/>
      <c r="D2245" s="1"/>
      <c r="E2245" s="1"/>
      <c r="F2245" s="1"/>
    </row>
    <row r="2246" spans="3:6">
      <c r="C2246" s="1"/>
      <c r="D2246" s="1"/>
      <c r="E2246" s="1"/>
      <c r="F2246" s="1"/>
    </row>
    <row r="2247" spans="3:6">
      <c r="C2247" s="1"/>
      <c r="D2247" s="1"/>
      <c r="E2247" s="1"/>
      <c r="F2247" s="1"/>
    </row>
    <row r="2248" spans="3:6">
      <c r="C2248" s="1"/>
      <c r="D2248" s="1"/>
      <c r="E2248" s="1"/>
      <c r="F2248" s="1"/>
    </row>
    <row r="2249" spans="3:6">
      <c r="C2249" s="1"/>
      <c r="D2249" s="1"/>
      <c r="E2249" s="1"/>
      <c r="F2249" s="1"/>
    </row>
    <row r="2250" spans="3:6">
      <c r="C2250" s="1"/>
      <c r="D2250" s="1"/>
      <c r="E2250" s="1"/>
      <c r="F2250" s="1"/>
    </row>
    <row r="2251" spans="3:6">
      <c r="C2251" s="1"/>
      <c r="D2251" s="1"/>
      <c r="E2251" s="1"/>
      <c r="F2251" s="1"/>
    </row>
    <row r="2252" spans="3:6">
      <c r="C2252" s="1"/>
      <c r="D2252" s="1"/>
      <c r="E2252" s="1"/>
      <c r="F2252" s="1"/>
    </row>
    <row r="2253" spans="3:6">
      <c r="C2253" s="1"/>
      <c r="D2253" s="1"/>
      <c r="E2253" s="1"/>
      <c r="F2253" s="1"/>
    </row>
    <row r="2254" spans="3:6">
      <c r="C2254" s="1"/>
      <c r="D2254" s="1"/>
      <c r="E2254" s="1"/>
      <c r="F2254" s="1"/>
    </row>
    <row r="2255" spans="3:6">
      <c r="C2255" s="1"/>
      <c r="D2255" s="1"/>
      <c r="E2255" s="1"/>
      <c r="F2255" s="1"/>
    </row>
    <row r="2256" spans="3:6">
      <c r="C2256" s="1"/>
      <c r="D2256" s="1"/>
      <c r="E2256" s="1"/>
      <c r="F2256" s="1"/>
    </row>
    <row r="2257" spans="3:6">
      <c r="C2257" s="1"/>
      <c r="D2257" s="1"/>
      <c r="E2257" s="1"/>
      <c r="F2257" s="1"/>
    </row>
    <row r="2258" spans="3:6">
      <c r="C2258" s="1"/>
      <c r="D2258" s="1"/>
      <c r="E2258" s="1"/>
      <c r="F2258" s="1"/>
    </row>
    <row r="2259" spans="3:6">
      <c r="C2259" s="1"/>
      <c r="D2259" s="1"/>
      <c r="E2259" s="1"/>
      <c r="F2259" s="1"/>
    </row>
    <row r="2260" spans="3:6">
      <c r="C2260" s="1"/>
      <c r="D2260" s="1"/>
      <c r="E2260" s="1"/>
      <c r="F2260" s="1"/>
    </row>
    <row r="2261" spans="3:6">
      <c r="C2261" s="1"/>
      <c r="D2261" s="1"/>
      <c r="E2261" s="1"/>
      <c r="F2261" s="1"/>
    </row>
    <row r="2262" spans="3:6">
      <c r="C2262" s="1"/>
      <c r="D2262" s="1"/>
      <c r="E2262" s="1"/>
      <c r="F2262" s="1"/>
    </row>
    <row r="2263" spans="3:6">
      <c r="C2263" s="1"/>
      <c r="D2263" s="1"/>
      <c r="E2263" s="1"/>
      <c r="F2263" s="1"/>
    </row>
    <row r="2264" spans="3:6">
      <c r="C2264" s="1"/>
      <c r="D2264" s="1"/>
      <c r="E2264" s="1"/>
      <c r="F2264" s="1"/>
    </row>
    <row r="2265" spans="3:6">
      <c r="C2265" s="1"/>
      <c r="D2265" s="1"/>
      <c r="E2265" s="1"/>
      <c r="F2265" s="1"/>
    </row>
    <row r="2266" spans="3:6">
      <c r="C2266" s="1"/>
      <c r="D2266" s="1"/>
      <c r="E2266" s="1"/>
      <c r="F2266" s="1"/>
    </row>
    <row r="2267" spans="3:6">
      <c r="C2267" s="1"/>
      <c r="D2267" s="1"/>
      <c r="E2267" s="1"/>
      <c r="F2267" s="1"/>
    </row>
    <row r="2268" spans="3:6">
      <c r="C2268" s="1"/>
      <c r="D2268" s="1"/>
      <c r="E2268" s="1"/>
      <c r="F2268" s="1"/>
    </row>
    <row r="2269" spans="3:6">
      <c r="C2269" s="1"/>
      <c r="D2269" s="1"/>
      <c r="E2269" s="1"/>
      <c r="F2269" s="1"/>
    </row>
    <row r="2270" spans="3:6">
      <c r="C2270" s="1"/>
      <c r="D2270" s="1"/>
      <c r="E2270" s="1"/>
      <c r="F2270" s="1"/>
    </row>
    <row r="2271" spans="3:6">
      <c r="C2271" s="1"/>
      <c r="D2271" s="1"/>
      <c r="E2271" s="1"/>
      <c r="F2271" s="1"/>
    </row>
    <row r="2272" spans="3:6">
      <c r="C2272" s="1"/>
      <c r="D2272" s="1"/>
      <c r="E2272" s="1"/>
      <c r="F2272" s="1"/>
    </row>
    <row r="2273" spans="3:6">
      <c r="C2273" s="1"/>
      <c r="D2273" s="1"/>
      <c r="E2273" s="1"/>
      <c r="F2273" s="1"/>
    </row>
    <row r="2274" spans="3:6">
      <c r="C2274" s="1"/>
      <c r="D2274" s="1"/>
      <c r="E2274" s="1"/>
      <c r="F2274" s="1"/>
    </row>
    <row r="2275" spans="3:6">
      <c r="C2275" s="1"/>
      <c r="D2275" s="1"/>
      <c r="E2275" s="1"/>
      <c r="F2275" s="1"/>
    </row>
    <row r="2276" spans="3:6">
      <c r="C2276" s="1"/>
      <c r="D2276" s="1"/>
      <c r="E2276" s="1"/>
      <c r="F2276" s="1"/>
    </row>
    <row r="2277" spans="3:6">
      <c r="C2277" s="1"/>
      <c r="D2277" s="1"/>
      <c r="E2277" s="1"/>
      <c r="F2277" s="1"/>
    </row>
    <row r="2278" spans="3:6">
      <c r="C2278" s="1"/>
      <c r="D2278" s="1"/>
      <c r="E2278" s="1"/>
      <c r="F2278" s="1"/>
    </row>
    <row r="2279" spans="3:6">
      <c r="C2279" s="1"/>
      <c r="D2279" s="1"/>
      <c r="E2279" s="1"/>
      <c r="F2279" s="1"/>
    </row>
    <row r="2280" spans="3:6">
      <c r="C2280" s="1"/>
      <c r="D2280" s="1"/>
      <c r="E2280" s="1"/>
      <c r="F2280" s="1"/>
    </row>
    <row r="2281" spans="3:6">
      <c r="C2281" s="1"/>
      <c r="D2281" s="1"/>
      <c r="E2281" s="1"/>
      <c r="F2281" s="1"/>
    </row>
    <row r="2282" spans="3:6">
      <c r="C2282" s="1"/>
      <c r="D2282" s="1"/>
      <c r="E2282" s="1"/>
      <c r="F2282" s="1"/>
    </row>
    <row r="2283" spans="3:6">
      <c r="C2283" s="1"/>
      <c r="D2283" s="1"/>
      <c r="E2283" s="1"/>
      <c r="F2283" s="1"/>
    </row>
    <row r="2284" spans="3:6">
      <c r="C2284" s="1"/>
      <c r="D2284" s="1"/>
      <c r="E2284" s="1"/>
      <c r="F2284" s="1"/>
    </row>
    <row r="2285" spans="3:6">
      <c r="C2285" s="1"/>
      <c r="D2285" s="1"/>
      <c r="E2285" s="1"/>
      <c r="F2285" s="1"/>
    </row>
    <row r="2286" spans="3:6">
      <c r="C2286" s="1"/>
      <c r="D2286" s="1"/>
      <c r="E2286" s="1"/>
      <c r="F2286" s="1"/>
    </row>
    <row r="2287" spans="3:6">
      <c r="C2287" s="1"/>
      <c r="D2287" s="1"/>
      <c r="E2287" s="1"/>
      <c r="F2287" s="1"/>
    </row>
    <row r="2288" spans="3:6">
      <c r="C2288" s="1"/>
      <c r="D2288" s="1"/>
      <c r="E2288" s="1"/>
      <c r="F2288" s="1"/>
    </row>
    <row r="2289" spans="3:6">
      <c r="C2289" s="1"/>
      <c r="D2289" s="1"/>
      <c r="E2289" s="1"/>
      <c r="F2289" s="1"/>
    </row>
    <row r="2290" spans="3:6">
      <c r="C2290" s="1"/>
      <c r="D2290" s="1"/>
      <c r="E2290" s="1"/>
      <c r="F2290" s="1"/>
    </row>
    <row r="2291" spans="3:6">
      <c r="C2291" s="1"/>
      <c r="D2291" s="1"/>
      <c r="E2291" s="1"/>
      <c r="F2291" s="1"/>
    </row>
    <row r="2292" spans="3:6">
      <c r="C2292" s="1"/>
      <c r="D2292" s="1"/>
      <c r="E2292" s="1"/>
      <c r="F2292" s="1"/>
    </row>
    <row r="2293" spans="3:6">
      <c r="C2293" s="1"/>
      <c r="D2293" s="1"/>
      <c r="E2293" s="1"/>
      <c r="F2293" s="1"/>
    </row>
    <row r="2294" spans="3:6">
      <c r="C2294" s="1"/>
      <c r="D2294" s="1"/>
      <c r="E2294" s="1"/>
      <c r="F2294" s="1"/>
    </row>
    <row r="2295" spans="3:6">
      <c r="C2295" s="1"/>
      <c r="D2295" s="1"/>
      <c r="E2295" s="1"/>
      <c r="F2295" s="1"/>
    </row>
    <row r="2296" spans="3:6">
      <c r="C2296" s="1"/>
      <c r="D2296" s="1"/>
      <c r="E2296" s="1"/>
      <c r="F2296" s="1"/>
    </row>
    <row r="2297" spans="3:6">
      <c r="C2297" s="1"/>
      <c r="D2297" s="1"/>
      <c r="E2297" s="1"/>
      <c r="F2297" s="1"/>
    </row>
    <row r="2298" spans="3:6">
      <c r="C2298" s="1"/>
      <c r="D2298" s="1"/>
      <c r="E2298" s="1"/>
      <c r="F2298" s="1"/>
    </row>
    <row r="2299" spans="3:6">
      <c r="C2299" s="1"/>
      <c r="D2299" s="1"/>
      <c r="E2299" s="1"/>
      <c r="F2299" s="1"/>
    </row>
    <row r="2300" spans="3:6">
      <c r="C2300" s="1"/>
      <c r="D2300" s="1"/>
      <c r="E2300" s="1"/>
      <c r="F2300" s="1"/>
    </row>
    <row r="2301" spans="3:6">
      <c r="C2301" s="1"/>
      <c r="D2301" s="1"/>
      <c r="E2301" s="1"/>
      <c r="F2301" s="1"/>
    </row>
    <row r="2302" spans="3:6">
      <c r="C2302" s="1"/>
      <c r="D2302" s="1"/>
      <c r="E2302" s="1"/>
      <c r="F2302" s="1"/>
    </row>
    <row r="2303" spans="3:6">
      <c r="C2303" s="1"/>
      <c r="D2303" s="1"/>
      <c r="E2303" s="1"/>
      <c r="F2303" s="1"/>
    </row>
    <row r="2304" spans="3:6">
      <c r="C2304" s="1"/>
      <c r="D2304" s="1"/>
      <c r="E2304" s="1"/>
      <c r="F2304" s="1"/>
    </row>
    <row r="2305" spans="3:6">
      <c r="C2305" s="1"/>
      <c r="D2305" s="1"/>
      <c r="E2305" s="1"/>
      <c r="F2305" s="1"/>
    </row>
    <row r="2306" spans="3:6">
      <c r="C2306" s="1"/>
      <c r="D2306" s="1"/>
      <c r="E2306" s="1"/>
      <c r="F2306" s="1"/>
    </row>
    <row r="2307" spans="3:6">
      <c r="C2307" s="1"/>
      <c r="D2307" s="1"/>
      <c r="E2307" s="1"/>
      <c r="F2307" s="1"/>
    </row>
    <row r="2308" spans="3:6">
      <c r="C2308" s="1"/>
      <c r="D2308" s="1"/>
      <c r="E2308" s="1"/>
      <c r="F2308" s="1"/>
    </row>
    <row r="2309" spans="3:6">
      <c r="C2309" s="1"/>
      <c r="D2309" s="1"/>
      <c r="E2309" s="1"/>
      <c r="F2309" s="1"/>
    </row>
    <row r="2310" spans="3:6">
      <c r="C2310" s="1"/>
      <c r="D2310" s="1"/>
      <c r="E2310" s="1"/>
      <c r="F2310" s="1"/>
    </row>
    <row r="2311" spans="3:6">
      <c r="C2311" s="1"/>
      <c r="D2311" s="1"/>
      <c r="E2311" s="1"/>
      <c r="F2311" s="1"/>
    </row>
    <row r="2312" spans="3:6">
      <c r="C2312" s="1"/>
      <c r="D2312" s="1"/>
      <c r="E2312" s="1"/>
      <c r="F2312" s="1"/>
    </row>
    <row r="2313" spans="3:6">
      <c r="C2313" s="1"/>
      <c r="D2313" s="1"/>
      <c r="E2313" s="1"/>
      <c r="F2313" s="1"/>
    </row>
    <row r="2314" spans="3:6">
      <c r="C2314" s="1"/>
      <c r="D2314" s="1"/>
      <c r="E2314" s="1"/>
      <c r="F2314" s="1"/>
    </row>
    <row r="2315" spans="3:6">
      <c r="C2315" s="1"/>
      <c r="D2315" s="1"/>
      <c r="E2315" s="1"/>
      <c r="F2315" s="1"/>
    </row>
    <row r="2316" spans="3:6">
      <c r="C2316" s="1"/>
      <c r="D2316" s="1"/>
      <c r="E2316" s="1"/>
      <c r="F2316" s="1"/>
    </row>
    <row r="2317" spans="3:6">
      <c r="C2317" s="1"/>
      <c r="D2317" s="1"/>
      <c r="E2317" s="1"/>
      <c r="F2317" s="1"/>
    </row>
    <row r="2318" spans="3:6">
      <c r="C2318" s="1"/>
      <c r="D2318" s="1"/>
      <c r="E2318" s="1"/>
      <c r="F2318" s="1"/>
    </row>
    <row r="2319" spans="3:6">
      <c r="C2319" s="1"/>
      <c r="D2319" s="1"/>
      <c r="E2319" s="1"/>
      <c r="F2319" s="1"/>
    </row>
    <row r="2320" spans="3:6">
      <c r="C2320" s="1"/>
      <c r="D2320" s="1"/>
      <c r="E2320" s="1"/>
      <c r="F2320" s="1"/>
    </row>
    <row r="2321" spans="3:6">
      <c r="C2321" s="1"/>
      <c r="D2321" s="1"/>
      <c r="E2321" s="1"/>
      <c r="F2321" s="1"/>
    </row>
    <row r="2322" spans="3:6">
      <c r="C2322" s="1"/>
      <c r="D2322" s="1"/>
      <c r="E2322" s="1"/>
      <c r="F2322" s="1"/>
    </row>
    <row r="2323" spans="3:6">
      <c r="C2323" s="1"/>
      <c r="D2323" s="1"/>
      <c r="E2323" s="1"/>
      <c r="F2323" s="1"/>
    </row>
    <row r="2324" spans="3:6">
      <c r="C2324" s="1"/>
      <c r="D2324" s="1"/>
      <c r="E2324" s="1"/>
      <c r="F2324" s="1"/>
    </row>
    <row r="2325" spans="3:6">
      <c r="C2325" s="1"/>
      <c r="D2325" s="1"/>
      <c r="E2325" s="1"/>
      <c r="F2325" s="1"/>
    </row>
    <row r="2326" spans="3:6">
      <c r="C2326" s="1"/>
      <c r="D2326" s="1"/>
      <c r="E2326" s="1"/>
      <c r="F2326" s="1"/>
    </row>
    <row r="2327" spans="3:6">
      <c r="C2327" s="1"/>
      <c r="D2327" s="1"/>
      <c r="E2327" s="1"/>
      <c r="F2327" s="1"/>
    </row>
    <row r="2328" spans="3:6">
      <c r="C2328" s="1"/>
      <c r="D2328" s="1"/>
      <c r="E2328" s="1"/>
      <c r="F2328" s="1"/>
    </row>
    <row r="2329" spans="3:6">
      <c r="C2329" s="1"/>
      <c r="D2329" s="1"/>
      <c r="E2329" s="1"/>
      <c r="F2329" s="1"/>
    </row>
    <row r="2330" spans="3:6">
      <c r="C2330" s="1"/>
      <c r="D2330" s="1"/>
      <c r="E2330" s="1"/>
      <c r="F2330" s="1"/>
    </row>
    <row r="2331" spans="3:6">
      <c r="C2331" s="1"/>
      <c r="D2331" s="1"/>
      <c r="E2331" s="1"/>
      <c r="F2331" s="1"/>
    </row>
    <row r="2332" spans="3:6">
      <c r="C2332" s="1"/>
      <c r="D2332" s="1"/>
      <c r="E2332" s="1"/>
      <c r="F2332" s="1"/>
    </row>
    <row r="2333" spans="3:6">
      <c r="C2333" s="1"/>
      <c r="D2333" s="1"/>
      <c r="E2333" s="1"/>
      <c r="F2333" s="1"/>
    </row>
    <row r="2334" spans="3:6">
      <c r="C2334" s="1"/>
      <c r="D2334" s="1"/>
      <c r="E2334" s="1"/>
      <c r="F2334" s="1"/>
    </row>
    <row r="2335" spans="3:6">
      <c r="C2335" s="1"/>
      <c r="D2335" s="1"/>
      <c r="E2335" s="1"/>
      <c r="F2335" s="1"/>
    </row>
    <row r="2336" spans="3:6">
      <c r="C2336" s="1"/>
      <c r="D2336" s="1"/>
      <c r="E2336" s="1"/>
      <c r="F2336" s="1"/>
    </row>
    <row r="2337" spans="3:6">
      <c r="C2337" s="1"/>
      <c r="D2337" s="1"/>
      <c r="E2337" s="1"/>
      <c r="F2337" s="1"/>
    </row>
    <row r="2338" spans="3:6">
      <c r="C2338" s="1"/>
      <c r="D2338" s="1"/>
      <c r="E2338" s="1"/>
      <c r="F2338" s="1"/>
    </row>
    <row r="2339" spans="3:6">
      <c r="C2339" s="1"/>
      <c r="D2339" s="1"/>
      <c r="E2339" s="1"/>
      <c r="F2339" s="1"/>
    </row>
    <row r="2340" spans="3:6">
      <c r="C2340" s="1"/>
      <c r="D2340" s="1"/>
      <c r="E2340" s="1"/>
      <c r="F2340" s="1"/>
    </row>
    <row r="2341" spans="3:6">
      <c r="C2341" s="1"/>
      <c r="D2341" s="1"/>
      <c r="E2341" s="1"/>
      <c r="F2341" s="1"/>
    </row>
    <row r="2342" spans="3:6">
      <c r="C2342" s="1"/>
      <c r="D2342" s="1"/>
      <c r="E2342" s="1"/>
      <c r="F2342" s="1"/>
    </row>
    <row r="2343" spans="3:6">
      <c r="C2343" s="1"/>
      <c r="D2343" s="1"/>
      <c r="E2343" s="1"/>
      <c r="F2343" s="1"/>
    </row>
    <row r="2344" spans="3:6">
      <c r="C2344" s="1"/>
      <c r="D2344" s="1"/>
      <c r="E2344" s="1"/>
      <c r="F2344" s="1"/>
    </row>
    <row r="2345" spans="3:6">
      <c r="C2345" s="1"/>
      <c r="D2345" s="1"/>
      <c r="E2345" s="1"/>
      <c r="F2345" s="1"/>
    </row>
    <row r="2346" spans="3:6">
      <c r="C2346" s="1"/>
      <c r="D2346" s="1"/>
      <c r="E2346" s="1"/>
      <c r="F2346" s="1"/>
    </row>
    <row r="2347" spans="3:6">
      <c r="C2347" s="1"/>
      <c r="D2347" s="1"/>
      <c r="E2347" s="1"/>
      <c r="F2347" s="1"/>
    </row>
    <row r="2348" spans="3:6">
      <c r="C2348" s="1"/>
      <c r="D2348" s="1"/>
      <c r="E2348" s="1"/>
      <c r="F2348" s="1"/>
    </row>
    <row r="2349" spans="3:6">
      <c r="C2349" s="1"/>
      <c r="D2349" s="1"/>
      <c r="E2349" s="1"/>
      <c r="F2349" s="1"/>
    </row>
    <row r="2350" spans="3:6">
      <c r="C2350" s="1"/>
      <c r="D2350" s="1"/>
      <c r="E2350" s="1"/>
      <c r="F2350" s="1"/>
    </row>
    <row r="2351" spans="3:6">
      <c r="C2351" s="1"/>
      <c r="D2351" s="1"/>
      <c r="E2351" s="1"/>
      <c r="F2351" s="1"/>
    </row>
    <row r="2352" spans="3:6">
      <c r="C2352" s="1"/>
      <c r="D2352" s="1"/>
      <c r="E2352" s="1"/>
      <c r="F2352" s="1"/>
    </row>
    <row r="2353" spans="3:6">
      <c r="C2353" s="1"/>
      <c r="D2353" s="1"/>
      <c r="E2353" s="1"/>
      <c r="F2353" s="1"/>
    </row>
    <row r="2354" spans="3:6">
      <c r="C2354" s="1"/>
      <c r="D2354" s="1"/>
      <c r="E2354" s="1"/>
      <c r="F2354" s="1"/>
    </row>
    <row r="2355" spans="3:6">
      <c r="C2355" s="1"/>
      <c r="D2355" s="1"/>
      <c r="E2355" s="1"/>
      <c r="F2355" s="1"/>
    </row>
    <row r="2356" spans="3:6">
      <c r="C2356" s="1"/>
      <c r="D2356" s="1"/>
      <c r="E2356" s="1"/>
      <c r="F2356" s="1"/>
    </row>
    <row r="2357" spans="3:6">
      <c r="C2357" s="1"/>
      <c r="D2357" s="1"/>
      <c r="E2357" s="1"/>
      <c r="F2357" s="1"/>
    </row>
    <row r="2358" spans="3:6">
      <c r="C2358" s="1"/>
      <c r="D2358" s="1"/>
      <c r="E2358" s="1"/>
      <c r="F2358" s="1"/>
    </row>
    <row r="2359" spans="3:6">
      <c r="C2359" s="1"/>
      <c r="D2359" s="1"/>
      <c r="E2359" s="1"/>
      <c r="F2359" s="1"/>
    </row>
    <row r="2360" spans="3:6">
      <c r="C2360" s="1"/>
      <c r="D2360" s="1"/>
      <c r="E2360" s="1"/>
      <c r="F2360" s="1"/>
    </row>
    <row r="2361" spans="3:6">
      <c r="C2361" s="1"/>
      <c r="D2361" s="1"/>
      <c r="E2361" s="1"/>
      <c r="F2361" s="1"/>
    </row>
    <row r="2362" spans="3:6">
      <c r="C2362" s="1"/>
      <c r="D2362" s="1"/>
      <c r="E2362" s="1"/>
      <c r="F2362" s="1"/>
    </row>
    <row r="2363" spans="3:6">
      <c r="C2363" s="1"/>
      <c r="D2363" s="1"/>
      <c r="E2363" s="1"/>
      <c r="F2363" s="1"/>
    </row>
    <row r="2364" spans="3:6">
      <c r="C2364" s="1"/>
      <c r="D2364" s="1"/>
      <c r="E2364" s="1"/>
      <c r="F2364" s="1"/>
    </row>
    <row r="2365" spans="3:6">
      <c r="C2365" s="1"/>
      <c r="D2365" s="1"/>
      <c r="E2365" s="1"/>
      <c r="F2365" s="1"/>
    </row>
    <row r="2366" spans="3:6">
      <c r="C2366" s="1"/>
      <c r="D2366" s="1"/>
      <c r="E2366" s="1"/>
      <c r="F2366" s="1"/>
    </row>
    <row r="2367" spans="3:6">
      <c r="C2367" s="1"/>
      <c r="D2367" s="1"/>
      <c r="E2367" s="1"/>
      <c r="F2367" s="1"/>
    </row>
    <row r="2368" spans="3:6">
      <c r="C2368" s="1"/>
      <c r="D2368" s="1"/>
      <c r="E2368" s="1"/>
      <c r="F2368" s="1"/>
    </row>
    <row r="2369" spans="3:6">
      <c r="C2369" s="1"/>
      <c r="D2369" s="1"/>
      <c r="E2369" s="1"/>
      <c r="F2369" s="1"/>
    </row>
    <row r="2370" spans="3:6">
      <c r="C2370" s="1"/>
      <c r="D2370" s="1"/>
      <c r="E2370" s="1"/>
      <c r="F2370" s="1"/>
    </row>
    <row r="2371" spans="3:6">
      <c r="C2371" s="1"/>
      <c r="D2371" s="1"/>
      <c r="E2371" s="1"/>
      <c r="F2371" s="1"/>
    </row>
    <row r="2372" spans="3:6">
      <c r="C2372" s="1"/>
      <c r="D2372" s="1"/>
      <c r="E2372" s="1"/>
      <c r="F2372" s="1"/>
    </row>
    <row r="2373" spans="3:6">
      <c r="C2373" s="1"/>
      <c r="D2373" s="1"/>
      <c r="E2373" s="1"/>
      <c r="F2373" s="1"/>
    </row>
    <row r="2374" spans="3:6">
      <c r="C2374" s="1"/>
      <c r="D2374" s="1"/>
      <c r="E2374" s="1"/>
      <c r="F2374" s="1"/>
    </row>
    <row r="2375" spans="3:6">
      <c r="C2375" s="1"/>
      <c r="D2375" s="1"/>
      <c r="E2375" s="1"/>
      <c r="F2375" s="1"/>
    </row>
    <row r="2376" spans="3:6">
      <c r="C2376" s="1"/>
      <c r="D2376" s="1"/>
      <c r="E2376" s="1"/>
      <c r="F2376" s="1"/>
    </row>
    <row r="2377" spans="3:6">
      <c r="C2377" s="1"/>
      <c r="D2377" s="1"/>
      <c r="E2377" s="1"/>
      <c r="F2377" s="1"/>
    </row>
    <row r="2378" spans="3:6">
      <c r="C2378" s="1"/>
      <c r="D2378" s="1"/>
      <c r="E2378" s="1"/>
      <c r="F2378" s="1"/>
    </row>
    <row r="2379" spans="3:6">
      <c r="C2379" s="1"/>
      <c r="D2379" s="1"/>
      <c r="E2379" s="1"/>
      <c r="F2379" s="1"/>
    </row>
    <row r="2380" spans="3:6">
      <c r="C2380" s="1"/>
      <c r="D2380" s="1"/>
      <c r="E2380" s="1"/>
      <c r="F2380" s="1"/>
    </row>
    <row r="2381" spans="3:6">
      <c r="C2381" s="1"/>
      <c r="D2381" s="1"/>
      <c r="E2381" s="1"/>
      <c r="F2381" s="1"/>
    </row>
    <row r="2382" spans="3:6">
      <c r="C2382" s="1"/>
      <c r="D2382" s="1"/>
      <c r="E2382" s="1"/>
      <c r="F2382" s="1"/>
    </row>
    <row r="2383" spans="3:6">
      <c r="C2383" s="1"/>
      <c r="D2383" s="1"/>
      <c r="E2383" s="1"/>
      <c r="F2383" s="1"/>
    </row>
    <row r="2384" spans="3:6">
      <c r="C2384" s="1"/>
      <c r="D2384" s="1"/>
      <c r="E2384" s="1"/>
      <c r="F2384" s="1"/>
    </row>
    <row r="2385" spans="3:6">
      <c r="C2385" s="1"/>
      <c r="D2385" s="1"/>
      <c r="E2385" s="1"/>
      <c r="F2385" s="1"/>
    </row>
    <row r="2386" spans="3:6">
      <c r="C2386" s="1"/>
      <c r="D2386" s="1"/>
      <c r="E2386" s="1"/>
      <c r="F2386" s="1"/>
    </row>
    <row r="2387" spans="3:6">
      <c r="C2387" s="1"/>
      <c r="D2387" s="1"/>
      <c r="E2387" s="1"/>
      <c r="F2387" s="1"/>
    </row>
    <row r="2388" spans="3:6">
      <c r="C2388" s="1"/>
      <c r="D2388" s="1"/>
      <c r="E2388" s="1"/>
      <c r="F2388" s="1"/>
    </row>
    <row r="2389" spans="3:6">
      <c r="C2389" s="1"/>
      <c r="D2389" s="1"/>
      <c r="E2389" s="1"/>
      <c r="F2389" s="1"/>
    </row>
    <row r="2390" spans="3:6">
      <c r="C2390" s="1"/>
      <c r="D2390" s="1"/>
      <c r="E2390" s="1"/>
      <c r="F2390" s="1"/>
    </row>
    <row r="2391" spans="3:6">
      <c r="C2391" s="1"/>
      <c r="D2391" s="1"/>
      <c r="E2391" s="1"/>
      <c r="F2391" s="1"/>
    </row>
    <row r="2392" spans="3:6">
      <c r="C2392" s="1"/>
      <c r="D2392" s="1"/>
      <c r="E2392" s="1"/>
      <c r="F2392" s="1"/>
    </row>
    <row r="2393" spans="3:6">
      <c r="C2393" s="1"/>
      <c r="D2393" s="1"/>
      <c r="E2393" s="1"/>
      <c r="F2393" s="1"/>
    </row>
    <row r="2394" spans="3:6">
      <c r="C2394" s="1"/>
      <c r="D2394" s="1"/>
      <c r="E2394" s="1"/>
      <c r="F2394" s="1"/>
    </row>
    <row r="2395" spans="3:6">
      <c r="C2395" s="1"/>
      <c r="D2395" s="1"/>
      <c r="E2395" s="1"/>
      <c r="F2395" s="1"/>
    </row>
    <row r="2396" spans="3:6">
      <c r="C2396" s="1"/>
      <c r="D2396" s="1"/>
      <c r="E2396" s="1"/>
      <c r="F2396" s="1"/>
    </row>
    <row r="2397" spans="3:6">
      <c r="C2397" s="1"/>
      <c r="D2397" s="1"/>
      <c r="E2397" s="1"/>
      <c r="F2397" s="1"/>
    </row>
    <row r="2398" spans="3:6">
      <c r="C2398" s="1"/>
      <c r="D2398" s="1"/>
      <c r="E2398" s="1"/>
      <c r="F2398" s="1"/>
    </row>
    <row r="2399" spans="3:6">
      <c r="C2399" s="1"/>
      <c r="D2399" s="1"/>
      <c r="E2399" s="1"/>
      <c r="F2399" s="1"/>
    </row>
    <row r="2400" spans="3:6">
      <c r="C2400" s="1"/>
      <c r="D2400" s="1"/>
      <c r="E2400" s="1"/>
      <c r="F2400" s="1"/>
    </row>
    <row r="2401" spans="3:6">
      <c r="C2401" s="1"/>
      <c r="D2401" s="1"/>
      <c r="E2401" s="1"/>
      <c r="F2401" s="1"/>
    </row>
    <row r="2402" spans="3:6">
      <c r="C2402" s="1"/>
      <c r="D2402" s="1"/>
      <c r="E2402" s="1"/>
      <c r="F2402" s="1"/>
    </row>
    <row r="2403" spans="3:6">
      <c r="C2403" s="1"/>
      <c r="D2403" s="1"/>
      <c r="E2403" s="1"/>
      <c r="F2403" s="1"/>
    </row>
    <row r="2404" spans="3:6">
      <c r="C2404" s="1"/>
      <c r="D2404" s="1"/>
      <c r="E2404" s="1"/>
      <c r="F2404" s="1"/>
    </row>
    <row r="2405" spans="3:6">
      <c r="C2405" s="1"/>
      <c r="D2405" s="1"/>
      <c r="E2405" s="1"/>
      <c r="F2405" s="1"/>
    </row>
    <row r="2406" spans="3:6">
      <c r="C2406" s="1"/>
      <c r="D2406" s="1"/>
      <c r="E2406" s="1"/>
      <c r="F2406" s="1"/>
    </row>
    <row r="2407" spans="3:6">
      <c r="C2407" s="1"/>
      <c r="D2407" s="1"/>
      <c r="E2407" s="1"/>
      <c r="F2407" s="1"/>
    </row>
    <row r="2408" spans="3:6">
      <c r="C2408" s="1"/>
      <c r="D2408" s="1"/>
      <c r="E2408" s="1"/>
      <c r="F2408" s="1"/>
    </row>
    <row r="2409" spans="3:6">
      <c r="C2409" s="1"/>
      <c r="D2409" s="1"/>
      <c r="E2409" s="1"/>
      <c r="F2409" s="1"/>
    </row>
    <row r="2410" spans="3:6">
      <c r="C2410" s="1"/>
      <c r="D2410" s="1"/>
      <c r="E2410" s="1"/>
      <c r="F2410" s="1"/>
    </row>
    <row r="2411" spans="3:6">
      <c r="C2411" s="1"/>
      <c r="D2411" s="1"/>
      <c r="E2411" s="1"/>
      <c r="F2411" s="1"/>
    </row>
    <row r="2412" spans="3:6">
      <c r="C2412" s="1"/>
      <c r="D2412" s="1"/>
      <c r="E2412" s="1"/>
      <c r="F2412" s="1"/>
    </row>
    <row r="2413" spans="3:6">
      <c r="C2413" s="1"/>
      <c r="D2413" s="1"/>
      <c r="E2413" s="1"/>
      <c r="F2413" s="1"/>
    </row>
    <row r="2414" spans="3:6">
      <c r="C2414" s="1"/>
      <c r="D2414" s="1"/>
      <c r="E2414" s="1"/>
      <c r="F2414" s="1"/>
    </row>
    <row r="2415" spans="3:6">
      <c r="C2415" s="1"/>
      <c r="D2415" s="1"/>
      <c r="E2415" s="1"/>
      <c r="F2415" s="1"/>
    </row>
    <row r="2416" spans="3:6">
      <c r="C2416" s="1"/>
      <c r="D2416" s="1"/>
      <c r="E2416" s="1"/>
      <c r="F2416" s="1"/>
    </row>
    <row r="2417" spans="3:6">
      <c r="C2417" s="1"/>
      <c r="D2417" s="1"/>
      <c r="E2417" s="1"/>
      <c r="F2417" s="1"/>
    </row>
    <row r="2418" spans="3:6">
      <c r="C2418" s="1"/>
      <c r="D2418" s="1"/>
      <c r="E2418" s="1"/>
      <c r="F2418" s="1"/>
    </row>
    <row r="2419" spans="3:6">
      <c r="C2419" s="1"/>
      <c r="D2419" s="1"/>
      <c r="E2419" s="1"/>
      <c r="F2419" s="1"/>
    </row>
    <row r="2420" spans="3:6">
      <c r="C2420" s="1"/>
      <c r="D2420" s="1"/>
      <c r="E2420" s="1"/>
      <c r="F2420" s="1"/>
    </row>
    <row r="2421" spans="3:6">
      <c r="C2421" s="1"/>
      <c r="D2421" s="1"/>
      <c r="E2421" s="1"/>
      <c r="F2421" s="1"/>
    </row>
    <row r="2422" spans="3:6">
      <c r="C2422" s="1"/>
      <c r="D2422" s="1"/>
      <c r="E2422" s="1"/>
      <c r="F2422" s="1"/>
    </row>
    <row r="2423" spans="3:6">
      <c r="C2423" s="1"/>
      <c r="D2423" s="1"/>
      <c r="E2423" s="1"/>
      <c r="F2423" s="1"/>
    </row>
    <row r="2424" spans="3:6">
      <c r="C2424" s="1"/>
      <c r="D2424" s="1"/>
      <c r="E2424" s="1"/>
      <c r="F2424" s="1"/>
    </row>
    <row r="2425" spans="3:6">
      <c r="C2425" s="1"/>
      <c r="D2425" s="1"/>
      <c r="E2425" s="1"/>
      <c r="F2425" s="1"/>
    </row>
    <row r="2426" spans="3:6">
      <c r="C2426" s="1"/>
      <c r="D2426" s="1"/>
      <c r="E2426" s="1"/>
      <c r="F2426" s="1"/>
    </row>
    <row r="2427" spans="3:6">
      <c r="C2427" s="1"/>
      <c r="D2427" s="1"/>
      <c r="E2427" s="1"/>
      <c r="F2427" s="1"/>
    </row>
    <row r="2428" spans="3:6">
      <c r="C2428" s="1"/>
      <c r="D2428" s="1"/>
      <c r="E2428" s="1"/>
      <c r="F2428" s="1"/>
    </row>
    <row r="2429" spans="3:6">
      <c r="C2429" s="1"/>
      <c r="D2429" s="1"/>
      <c r="E2429" s="1"/>
      <c r="F2429" s="1"/>
    </row>
    <row r="2430" spans="3:6">
      <c r="C2430" s="1"/>
      <c r="D2430" s="1"/>
      <c r="E2430" s="1"/>
      <c r="F2430" s="1"/>
    </row>
    <row r="2431" spans="3:6">
      <c r="C2431" s="1"/>
      <c r="D2431" s="1"/>
      <c r="E2431" s="1"/>
      <c r="F2431" s="1"/>
    </row>
    <row r="2432" spans="3:6">
      <c r="C2432" s="1"/>
      <c r="D2432" s="1"/>
      <c r="E2432" s="1"/>
      <c r="F2432" s="1"/>
    </row>
    <row r="2433" spans="3:6">
      <c r="C2433" s="1"/>
      <c r="D2433" s="1"/>
      <c r="E2433" s="1"/>
      <c r="F2433" s="1"/>
    </row>
    <row r="2434" spans="3:6">
      <c r="C2434" s="1"/>
      <c r="D2434" s="1"/>
      <c r="E2434" s="1"/>
      <c r="F2434" s="1"/>
    </row>
    <row r="2435" spans="3:6">
      <c r="C2435" s="1"/>
      <c r="D2435" s="1"/>
      <c r="E2435" s="1"/>
      <c r="F2435" s="1"/>
    </row>
    <row r="2436" spans="3:6">
      <c r="C2436" s="1"/>
      <c r="D2436" s="1"/>
      <c r="E2436" s="1"/>
      <c r="F2436" s="1"/>
    </row>
    <row r="2437" spans="3:6">
      <c r="C2437" s="1"/>
      <c r="D2437" s="1"/>
      <c r="E2437" s="1"/>
      <c r="F2437" s="1"/>
    </row>
    <row r="2438" spans="3:6">
      <c r="C2438" s="1"/>
      <c r="D2438" s="1"/>
      <c r="E2438" s="1"/>
      <c r="F2438" s="1"/>
    </row>
    <row r="2439" spans="3:6">
      <c r="C2439" s="1"/>
      <c r="D2439" s="1"/>
      <c r="E2439" s="1"/>
      <c r="F2439" s="1"/>
    </row>
    <row r="2440" spans="3:6">
      <c r="C2440" s="1"/>
      <c r="D2440" s="1"/>
      <c r="E2440" s="1"/>
      <c r="F2440" s="1"/>
    </row>
    <row r="2441" spans="3:6">
      <c r="C2441" s="1"/>
      <c r="D2441" s="1"/>
      <c r="E2441" s="1"/>
      <c r="F2441" s="1"/>
    </row>
    <row r="2442" spans="3:6">
      <c r="C2442" s="1"/>
      <c r="D2442" s="1"/>
      <c r="E2442" s="1"/>
      <c r="F2442" s="1"/>
    </row>
    <row r="2443" spans="3:6">
      <c r="C2443" s="1"/>
      <c r="D2443" s="1"/>
      <c r="E2443" s="1"/>
      <c r="F2443" s="1"/>
    </row>
    <row r="2444" spans="3:6">
      <c r="C2444" s="1"/>
      <c r="D2444" s="1"/>
      <c r="E2444" s="1"/>
      <c r="F2444" s="1"/>
    </row>
    <row r="2445" spans="3:6">
      <c r="C2445" s="1"/>
      <c r="D2445" s="1"/>
      <c r="E2445" s="1"/>
      <c r="F2445" s="1"/>
    </row>
    <row r="2446" spans="3:6">
      <c r="C2446" s="1"/>
      <c r="D2446" s="1"/>
      <c r="E2446" s="1"/>
      <c r="F2446" s="1"/>
    </row>
    <row r="2447" spans="3:6">
      <c r="C2447" s="1"/>
      <c r="D2447" s="1"/>
      <c r="E2447" s="1"/>
      <c r="F2447" s="1"/>
    </row>
    <row r="2448" spans="3:6">
      <c r="C2448" s="1"/>
      <c r="D2448" s="1"/>
      <c r="E2448" s="1"/>
      <c r="F2448" s="1"/>
    </row>
    <row r="2449" spans="3:6">
      <c r="C2449" s="1"/>
      <c r="D2449" s="1"/>
      <c r="E2449" s="1"/>
      <c r="F2449" s="1"/>
    </row>
    <row r="2450" spans="3:6">
      <c r="C2450" s="1"/>
      <c r="D2450" s="1"/>
      <c r="E2450" s="1"/>
      <c r="F2450" s="1"/>
    </row>
    <row r="2451" spans="3:6">
      <c r="C2451" s="1"/>
      <c r="D2451" s="1"/>
      <c r="E2451" s="1"/>
      <c r="F2451" s="1"/>
    </row>
    <row r="2452" spans="3:6">
      <c r="C2452" s="1"/>
      <c r="D2452" s="1"/>
      <c r="E2452" s="1"/>
      <c r="F2452" s="1"/>
    </row>
    <row r="2453" spans="3:6">
      <c r="C2453" s="1"/>
      <c r="D2453" s="1"/>
      <c r="E2453" s="1"/>
      <c r="F2453" s="1"/>
    </row>
    <row r="2454" spans="3:6">
      <c r="C2454" s="1"/>
      <c r="D2454" s="1"/>
      <c r="E2454" s="1"/>
      <c r="F2454" s="1"/>
    </row>
    <row r="2455" spans="3:6">
      <c r="C2455" s="1"/>
      <c r="D2455" s="1"/>
      <c r="E2455" s="1"/>
      <c r="F2455" s="1"/>
    </row>
    <row r="2456" spans="3:6">
      <c r="C2456" s="1"/>
      <c r="D2456" s="1"/>
      <c r="E2456" s="1"/>
      <c r="F2456" s="1"/>
    </row>
    <row r="2457" spans="3:6">
      <c r="C2457" s="1"/>
      <c r="D2457" s="1"/>
      <c r="E2457" s="1"/>
      <c r="F2457" s="1"/>
    </row>
    <row r="2458" spans="3:6">
      <c r="C2458" s="1"/>
      <c r="D2458" s="1"/>
      <c r="E2458" s="1"/>
      <c r="F2458" s="1"/>
    </row>
    <row r="2459" spans="3:6">
      <c r="C2459" s="1"/>
      <c r="D2459" s="1"/>
      <c r="E2459" s="1"/>
      <c r="F2459" s="1"/>
    </row>
    <row r="2460" spans="3:6">
      <c r="C2460" s="1"/>
      <c r="D2460" s="1"/>
      <c r="E2460" s="1"/>
      <c r="F2460" s="1"/>
    </row>
    <row r="2461" spans="3:6">
      <c r="C2461" s="1"/>
      <c r="D2461" s="1"/>
      <c r="E2461" s="1"/>
      <c r="F2461" s="1"/>
    </row>
    <row r="2462" spans="3:6">
      <c r="C2462" s="1"/>
      <c r="D2462" s="1"/>
      <c r="E2462" s="1"/>
      <c r="F2462" s="1"/>
    </row>
    <row r="2463" spans="3:6">
      <c r="C2463" s="1"/>
      <c r="D2463" s="1"/>
      <c r="E2463" s="1"/>
      <c r="F2463" s="1"/>
    </row>
    <row r="2464" spans="3:6">
      <c r="C2464" s="1"/>
      <c r="D2464" s="1"/>
      <c r="E2464" s="1"/>
      <c r="F2464" s="1"/>
    </row>
    <row r="2465" spans="3:6">
      <c r="C2465" s="1"/>
      <c r="D2465" s="1"/>
      <c r="E2465" s="1"/>
      <c r="F2465" s="1"/>
    </row>
    <row r="2466" spans="3:6">
      <c r="C2466" s="1"/>
      <c r="D2466" s="1"/>
      <c r="E2466" s="1"/>
      <c r="F2466" s="1"/>
    </row>
    <row r="2467" spans="3:6">
      <c r="C2467" s="1"/>
      <c r="D2467" s="1"/>
      <c r="E2467" s="1"/>
      <c r="F2467" s="1"/>
    </row>
    <row r="2468" spans="3:6">
      <c r="C2468" s="1"/>
      <c r="D2468" s="1"/>
      <c r="E2468" s="1"/>
      <c r="F2468" s="1"/>
    </row>
    <row r="2469" spans="3:6">
      <c r="C2469" s="1"/>
      <c r="D2469" s="1"/>
      <c r="E2469" s="1"/>
      <c r="F2469" s="1"/>
    </row>
    <row r="2470" spans="3:6">
      <c r="C2470" s="1"/>
      <c r="D2470" s="1"/>
      <c r="E2470" s="1"/>
      <c r="F2470" s="1"/>
    </row>
    <row r="2471" spans="3:6">
      <c r="C2471" s="1"/>
      <c r="D2471" s="1"/>
      <c r="E2471" s="1"/>
      <c r="F2471" s="1"/>
    </row>
    <row r="2472" spans="3:6">
      <c r="C2472" s="1"/>
      <c r="D2472" s="1"/>
      <c r="E2472" s="1"/>
      <c r="F2472" s="1"/>
    </row>
    <row r="2473" spans="3:6">
      <c r="C2473" s="1"/>
      <c r="D2473" s="1"/>
      <c r="E2473" s="1"/>
      <c r="F2473" s="1"/>
    </row>
    <row r="2474" spans="3:6">
      <c r="C2474" s="1"/>
      <c r="D2474" s="1"/>
      <c r="E2474" s="1"/>
      <c r="F2474" s="1"/>
    </row>
    <row r="2475" spans="3:6">
      <c r="C2475" s="1"/>
      <c r="D2475" s="1"/>
      <c r="E2475" s="1"/>
      <c r="F2475" s="1"/>
    </row>
    <row r="2476" spans="3:6">
      <c r="C2476" s="1"/>
      <c r="D2476" s="1"/>
      <c r="E2476" s="1"/>
      <c r="F2476" s="1"/>
    </row>
    <row r="2477" spans="3:6">
      <c r="C2477" s="1"/>
      <c r="D2477" s="1"/>
      <c r="E2477" s="1"/>
      <c r="F2477" s="1"/>
    </row>
    <row r="2478" spans="3:6">
      <c r="C2478" s="1"/>
      <c r="D2478" s="1"/>
      <c r="E2478" s="1"/>
      <c r="F2478" s="1"/>
    </row>
    <row r="2479" spans="3:6">
      <c r="C2479" s="1"/>
      <c r="D2479" s="1"/>
      <c r="E2479" s="1"/>
      <c r="F2479" s="1"/>
    </row>
    <row r="2480" spans="3:6">
      <c r="C2480" s="1"/>
      <c r="D2480" s="1"/>
      <c r="E2480" s="1"/>
      <c r="F2480" s="1"/>
    </row>
    <row r="2481" spans="3:6">
      <c r="C2481" s="1"/>
      <c r="D2481" s="1"/>
      <c r="E2481" s="1"/>
      <c r="F2481" s="1"/>
    </row>
    <row r="2482" spans="3:6">
      <c r="C2482" s="1"/>
      <c r="D2482" s="1"/>
      <c r="E2482" s="1"/>
      <c r="F2482" s="1"/>
    </row>
    <row r="2483" spans="3:6">
      <c r="C2483" s="1"/>
      <c r="D2483" s="1"/>
      <c r="E2483" s="1"/>
      <c r="F2483" s="1"/>
    </row>
    <row r="2484" spans="3:6">
      <c r="C2484" s="1"/>
      <c r="D2484" s="1"/>
      <c r="E2484" s="1"/>
      <c r="F2484" s="1"/>
    </row>
    <row r="2485" spans="3:6">
      <c r="C2485" s="1"/>
      <c r="D2485" s="1"/>
      <c r="E2485" s="1"/>
      <c r="F2485" s="1"/>
    </row>
    <row r="2486" spans="3:6">
      <c r="C2486" s="1"/>
      <c r="D2486" s="1"/>
      <c r="E2486" s="1"/>
      <c r="F2486" s="1"/>
    </row>
    <row r="2487" spans="3:6">
      <c r="C2487" s="1"/>
      <c r="D2487" s="1"/>
      <c r="E2487" s="1"/>
      <c r="F2487" s="1"/>
    </row>
    <row r="2488" spans="3:6">
      <c r="C2488" s="1"/>
      <c r="D2488" s="1"/>
      <c r="E2488" s="1"/>
      <c r="F2488" s="1"/>
    </row>
    <row r="2489" spans="3:6">
      <c r="C2489" s="1"/>
      <c r="D2489" s="1"/>
      <c r="E2489" s="1"/>
      <c r="F2489" s="1"/>
    </row>
    <row r="2490" spans="3:6">
      <c r="C2490" s="1"/>
      <c r="D2490" s="1"/>
      <c r="E2490" s="1"/>
      <c r="F2490" s="1"/>
    </row>
    <row r="2491" spans="3:6">
      <c r="C2491" s="1"/>
      <c r="D2491" s="1"/>
      <c r="E2491" s="1"/>
      <c r="F2491" s="1"/>
    </row>
    <row r="2492" spans="3:6">
      <c r="C2492" s="1"/>
      <c r="D2492" s="1"/>
      <c r="E2492" s="1"/>
      <c r="F2492" s="1"/>
    </row>
    <row r="2493" spans="3:6">
      <c r="C2493" s="1"/>
      <c r="D2493" s="1"/>
      <c r="E2493" s="1"/>
      <c r="F2493" s="1"/>
    </row>
    <row r="2494" spans="3:6">
      <c r="C2494" s="1"/>
      <c r="D2494" s="1"/>
      <c r="E2494" s="1"/>
      <c r="F2494" s="1"/>
    </row>
    <row r="2495" spans="3:6">
      <c r="C2495" s="1"/>
      <c r="D2495" s="1"/>
      <c r="E2495" s="1"/>
      <c r="F2495" s="1"/>
    </row>
    <row r="2496" spans="3:6">
      <c r="C2496" s="1"/>
      <c r="D2496" s="1"/>
      <c r="E2496" s="1"/>
      <c r="F2496" s="1"/>
    </row>
    <row r="2497" spans="3:6">
      <c r="C2497" s="1"/>
      <c r="D2497" s="1"/>
      <c r="E2497" s="1"/>
      <c r="F2497" s="1"/>
    </row>
    <row r="2498" spans="3:6">
      <c r="C2498" s="1"/>
      <c r="D2498" s="1"/>
      <c r="E2498" s="1"/>
      <c r="F2498" s="1"/>
    </row>
    <row r="2499" spans="3:6">
      <c r="C2499" s="1"/>
      <c r="D2499" s="1"/>
      <c r="E2499" s="1"/>
      <c r="F2499" s="1"/>
    </row>
    <row r="2500" spans="3:6">
      <c r="C2500" s="1"/>
      <c r="D2500" s="1"/>
      <c r="E2500" s="1"/>
      <c r="F2500" s="1"/>
    </row>
    <row r="2501" spans="3:6">
      <c r="C2501" s="1"/>
      <c r="D2501" s="1"/>
      <c r="E2501" s="1"/>
      <c r="F2501" s="1"/>
    </row>
    <row r="2502" spans="3:6">
      <c r="C2502" s="1"/>
      <c r="D2502" s="1"/>
      <c r="E2502" s="1"/>
      <c r="F2502" s="1"/>
    </row>
    <row r="2503" spans="3:6">
      <c r="C2503" s="1"/>
      <c r="D2503" s="1"/>
      <c r="E2503" s="1"/>
      <c r="F2503" s="1"/>
    </row>
    <row r="2504" spans="3:6">
      <c r="C2504" s="1"/>
      <c r="D2504" s="1"/>
      <c r="E2504" s="1"/>
      <c r="F2504" s="1"/>
    </row>
    <row r="2505" spans="3:6">
      <c r="C2505" s="1"/>
      <c r="D2505" s="1"/>
      <c r="E2505" s="1"/>
      <c r="F2505" s="1"/>
    </row>
    <row r="2506" spans="3:6">
      <c r="C2506" s="1"/>
      <c r="D2506" s="1"/>
      <c r="E2506" s="1"/>
      <c r="F2506" s="1"/>
    </row>
    <row r="2507" spans="3:6">
      <c r="C2507" s="1"/>
      <c r="D2507" s="1"/>
      <c r="E2507" s="1"/>
      <c r="F2507" s="1"/>
    </row>
    <row r="2508" spans="3:6">
      <c r="C2508" s="1"/>
      <c r="D2508" s="1"/>
      <c r="E2508" s="1"/>
      <c r="F2508" s="1"/>
    </row>
    <row r="2509" spans="3:6">
      <c r="C2509" s="1"/>
      <c r="D2509" s="1"/>
      <c r="E2509" s="1"/>
      <c r="F2509" s="1"/>
    </row>
    <row r="2510" spans="3:6">
      <c r="C2510" s="1"/>
      <c r="D2510" s="1"/>
      <c r="E2510" s="1"/>
      <c r="F2510" s="1"/>
    </row>
    <row r="2511" spans="3:6">
      <c r="C2511" s="1"/>
      <c r="D2511" s="1"/>
      <c r="E2511" s="1"/>
      <c r="F2511" s="1"/>
    </row>
    <row r="2512" spans="3:6">
      <c r="C2512" s="1"/>
      <c r="D2512" s="1"/>
      <c r="E2512" s="1"/>
      <c r="F2512" s="1"/>
    </row>
    <row r="2513" spans="3:6">
      <c r="C2513" s="1"/>
      <c r="D2513" s="1"/>
      <c r="E2513" s="1"/>
      <c r="F2513" s="1"/>
    </row>
    <row r="2514" spans="3:6">
      <c r="C2514" s="1"/>
      <c r="D2514" s="1"/>
      <c r="E2514" s="1"/>
      <c r="F2514" s="1"/>
    </row>
    <row r="2515" spans="3:6">
      <c r="C2515" s="1"/>
      <c r="D2515" s="1"/>
      <c r="E2515" s="1"/>
      <c r="F2515" s="1"/>
    </row>
    <row r="2516" spans="3:6">
      <c r="C2516" s="1"/>
      <c r="D2516" s="1"/>
      <c r="E2516" s="1"/>
      <c r="F2516" s="1"/>
    </row>
    <row r="2517" spans="3:6">
      <c r="C2517" s="1"/>
      <c r="D2517" s="1"/>
      <c r="E2517" s="1"/>
      <c r="F2517" s="1"/>
    </row>
    <row r="2518" spans="3:6">
      <c r="C2518" s="1"/>
      <c r="D2518" s="1"/>
      <c r="E2518" s="1"/>
      <c r="F2518" s="1"/>
    </row>
    <row r="2519" spans="3:6">
      <c r="C2519" s="1"/>
      <c r="D2519" s="1"/>
      <c r="E2519" s="1"/>
      <c r="F2519" s="1"/>
    </row>
    <row r="2520" spans="3:6">
      <c r="C2520" s="1"/>
      <c r="D2520" s="1"/>
      <c r="E2520" s="1"/>
      <c r="F2520" s="1"/>
    </row>
    <row r="2521" spans="3:6">
      <c r="C2521" s="1"/>
      <c r="D2521" s="1"/>
      <c r="E2521" s="1"/>
      <c r="F2521" s="1"/>
    </row>
    <row r="2522" spans="3:6">
      <c r="C2522" s="1"/>
      <c r="D2522" s="1"/>
      <c r="E2522" s="1"/>
      <c r="F2522" s="1"/>
    </row>
    <row r="2523" spans="3:6">
      <c r="C2523" s="1"/>
      <c r="D2523" s="1"/>
      <c r="E2523" s="1"/>
      <c r="F2523" s="1"/>
    </row>
    <row r="2524" spans="3:6">
      <c r="C2524" s="1"/>
      <c r="D2524" s="1"/>
      <c r="E2524" s="1"/>
      <c r="F2524" s="1"/>
    </row>
    <row r="2525" spans="3:6">
      <c r="C2525" s="1"/>
      <c r="D2525" s="1"/>
      <c r="E2525" s="1"/>
      <c r="F2525" s="1"/>
    </row>
    <row r="2526" spans="3:6">
      <c r="C2526" s="1"/>
      <c r="D2526" s="1"/>
      <c r="E2526" s="1"/>
      <c r="F2526" s="1"/>
    </row>
    <row r="2527" spans="3:6">
      <c r="C2527" s="1"/>
      <c r="D2527" s="1"/>
      <c r="E2527" s="1"/>
      <c r="F2527" s="1"/>
    </row>
    <row r="2528" spans="3:6">
      <c r="C2528" s="1"/>
      <c r="D2528" s="1"/>
      <c r="E2528" s="1"/>
      <c r="F2528" s="1"/>
    </row>
    <row r="2529" spans="3:6">
      <c r="C2529" s="1"/>
      <c r="D2529" s="1"/>
      <c r="E2529" s="1"/>
      <c r="F2529" s="1"/>
    </row>
    <row r="2530" spans="3:6">
      <c r="C2530" s="1"/>
      <c r="D2530" s="1"/>
      <c r="E2530" s="1"/>
      <c r="F2530" s="1"/>
    </row>
    <row r="2531" spans="3:6">
      <c r="C2531" s="1"/>
      <c r="D2531" s="1"/>
      <c r="E2531" s="1"/>
      <c r="F2531" s="1"/>
    </row>
    <row r="2532" spans="3:6">
      <c r="C2532" s="1"/>
      <c r="D2532" s="1"/>
      <c r="E2532" s="1"/>
      <c r="F2532" s="1"/>
    </row>
    <row r="2533" spans="3:6">
      <c r="C2533" s="1"/>
      <c r="D2533" s="1"/>
      <c r="E2533" s="1"/>
      <c r="F2533" s="1"/>
    </row>
    <row r="2534" spans="3:6">
      <c r="C2534" s="1"/>
      <c r="D2534" s="1"/>
      <c r="E2534" s="1"/>
      <c r="F2534" s="1"/>
    </row>
    <row r="2535" spans="3:6">
      <c r="C2535" s="1"/>
      <c r="D2535" s="1"/>
      <c r="E2535" s="1"/>
      <c r="F2535" s="1"/>
    </row>
    <row r="2536" spans="3:6">
      <c r="C2536" s="1"/>
      <c r="D2536" s="1"/>
      <c r="E2536" s="1"/>
      <c r="F2536" s="1"/>
    </row>
    <row r="2537" spans="3:6">
      <c r="C2537" s="1"/>
      <c r="D2537" s="1"/>
      <c r="E2537" s="1"/>
      <c r="F2537" s="1"/>
    </row>
    <row r="2538" spans="3:6">
      <c r="C2538" s="1"/>
      <c r="D2538" s="1"/>
      <c r="E2538" s="1"/>
      <c r="F2538" s="1"/>
    </row>
    <row r="2539" spans="3:6">
      <c r="C2539" s="1"/>
      <c r="D2539" s="1"/>
      <c r="E2539" s="1"/>
      <c r="F2539" s="1"/>
    </row>
    <row r="2540" spans="3:6">
      <c r="C2540" s="1"/>
      <c r="D2540" s="1"/>
      <c r="E2540" s="1"/>
      <c r="F2540" s="1"/>
    </row>
    <row r="2541" spans="3:6">
      <c r="C2541" s="1"/>
      <c r="D2541" s="1"/>
      <c r="E2541" s="1"/>
      <c r="F2541" s="1"/>
    </row>
    <row r="2542" spans="3:6">
      <c r="C2542" s="1"/>
      <c r="D2542" s="1"/>
      <c r="E2542" s="1"/>
      <c r="F2542" s="1"/>
    </row>
    <row r="2543" spans="3:6">
      <c r="C2543" s="1"/>
      <c r="D2543" s="1"/>
      <c r="E2543" s="1"/>
      <c r="F2543" s="1"/>
    </row>
    <row r="2544" spans="3:6">
      <c r="C2544" s="1"/>
      <c r="D2544" s="1"/>
      <c r="E2544" s="1"/>
      <c r="F2544" s="1"/>
    </row>
    <row r="2545" spans="3:6">
      <c r="C2545" s="1"/>
      <c r="D2545" s="1"/>
      <c r="E2545" s="1"/>
      <c r="F2545" s="1"/>
    </row>
    <row r="2546" spans="3:6">
      <c r="C2546" s="1"/>
      <c r="D2546" s="1"/>
      <c r="E2546" s="1"/>
      <c r="F2546" s="1"/>
    </row>
    <row r="2547" spans="3:6">
      <c r="C2547" s="1"/>
      <c r="D2547" s="1"/>
      <c r="E2547" s="1"/>
      <c r="F2547" s="1"/>
    </row>
    <row r="2548" spans="3:6">
      <c r="C2548" s="1"/>
      <c r="D2548" s="1"/>
      <c r="E2548" s="1"/>
      <c r="F2548" s="1"/>
    </row>
    <row r="2549" spans="3:6">
      <c r="C2549" s="1"/>
      <c r="D2549" s="1"/>
      <c r="E2549" s="1"/>
      <c r="F2549" s="1"/>
    </row>
    <row r="2550" spans="3:6">
      <c r="C2550" s="1"/>
      <c r="D2550" s="1"/>
      <c r="E2550" s="1"/>
      <c r="F2550" s="1"/>
    </row>
    <row r="2551" spans="3:6">
      <c r="C2551" s="1"/>
      <c r="D2551" s="1"/>
      <c r="E2551" s="1"/>
      <c r="F2551" s="1"/>
    </row>
    <row r="2552" spans="3:6">
      <c r="C2552" s="1"/>
      <c r="D2552" s="1"/>
      <c r="E2552" s="1"/>
      <c r="F2552" s="1"/>
    </row>
    <row r="2553" spans="3:6">
      <c r="C2553" s="1"/>
      <c r="D2553" s="1"/>
      <c r="E2553" s="1"/>
      <c r="F2553" s="1"/>
    </row>
    <row r="2554" spans="3:6">
      <c r="C2554" s="1"/>
      <c r="D2554" s="1"/>
      <c r="E2554" s="1"/>
      <c r="F2554" s="1"/>
    </row>
    <row r="2555" spans="3:6">
      <c r="C2555" s="1"/>
      <c r="D2555" s="1"/>
      <c r="E2555" s="1"/>
      <c r="F2555" s="1"/>
    </row>
    <row r="2556" spans="3:6">
      <c r="C2556" s="1"/>
      <c r="D2556" s="1"/>
      <c r="E2556" s="1"/>
      <c r="F2556" s="1"/>
    </row>
    <row r="2557" spans="3:6">
      <c r="C2557" s="1"/>
      <c r="D2557" s="1"/>
      <c r="E2557" s="1"/>
      <c r="F2557" s="1"/>
    </row>
    <row r="2558" spans="3:6">
      <c r="C2558" s="1"/>
      <c r="D2558" s="1"/>
      <c r="E2558" s="1"/>
      <c r="F2558" s="1"/>
    </row>
    <row r="2559" spans="3:6">
      <c r="C2559" s="1"/>
      <c r="D2559" s="1"/>
      <c r="E2559" s="1"/>
      <c r="F2559" s="1"/>
    </row>
    <row r="2560" spans="3:6">
      <c r="C2560" s="1"/>
      <c r="D2560" s="1"/>
      <c r="E2560" s="1"/>
      <c r="F2560" s="1"/>
    </row>
    <row r="2561" spans="3:6">
      <c r="C2561" s="1"/>
      <c r="D2561" s="1"/>
      <c r="E2561" s="1"/>
      <c r="F2561" s="1"/>
    </row>
    <row r="2562" spans="3:6">
      <c r="C2562" s="1"/>
      <c r="D2562" s="1"/>
      <c r="E2562" s="1"/>
      <c r="F2562" s="1"/>
    </row>
    <row r="2563" spans="3:6">
      <c r="C2563" s="1"/>
      <c r="D2563" s="1"/>
      <c r="E2563" s="1"/>
      <c r="F2563" s="1"/>
    </row>
    <row r="2564" spans="3:6">
      <c r="C2564" s="1"/>
      <c r="D2564" s="1"/>
      <c r="E2564" s="1"/>
      <c r="F2564" s="1"/>
    </row>
    <row r="2565" spans="3:6">
      <c r="C2565" s="1"/>
      <c r="D2565" s="1"/>
      <c r="E2565" s="1"/>
      <c r="F2565" s="1"/>
    </row>
    <row r="2566" spans="3:6">
      <c r="C2566" s="1"/>
      <c r="D2566" s="1"/>
      <c r="E2566" s="1"/>
      <c r="F2566" s="1"/>
    </row>
    <row r="2567" spans="3:6">
      <c r="C2567" s="1"/>
      <c r="D2567" s="1"/>
      <c r="E2567" s="1"/>
      <c r="F2567" s="1"/>
    </row>
    <row r="2568" spans="3:6">
      <c r="C2568" s="1"/>
      <c r="D2568" s="1"/>
      <c r="E2568" s="1"/>
      <c r="F2568" s="1"/>
    </row>
    <row r="2569" spans="3:6">
      <c r="C2569" s="1"/>
      <c r="D2569" s="1"/>
      <c r="E2569" s="1"/>
      <c r="F2569" s="1"/>
    </row>
    <row r="2570" spans="3:6">
      <c r="C2570" s="1"/>
      <c r="D2570" s="1"/>
      <c r="E2570" s="1"/>
      <c r="F2570" s="1"/>
    </row>
    <row r="2571" spans="3:6">
      <c r="C2571" s="1"/>
      <c r="D2571" s="1"/>
      <c r="E2571" s="1"/>
      <c r="F2571" s="1"/>
    </row>
    <row r="2572" spans="3:6">
      <c r="C2572" s="1"/>
      <c r="D2572" s="1"/>
      <c r="E2572" s="1"/>
      <c r="F2572" s="1"/>
    </row>
    <row r="2573" spans="3:6">
      <c r="C2573" s="1"/>
      <c r="D2573" s="1"/>
      <c r="E2573" s="1"/>
      <c r="F2573" s="1"/>
    </row>
    <row r="2574" spans="3:6">
      <c r="C2574" s="1"/>
      <c r="D2574" s="1"/>
      <c r="E2574" s="1"/>
      <c r="F2574" s="1"/>
    </row>
    <row r="2575" spans="3:6">
      <c r="C2575" s="1"/>
      <c r="D2575" s="1"/>
      <c r="E2575" s="1"/>
      <c r="F2575" s="1"/>
    </row>
    <row r="2576" spans="3:6">
      <c r="C2576" s="1"/>
      <c r="D2576" s="1"/>
      <c r="E2576" s="1"/>
      <c r="F2576" s="1"/>
    </row>
    <row r="2577" spans="3:6">
      <c r="C2577" s="1"/>
      <c r="D2577" s="1"/>
      <c r="E2577" s="1"/>
      <c r="F2577" s="1"/>
    </row>
    <row r="2578" spans="3:6">
      <c r="C2578" s="1"/>
      <c r="D2578" s="1"/>
      <c r="E2578" s="1"/>
      <c r="F2578" s="1"/>
    </row>
    <row r="2579" spans="3:6">
      <c r="C2579" s="1"/>
      <c r="D2579" s="1"/>
      <c r="E2579" s="1"/>
      <c r="F2579" s="1"/>
    </row>
    <row r="2580" spans="3:6">
      <c r="C2580" s="1"/>
      <c r="D2580" s="1"/>
      <c r="E2580" s="1"/>
      <c r="F2580" s="1"/>
    </row>
    <row r="2581" spans="3:6">
      <c r="C2581" s="1"/>
      <c r="D2581" s="1"/>
      <c r="E2581" s="1"/>
      <c r="F2581" s="1"/>
    </row>
    <row r="2582" spans="3:6">
      <c r="C2582" s="1"/>
      <c r="D2582" s="1"/>
      <c r="E2582" s="1"/>
      <c r="F2582" s="1"/>
    </row>
    <row r="2583" spans="3:6">
      <c r="C2583" s="1"/>
      <c r="D2583" s="1"/>
      <c r="E2583" s="1"/>
      <c r="F2583" s="1"/>
    </row>
    <row r="2584" spans="3:6">
      <c r="C2584" s="1"/>
      <c r="D2584" s="1"/>
      <c r="E2584" s="1"/>
      <c r="F2584" s="1"/>
    </row>
    <row r="2585" spans="3:6">
      <c r="C2585" s="1"/>
      <c r="D2585" s="1"/>
      <c r="E2585" s="1"/>
      <c r="F2585" s="1"/>
    </row>
    <row r="2586" spans="3:6">
      <c r="C2586" s="1"/>
      <c r="D2586" s="1"/>
      <c r="E2586" s="1"/>
      <c r="F2586" s="1"/>
    </row>
    <row r="2587" spans="3:6">
      <c r="C2587" s="1"/>
      <c r="D2587" s="1"/>
      <c r="E2587" s="1"/>
      <c r="F2587" s="1"/>
    </row>
    <row r="2588" spans="3:6">
      <c r="C2588" s="1"/>
      <c r="D2588" s="1"/>
      <c r="E2588" s="1"/>
      <c r="F2588" s="1"/>
    </row>
    <row r="2589" spans="3:6">
      <c r="C2589" s="1"/>
      <c r="D2589" s="1"/>
      <c r="E2589" s="1"/>
      <c r="F2589" s="1"/>
    </row>
    <row r="2590" spans="3:6">
      <c r="C2590" s="1"/>
      <c r="D2590" s="1"/>
      <c r="E2590" s="1"/>
      <c r="F2590" s="1"/>
    </row>
    <row r="2591" spans="3:6">
      <c r="C2591" s="1"/>
      <c r="D2591" s="1"/>
      <c r="E2591" s="1"/>
      <c r="F2591" s="1"/>
    </row>
    <row r="2592" spans="3:6">
      <c r="C2592" s="1"/>
      <c r="D2592" s="1"/>
      <c r="E2592" s="1"/>
      <c r="F2592" s="1"/>
    </row>
    <row r="2593" spans="3:6">
      <c r="C2593" s="1"/>
      <c r="D2593" s="1"/>
      <c r="E2593" s="1"/>
      <c r="F2593" s="1"/>
    </row>
    <row r="2594" spans="3:6">
      <c r="C2594" s="1"/>
      <c r="D2594" s="1"/>
      <c r="E2594" s="1"/>
      <c r="F2594" s="1"/>
    </row>
    <row r="2595" spans="3:6">
      <c r="C2595" s="1"/>
      <c r="D2595" s="1"/>
      <c r="E2595" s="1"/>
      <c r="F2595" s="1"/>
    </row>
    <row r="2596" spans="3:6">
      <c r="C2596" s="1"/>
      <c r="D2596" s="1"/>
      <c r="E2596" s="1"/>
      <c r="F2596" s="1"/>
    </row>
    <row r="2597" spans="3:6">
      <c r="C2597" s="1"/>
      <c r="D2597" s="1"/>
      <c r="E2597" s="1"/>
      <c r="F2597" s="1"/>
    </row>
    <row r="2598" spans="3:6">
      <c r="C2598" s="1"/>
      <c r="D2598" s="1"/>
      <c r="E2598" s="1"/>
      <c r="F2598" s="1"/>
    </row>
    <row r="2599" spans="3:6">
      <c r="C2599" s="1"/>
      <c r="D2599" s="1"/>
      <c r="E2599" s="1"/>
      <c r="F2599" s="1"/>
    </row>
    <row r="2600" spans="3:6">
      <c r="C2600" s="1"/>
      <c r="D2600" s="1"/>
      <c r="E2600" s="1"/>
      <c r="F2600" s="1"/>
    </row>
    <row r="2601" spans="3:6">
      <c r="C2601" s="1"/>
      <c r="D2601" s="1"/>
      <c r="E2601" s="1"/>
      <c r="F2601" s="1"/>
    </row>
    <row r="2602" spans="3:6">
      <c r="C2602" s="1"/>
      <c r="D2602" s="1"/>
      <c r="E2602" s="1"/>
      <c r="F2602" s="1"/>
    </row>
    <row r="2603" spans="3:6">
      <c r="C2603" s="1"/>
      <c r="D2603" s="1"/>
      <c r="E2603" s="1"/>
      <c r="F2603" s="1"/>
    </row>
    <row r="2604" spans="3:6">
      <c r="C2604" s="1"/>
      <c r="D2604" s="1"/>
      <c r="E2604" s="1"/>
      <c r="F2604" s="1"/>
    </row>
    <row r="2605" spans="3:6">
      <c r="C2605" s="1"/>
      <c r="D2605" s="1"/>
      <c r="E2605" s="1"/>
      <c r="F2605" s="1"/>
    </row>
    <row r="2606" spans="3:6">
      <c r="C2606" s="1"/>
      <c r="D2606" s="1"/>
      <c r="E2606" s="1"/>
      <c r="F2606" s="1"/>
    </row>
    <row r="2607" spans="3:6">
      <c r="C2607" s="1"/>
      <c r="D2607" s="1"/>
      <c r="E2607" s="1"/>
      <c r="F2607" s="1"/>
    </row>
    <row r="2608" spans="3:6">
      <c r="C2608" s="1"/>
      <c r="D2608" s="1"/>
      <c r="E2608" s="1"/>
      <c r="F2608" s="1"/>
    </row>
    <row r="2609" spans="3:6">
      <c r="C2609" s="1"/>
      <c r="D2609" s="1"/>
      <c r="E2609" s="1"/>
      <c r="F2609" s="1"/>
    </row>
    <row r="2610" spans="3:6">
      <c r="C2610" s="1"/>
      <c r="D2610" s="1"/>
      <c r="E2610" s="1"/>
      <c r="F2610" s="1"/>
    </row>
    <row r="2611" spans="3:6">
      <c r="C2611" s="1"/>
      <c r="D2611" s="1"/>
      <c r="E2611" s="1"/>
      <c r="F2611" s="1"/>
    </row>
    <row r="2612" spans="3:6">
      <c r="C2612" s="1"/>
      <c r="D2612" s="1"/>
      <c r="E2612" s="1"/>
      <c r="F2612" s="1"/>
    </row>
    <row r="2613" spans="3:6">
      <c r="C2613" s="1"/>
      <c r="D2613" s="1"/>
      <c r="E2613" s="1"/>
      <c r="F2613" s="1"/>
    </row>
    <row r="2614" spans="3:6">
      <c r="C2614" s="1"/>
      <c r="D2614" s="1"/>
      <c r="E2614" s="1"/>
      <c r="F2614" s="1"/>
    </row>
    <row r="2615" spans="3:6">
      <c r="C2615" s="1"/>
      <c r="D2615" s="1"/>
      <c r="E2615" s="1"/>
      <c r="F2615" s="1"/>
    </row>
    <row r="2616" spans="3:6">
      <c r="C2616" s="1"/>
      <c r="D2616" s="1"/>
      <c r="E2616" s="1"/>
      <c r="F2616" s="1"/>
    </row>
    <row r="2617" spans="3:6">
      <c r="C2617" s="1"/>
      <c r="D2617" s="1"/>
      <c r="E2617" s="1"/>
      <c r="F2617" s="1"/>
    </row>
    <row r="2618" spans="3:6">
      <c r="C2618" s="1"/>
      <c r="D2618" s="1"/>
      <c r="E2618" s="1"/>
      <c r="F2618" s="1"/>
    </row>
    <row r="2619" spans="3:6">
      <c r="C2619" s="1"/>
      <c r="D2619" s="1"/>
      <c r="E2619" s="1"/>
      <c r="F2619" s="1"/>
    </row>
    <row r="2620" spans="3:6">
      <c r="C2620" s="1"/>
      <c r="D2620" s="1"/>
      <c r="E2620" s="1"/>
      <c r="F2620" s="1"/>
    </row>
    <row r="2621" spans="3:6">
      <c r="C2621" s="1"/>
      <c r="D2621" s="1"/>
      <c r="E2621" s="1"/>
      <c r="F2621" s="1"/>
    </row>
    <row r="2622" spans="3:6">
      <c r="C2622" s="1"/>
      <c r="D2622" s="1"/>
      <c r="E2622" s="1"/>
      <c r="F2622" s="1"/>
    </row>
    <row r="2623" spans="3:6">
      <c r="C2623" s="1"/>
      <c r="D2623" s="1"/>
      <c r="E2623" s="1"/>
      <c r="F2623" s="1"/>
    </row>
    <row r="2624" spans="3:6">
      <c r="C2624" s="1"/>
      <c r="D2624" s="1"/>
      <c r="E2624" s="1"/>
      <c r="F2624" s="1"/>
    </row>
    <row r="2625" spans="3:6">
      <c r="C2625" s="1"/>
      <c r="D2625" s="1"/>
      <c r="E2625" s="1"/>
      <c r="F2625" s="1"/>
    </row>
    <row r="2626" spans="3:6">
      <c r="C2626" s="1"/>
      <c r="D2626" s="1"/>
      <c r="E2626" s="1"/>
      <c r="F2626" s="1"/>
    </row>
    <row r="2627" spans="3:6">
      <c r="C2627" s="1"/>
      <c r="D2627" s="1"/>
      <c r="E2627" s="1"/>
      <c r="F2627" s="1"/>
    </row>
    <row r="2628" spans="3:6">
      <c r="C2628" s="1"/>
      <c r="D2628" s="1"/>
      <c r="E2628" s="1"/>
      <c r="F2628" s="1"/>
    </row>
    <row r="2629" spans="3:6">
      <c r="C2629" s="1"/>
      <c r="D2629" s="1"/>
      <c r="E2629" s="1"/>
      <c r="F2629" s="1"/>
    </row>
    <row r="2630" spans="3:6">
      <c r="C2630" s="1"/>
      <c r="D2630" s="1"/>
      <c r="E2630" s="1"/>
      <c r="F2630" s="1"/>
    </row>
    <row r="2631" spans="3:6">
      <c r="C2631" s="1"/>
      <c r="D2631" s="1"/>
      <c r="E2631" s="1"/>
      <c r="F2631" s="1"/>
    </row>
    <row r="2632" spans="3:6">
      <c r="C2632" s="1"/>
      <c r="D2632" s="1"/>
      <c r="E2632" s="1"/>
      <c r="F2632" s="1"/>
    </row>
    <row r="2633" spans="3:6">
      <c r="C2633" s="1"/>
      <c r="D2633" s="1"/>
      <c r="E2633" s="1"/>
      <c r="F2633" s="1"/>
    </row>
    <row r="2634" spans="3:6">
      <c r="C2634" s="1"/>
      <c r="D2634" s="1"/>
      <c r="E2634" s="1"/>
      <c r="F2634" s="1"/>
    </row>
    <row r="2635" spans="3:6">
      <c r="C2635" s="1"/>
      <c r="D2635" s="1"/>
      <c r="E2635" s="1"/>
      <c r="F2635" s="1"/>
    </row>
    <row r="2636" spans="3:6">
      <c r="C2636" s="1"/>
      <c r="D2636" s="1"/>
      <c r="E2636" s="1"/>
      <c r="F2636" s="1"/>
    </row>
    <row r="2637" spans="3:6">
      <c r="C2637" s="1"/>
      <c r="D2637" s="1"/>
      <c r="E2637" s="1"/>
      <c r="F2637" s="1"/>
    </row>
    <row r="2638" spans="3:6">
      <c r="C2638" s="1"/>
      <c r="D2638" s="1"/>
      <c r="E2638" s="1"/>
      <c r="F2638" s="1"/>
    </row>
    <row r="2639" spans="3:6">
      <c r="C2639" s="1"/>
      <c r="D2639" s="1"/>
      <c r="E2639" s="1"/>
      <c r="F2639" s="1"/>
    </row>
    <row r="2640" spans="3:6">
      <c r="C2640" s="1"/>
      <c r="D2640" s="1"/>
      <c r="E2640" s="1"/>
      <c r="F2640" s="1"/>
    </row>
    <row r="2641" spans="3:6">
      <c r="C2641" s="1"/>
      <c r="D2641" s="1"/>
      <c r="E2641" s="1"/>
      <c r="F2641" s="1"/>
    </row>
    <row r="2642" spans="3:6">
      <c r="C2642" s="1"/>
      <c r="D2642" s="1"/>
      <c r="E2642" s="1"/>
      <c r="F2642" s="1"/>
    </row>
    <row r="2643" spans="3:6">
      <c r="C2643" s="1"/>
      <c r="D2643" s="1"/>
      <c r="E2643" s="1"/>
      <c r="F2643" s="1"/>
    </row>
    <row r="2644" spans="3:6">
      <c r="C2644" s="1"/>
      <c r="D2644" s="1"/>
      <c r="E2644" s="1"/>
      <c r="F2644" s="1"/>
    </row>
    <row r="2645" spans="3:6">
      <c r="C2645" s="1"/>
      <c r="D2645" s="1"/>
      <c r="E2645" s="1"/>
      <c r="F2645" s="1"/>
    </row>
    <row r="2646" spans="3:6">
      <c r="C2646" s="1"/>
      <c r="D2646" s="1"/>
      <c r="E2646" s="1"/>
      <c r="F2646" s="1"/>
    </row>
    <row r="2647" spans="3:6">
      <c r="C2647" s="1"/>
      <c r="D2647" s="1"/>
      <c r="E2647" s="1"/>
      <c r="F2647" s="1"/>
    </row>
    <row r="2648" spans="3:6">
      <c r="C2648" s="1"/>
      <c r="D2648" s="1"/>
      <c r="E2648" s="1"/>
      <c r="F2648" s="1"/>
    </row>
    <row r="2649" spans="3:6">
      <c r="C2649" s="1"/>
      <c r="D2649" s="1"/>
      <c r="E2649" s="1"/>
      <c r="F2649" s="1"/>
    </row>
    <row r="2650" spans="3:6">
      <c r="C2650" s="1"/>
      <c r="D2650" s="1"/>
      <c r="E2650" s="1"/>
      <c r="F2650" s="1"/>
    </row>
    <row r="2651" spans="3:6">
      <c r="C2651" s="1"/>
      <c r="D2651" s="1"/>
      <c r="E2651" s="1"/>
      <c r="F2651" s="1"/>
    </row>
    <row r="2652" spans="3:6">
      <c r="C2652" s="1"/>
      <c r="D2652" s="1"/>
      <c r="E2652" s="1"/>
      <c r="F2652" s="1"/>
    </row>
    <row r="2653" spans="3:6">
      <c r="C2653" s="1"/>
      <c r="D2653" s="1"/>
      <c r="E2653" s="1"/>
      <c r="F2653" s="1"/>
    </row>
    <row r="2654" spans="3:6">
      <c r="C2654" s="1"/>
      <c r="D2654" s="1"/>
      <c r="E2654" s="1"/>
      <c r="F2654" s="1"/>
    </row>
    <row r="2655" spans="3:6">
      <c r="C2655" s="1"/>
      <c r="D2655" s="1"/>
      <c r="E2655" s="1"/>
      <c r="F2655" s="1"/>
    </row>
    <row r="2656" spans="3:6">
      <c r="C2656" s="1"/>
      <c r="D2656" s="1"/>
      <c r="E2656" s="1"/>
      <c r="F2656" s="1"/>
    </row>
    <row r="2657" spans="3:6">
      <c r="C2657" s="1"/>
      <c r="D2657" s="1"/>
      <c r="E2657" s="1"/>
      <c r="F2657" s="1"/>
    </row>
    <row r="2658" spans="3:6">
      <c r="C2658" s="1"/>
      <c r="D2658" s="1"/>
      <c r="E2658" s="1"/>
      <c r="F2658" s="1"/>
    </row>
    <row r="2659" spans="3:6">
      <c r="C2659" s="1"/>
      <c r="D2659" s="1"/>
      <c r="E2659" s="1"/>
      <c r="F2659" s="1"/>
    </row>
    <row r="2660" spans="3:6">
      <c r="C2660" s="1"/>
      <c r="D2660" s="1"/>
      <c r="E2660" s="1"/>
      <c r="F2660" s="1"/>
    </row>
    <row r="2661" spans="3:6">
      <c r="C2661" s="1"/>
      <c r="D2661" s="1"/>
      <c r="E2661" s="1"/>
      <c r="F2661" s="1"/>
    </row>
    <row r="2662" spans="3:6">
      <c r="C2662" s="1"/>
      <c r="D2662" s="1"/>
      <c r="E2662" s="1"/>
      <c r="F2662" s="1"/>
    </row>
    <row r="2663" spans="3:6">
      <c r="C2663" s="1"/>
      <c r="D2663" s="1"/>
      <c r="E2663" s="1"/>
      <c r="F2663" s="1"/>
    </row>
    <row r="2664" spans="3:6">
      <c r="C2664" s="1"/>
      <c r="D2664" s="1"/>
      <c r="E2664" s="1"/>
      <c r="F2664" s="1"/>
    </row>
    <row r="2665" spans="3:6">
      <c r="C2665" s="1"/>
      <c r="D2665" s="1"/>
      <c r="E2665" s="1"/>
      <c r="F2665" s="1"/>
    </row>
    <row r="2666" spans="3:6">
      <c r="C2666" s="1"/>
      <c r="D2666" s="1"/>
      <c r="E2666" s="1"/>
      <c r="F2666" s="1"/>
    </row>
    <row r="2667" spans="3:6">
      <c r="C2667" s="1"/>
      <c r="D2667" s="1"/>
      <c r="E2667" s="1"/>
      <c r="F2667" s="1"/>
    </row>
    <row r="2668" spans="3:6">
      <c r="C2668" s="1"/>
      <c r="D2668" s="1"/>
      <c r="E2668" s="1"/>
      <c r="F2668" s="1"/>
    </row>
    <row r="2669" spans="3:6">
      <c r="C2669" s="1"/>
      <c r="D2669" s="1"/>
      <c r="E2669" s="1"/>
      <c r="F2669" s="1"/>
    </row>
    <row r="2670" spans="3:6">
      <c r="C2670" s="1"/>
      <c r="D2670" s="1"/>
      <c r="E2670" s="1"/>
      <c r="F2670" s="1"/>
    </row>
    <row r="2671" spans="3:6">
      <c r="C2671" s="1"/>
      <c r="D2671" s="1"/>
      <c r="E2671" s="1"/>
      <c r="F2671" s="1"/>
    </row>
    <row r="2672" spans="3:6">
      <c r="C2672" s="1"/>
      <c r="D2672" s="1"/>
      <c r="E2672" s="1"/>
      <c r="F2672" s="1"/>
    </row>
    <row r="2673" spans="3:6">
      <c r="C2673" s="1"/>
      <c r="D2673" s="1"/>
      <c r="E2673" s="1"/>
      <c r="F2673" s="1"/>
    </row>
    <row r="2674" spans="3:6">
      <c r="C2674" s="1"/>
      <c r="D2674" s="1"/>
      <c r="E2674" s="1"/>
      <c r="F2674" s="1"/>
    </row>
    <row r="2675" spans="3:6">
      <c r="C2675" s="1"/>
      <c r="D2675" s="1"/>
      <c r="E2675" s="1"/>
      <c r="F2675" s="1"/>
    </row>
    <row r="2676" spans="3:6">
      <c r="C2676" s="1"/>
      <c r="D2676" s="1"/>
      <c r="E2676" s="1"/>
      <c r="F2676" s="1"/>
    </row>
    <row r="2677" spans="3:6">
      <c r="C2677" s="1"/>
      <c r="D2677" s="1"/>
      <c r="E2677" s="1"/>
      <c r="F2677" s="1"/>
    </row>
    <row r="2678" spans="3:6">
      <c r="C2678" s="1"/>
      <c r="D2678" s="1"/>
      <c r="E2678" s="1"/>
      <c r="F2678" s="1"/>
    </row>
    <row r="2679" spans="3:6">
      <c r="C2679" s="1"/>
      <c r="D2679" s="1"/>
      <c r="E2679" s="1"/>
      <c r="F2679" s="1"/>
    </row>
    <row r="2680" spans="3:6">
      <c r="C2680" s="1"/>
      <c r="D2680" s="1"/>
      <c r="E2680" s="1"/>
      <c r="F2680" s="1"/>
    </row>
    <row r="2681" spans="3:6">
      <c r="C2681" s="1"/>
      <c r="D2681" s="1"/>
      <c r="E2681" s="1"/>
      <c r="F2681" s="1"/>
    </row>
    <row r="2682" spans="3:6">
      <c r="C2682" s="1"/>
      <c r="D2682" s="1"/>
      <c r="E2682" s="1"/>
      <c r="F2682" s="1"/>
    </row>
    <row r="2683" spans="3:6">
      <c r="C2683" s="1"/>
      <c r="D2683" s="1"/>
      <c r="E2683" s="1"/>
      <c r="F2683" s="1"/>
    </row>
    <row r="2684" spans="3:6">
      <c r="C2684" s="1"/>
      <c r="D2684" s="1"/>
      <c r="E2684" s="1"/>
      <c r="F2684" s="1"/>
    </row>
    <row r="2685" spans="3:6">
      <c r="C2685" s="1"/>
      <c r="D2685" s="1"/>
      <c r="E2685" s="1"/>
      <c r="F2685" s="1"/>
    </row>
    <row r="2686" spans="3:6">
      <c r="C2686" s="1"/>
      <c r="D2686" s="1"/>
      <c r="E2686" s="1"/>
      <c r="F2686" s="1"/>
    </row>
    <row r="2687" spans="3:6">
      <c r="C2687" s="1"/>
      <c r="D2687" s="1"/>
      <c r="E2687" s="1"/>
      <c r="F2687" s="1"/>
    </row>
    <row r="2688" spans="3:6">
      <c r="C2688" s="1"/>
      <c r="D2688" s="1"/>
      <c r="E2688" s="1"/>
      <c r="F2688" s="1"/>
    </row>
    <row r="2689" spans="3:6">
      <c r="C2689" s="1"/>
      <c r="D2689" s="1"/>
      <c r="E2689" s="1"/>
      <c r="F2689" s="1"/>
    </row>
    <row r="2690" spans="3:6">
      <c r="C2690" s="1"/>
      <c r="D2690" s="1"/>
      <c r="E2690" s="1"/>
      <c r="F2690" s="1"/>
    </row>
    <row r="2691" spans="3:6">
      <c r="C2691" s="1"/>
      <c r="D2691" s="1"/>
      <c r="E2691" s="1"/>
      <c r="F2691" s="1"/>
    </row>
    <row r="2692" spans="3:6">
      <c r="C2692" s="1"/>
      <c r="D2692" s="1"/>
      <c r="E2692" s="1"/>
      <c r="F2692" s="1"/>
    </row>
    <row r="2693" spans="3:6">
      <c r="C2693" s="1"/>
      <c r="D2693" s="1"/>
      <c r="E2693" s="1"/>
      <c r="F2693" s="1"/>
    </row>
    <row r="2694" spans="3:6">
      <c r="C2694" s="1"/>
      <c r="D2694" s="1"/>
      <c r="E2694" s="1"/>
      <c r="F2694" s="1"/>
    </row>
    <row r="2695" spans="3:6">
      <c r="C2695" s="1"/>
      <c r="D2695" s="1"/>
      <c r="E2695" s="1"/>
      <c r="F2695" s="1"/>
    </row>
    <row r="2696" spans="3:6">
      <c r="C2696" s="1"/>
      <c r="D2696" s="1"/>
      <c r="E2696" s="1"/>
      <c r="F2696" s="1"/>
    </row>
    <row r="2697" spans="3:6">
      <c r="C2697" s="1"/>
      <c r="D2697" s="1"/>
      <c r="E2697" s="1"/>
      <c r="F2697" s="1"/>
    </row>
    <row r="2698" spans="3:6">
      <c r="C2698" s="1"/>
      <c r="D2698" s="1"/>
      <c r="E2698" s="1"/>
      <c r="F2698" s="1"/>
    </row>
    <row r="2699" spans="3:6">
      <c r="C2699" s="1"/>
      <c r="D2699" s="1"/>
      <c r="E2699" s="1"/>
      <c r="F2699" s="1"/>
    </row>
    <row r="2700" spans="3:6">
      <c r="C2700" s="1"/>
      <c r="D2700" s="1"/>
      <c r="E2700" s="1"/>
      <c r="F2700" s="1"/>
    </row>
    <row r="2701" spans="3:6">
      <c r="C2701" s="1"/>
      <c r="D2701" s="1"/>
      <c r="E2701" s="1"/>
      <c r="F2701" s="1"/>
    </row>
    <row r="2702" spans="3:6">
      <c r="C2702" s="1"/>
      <c r="D2702" s="1"/>
      <c r="E2702" s="1"/>
      <c r="F2702" s="1"/>
    </row>
    <row r="2703" spans="3:6">
      <c r="C2703" s="1"/>
      <c r="D2703" s="1"/>
      <c r="E2703" s="1"/>
      <c r="F2703" s="1"/>
    </row>
    <row r="2704" spans="3:6">
      <c r="C2704" s="1"/>
      <c r="D2704" s="1"/>
      <c r="E2704" s="1"/>
      <c r="F2704" s="1"/>
    </row>
    <row r="2705" spans="3:6">
      <c r="C2705" s="1"/>
      <c r="D2705" s="1"/>
      <c r="E2705" s="1"/>
      <c r="F2705" s="1"/>
    </row>
    <row r="2706" spans="3:6">
      <c r="C2706" s="1"/>
      <c r="D2706" s="1"/>
      <c r="E2706" s="1"/>
      <c r="F2706" s="1"/>
    </row>
    <row r="2707" spans="3:6">
      <c r="C2707" s="1"/>
      <c r="D2707" s="1"/>
      <c r="E2707" s="1"/>
      <c r="F2707" s="1"/>
    </row>
    <row r="2708" spans="3:6">
      <c r="C2708" s="1"/>
      <c r="D2708" s="1"/>
      <c r="E2708" s="1"/>
      <c r="F2708" s="1"/>
    </row>
    <row r="2709" spans="3:6">
      <c r="C2709" s="1"/>
      <c r="D2709" s="1"/>
      <c r="E2709" s="1"/>
      <c r="F2709" s="1"/>
    </row>
    <row r="2710" spans="3:6">
      <c r="C2710" s="1"/>
      <c r="D2710" s="1"/>
      <c r="E2710" s="1"/>
      <c r="F2710" s="1"/>
    </row>
    <row r="2711" spans="3:6">
      <c r="C2711" s="1"/>
      <c r="D2711" s="1"/>
      <c r="E2711" s="1"/>
      <c r="F2711" s="1"/>
    </row>
    <row r="2712" spans="3:6">
      <c r="C2712" s="1"/>
      <c r="D2712" s="1"/>
      <c r="E2712" s="1"/>
      <c r="F2712" s="1"/>
    </row>
    <row r="2713" spans="3:6">
      <c r="C2713" s="1"/>
      <c r="D2713" s="1"/>
      <c r="E2713" s="1"/>
      <c r="F2713" s="1"/>
    </row>
    <row r="2714" spans="3:6">
      <c r="C2714" s="1"/>
      <c r="D2714" s="1"/>
      <c r="E2714" s="1"/>
      <c r="F2714" s="1"/>
    </row>
    <row r="2715" spans="3:6">
      <c r="C2715" s="1"/>
      <c r="D2715" s="1"/>
      <c r="E2715" s="1"/>
      <c r="F2715" s="1"/>
    </row>
    <row r="2716" spans="3:6">
      <c r="C2716" s="1"/>
      <c r="D2716" s="1"/>
      <c r="E2716" s="1"/>
      <c r="F2716" s="1"/>
    </row>
    <row r="2717" spans="3:6">
      <c r="C2717" s="1"/>
      <c r="D2717" s="1"/>
      <c r="E2717" s="1"/>
      <c r="F2717" s="1"/>
    </row>
    <row r="2718" spans="3:6">
      <c r="C2718" s="1"/>
      <c r="D2718" s="1"/>
      <c r="E2718" s="1"/>
      <c r="F2718" s="1"/>
    </row>
    <row r="2719" spans="3:6">
      <c r="C2719" s="1"/>
      <c r="D2719" s="1"/>
      <c r="E2719" s="1"/>
      <c r="F2719" s="1"/>
    </row>
    <row r="2720" spans="3:6">
      <c r="C2720" s="1"/>
      <c r="D2720" s="1"/>
      <c r="E2720" s="1"/>
      <c r="F2720" s="1"/>
    </row>
    <row r="2721" spans="3:6">
      <c r="C2721" s="1"/>
      <c r="D2721" s="1"/>
      <c r="E2721" s="1"/>
      <c r="F2721" s="1"/>
    </row>
    <row r="2722" spans="3:6">
      <c r="C2722" s="1"/>
      <c r="D2722" s="1"/>
      <c r="E2722" s="1"/>
      <c r="F2722" s="1"/>
    </row>
    <row r="2723" spans="3:6">
      <c r="C2723" s="1"/>
      <c r="D2723" s="1"/>
      <c r="E2723" s="1"/>
      <c r="F2723" s="1"/>
    </row>
    <row r="2724" spans="3:6">
      <c r="C2724" s="1"/>
      <c r="D2724" s="1"/>
      <c r="E2724" s="1"/>
      <c r="F2724" s="1"/>
    </row>
    <row r="2725" spans="3:6">
      <c r="C2725" s="1"/>
      <c r="D2725" s="1"/>
      <c r="E2725" s="1"/>
      <c r="F2725" s="1"/>
    </row>
    <row r="2726" spans="3:6">
      <c r="C2726" s="1"/>
      <c r="D2726" s="1"/>
      <c r="E2726" s="1"/>
      <c r="F2726" s="1"/>
    </row>
    <row r="2727" spans="3:6">
      <c r="C2727" s="1"/>
      <c r="D2727" s="1"/>
      <c r="E2727" s="1"/>
      <c r="F2727" s="1"/>
    </row>
    <row r="2728" spans="3:6">
      <c r="C2728" s="1"/>
      <c r="D2728" s="1"/>
      <c r="E2728" s="1"/>
      <c r="F2728" s="1"/>
    </row>
    <row r="2729" spans="3:6">
      <c r="C2729" s="1"/>
      <c r="D2729" s="1"/>
      <c r="E2729" s="1"/>
      <c r="F2729" s="1"/>
    </row>
    <row r="2730" spans="3:6">
      <c r="C2730" s="1"/>
      <c r="D2730" s="1"/>
      <c r="E2730" s="1"/>
      <c r="F2730" s="1"/>
    </row>
    <row r="2731" spans="3:6">
      <c r="C2731" s="1"/>
      <c r="D2731" s="1"/>
      <c r="E2731" s="1"/>
      <c r="F2731" s="1"/>
    </row>
    <row r="2732" spans="3:6">
      <c r="C2732" s="1"/>
      <c r="D2732" s="1"/>
      <c r="E2732" s="1"/>
      <c r="F2732" s="1"/>
    </row>
    <row r="2733" spans="3:6">
      <c r="C2733" s="1"/>
      <c r="D2733" s="1"/>
      <c r="E2733" s="1"/>
      <c r="F2733" s="1"/>
    </row>
    <row r="2734" spans="3:6">
      <c r="C2734" s="1"/>
      <c r="D2734" s="1"/>
      <c r="E2734" s="1"/>
      <c r="F2734" s="1"/>
    </row>
    <row r="2735" spans="3:6">
      <c r="C2735" s="1"/>
      <c r="D2735" s="1"/>
      <c r="E2735" s="1"/>
      <c r="F2735" s="1"/>
    </row>
    <row r="2736" spans="3:6">
      <c r="C2736" s="1"/>
      <c r="D2736" s="1"/>
      <c r="E2736" s="1"/>
      <c r="F2736" s="1"/>
    </row>
    <row r="2737" spans="3:6">
      <c r="C2737" s="1"/>
      <c r="D2737" s="1"/>
      <c r="E2737" s="1"/>
      <c r="F2737" s="1"/>
    </row>
    <row r="2738" spans="3:6">
      <c r="C2738" s="1"/>
      <c r="D2738" s="1"/>
      <c r="E2738" s="1"/>
      <c r="F2738" s="1"/>
    </row>
    <row r="2739" spans="3:6">
      <c r="C2739" s="1"/>
      <c r="D2739" s="1"/>
      <c r="E2739" s="1"/>
      <c r="F2739" s="1"/>
    </row>
    <row r="2740" spans="3:6">
      <c r="C2740" s="1"/>
      <c r="D2740" s="1"/>
      <c r="E2740" s="1"/>
      <c r="F2740" s="1"/>
    </row>
    <row r="2741" spans="3:6">
      <c r="C2741" s="1"/>
      <c r="D2741" s="1"/>
      <c r="E2741" s="1"/>
      <c r="F2741" s="1"/>
    </row>
    <row r="2742" spans="3:6">
      <c r="C2742" s="1"/>
      <c r="D2742" s="1"/>
      <c r="E2742" s="1"/>
      <c r="F2742" s="1"/>
    </row>
    <row r="2743" spans="3:6">
      <c r="C2743" s="1"/>
      <c r="D2743" s="1"/>
      <c r="E2743" s="1"/>
      <c r="F2743" s="1"/>
    </row>
    <row r="2744" spans="3:6">
      <c r="C2744" s="1"/>
      <c r="D2744" s="1"/>
      <c r="E2744" s="1"/>
      <c r="F2744" s="1"/>
    </row>
    <row r="2745" spans="3:6">
      <c r="C2745" s="1"/>
      <c r="D2745" s="1"/>
      <c r="E2745" s="1"/>
      <c r="F2745" s="1"/>
    </row>
    <row r="2746" spans="3:6">
      <c r="C2746" s="1"/>
      <c r="D2746" s="1"/>
      <c r="E2746" s="1"/>
      <c r="F2746" s="1"/>
    </row>
    <row r="2747" spans="3:6">
      <c r="C2747" s="1"/>
      <c r="D2747" s="1"/>
      <c r="E2747" s="1"/>
      <c r="F2747" s="1"/>
    </row>
    <row r="2748" spans="3:6">
      <c r="C2748" s="1"/>
      <c r="D2748" s="1"/>
      <c r="E2748" s="1"/>
      <c r="F2748" s="1"/>
    </row>
    <row r="2749" spans="3:6">
      <c r="C2749" s="1"/>
      <c r="D2749" s="1"/>
      <c r="E2749" s="1"/>
      <c r="F2749" s="1"/>
    </row>
    <row r="2750" spans="3:6">
      <c r="C2750" s="1"/>
      <c r="D2750" s="1"/>
      <c r="E2750" s="1"/>
      <c r="F2750" s="1"/>
    </row>
    <row r="2751" spans="3:6">
      <c r="C2751" s="1"/>
      <c r="D2751" s="1"/>
      <c r="E2751" s="1"/>
      <c r="F2751" s="1"/>
    </row>
    <row r="2752" spans="3:6">
      <c r="C2752" s="1"/>
      <c r="D2752" s="1"/>
      <c r="E2752" s="1"/>
      <c r="F2752" s="1"/>
    </row>
    <row r="2753" spans="3:6">
      <c r="C2753" s="1"/>
      <c r="D2753" s="1"/>
      <c r="E2753" s="1"/>
      <c r="F2753" s="1"/>
    </row>
    <row r="2754" spans="3:6">
      <c r="C2754" s="1"/>
      <c r="D2754" s="1"/>
      <c r="E2754" s="1"/>
      <c r="F2754" s="1"/>
    </row>
    <row r="2755" spans="3:6">
      <c r="C2755" s="1"/>
      <c r="D2755" s="1"/>
      <c r="E2755" s="1"/>
      <c r="F2755" s="1"/>
    </row>
    <row r="2756" spans="3:6">
      <c r="C2756" s="1"/>
      <c r="D2756" s="1"/>
      <c r="E2756" s="1"/>
      <c r="F2756" s="1"/>
    </row>
    <row r="2757" spans="3:6">
      <c r="C2757" s="1"/>
      <c r="D2757" s="1"/>
      <c r="E2757" s="1"/>
      <c r="F2757" s="1"/>
    </row>
    <row r="2758" spans="3:6">
      <c r="C2758" s="1"/>
      <c r="D2758" s="1"/>
      <c r="E2758" s="1"/>
      <c r="F2758" s="1"/>
    </row>
    <row r="2759" spans="3:6">
      <c r="C2759" s="1"/>
      <c r="D2759" s="1"/>
      <c r="E2759" s="1"/>
      <c r="F2759" s="1"/>
    </row>
    <row r="2760" spans="3:6">
      <c r="C2760" s="1"/>
      <c r="D2760" s="1"/>
      <c r="E2760" s="1"/>
      <c r="F2760" s="1"/>
    </row>
    <row r="2761" spans="3:6">
      <c r="C2761" s="1"/>
      <c r="D2761" s="1"/>
      <c r="E2761" s="1"/>
      <c r="F2761" s="1"/>
    </row>
    <row r="2762" spans="3:6">
      <c r="C2762" s="1"/>
      <c r="D2762" s="1"/>
      <c r="E2762" s="1"/>
      <c r="F2762" s="1"/>
    </row>
    <row r="2763" spans="3:6">
      <c r="C2763" s="1"/>
      <c r="D2763" s="1"/>
      <c r="E2763" s="1"/>
      <c r="F2763" s="1"/>
    </row>
    <row r="2764" spans="3:6">
      <c r="C2764" s="1"/>
      <c r="D2764" s="1"/>
      <c r="E2764" s="1"/>
      <c r="F2764" s="1"/>
    </row>
    <row r="2765" spans="3:6">
      <c r="C2765" s="1"/>
      <c r="D2765" s="1"/>
      <c r="E2765" s="1"/>
      <c r="F2765" s="1"/>
    </row>
    <row r="2766" spans="3:6">
      <c r="C2766" s="1"/>
      <c r="D2766" s="1"/>
      <c r="E2766" s="1"/>
      <c r="F2766" s="1"/>
    </row>
    <row r="2767" spans="3:6">
      <c r="C2767" s="1"/>
      <c r="D2767" s="1"/>
      <c r="E2767" s="1"/>
      <c r="F2767" s="1"/>
    </row>
    <row r="2768" spans="3:6">
      <c r="C2768" s="1"/>
      <c r="D2768" s="1"/>
      <c r="E2768" s="1"/>
      <c r="F2768" s="1"/>
    </row>
    <row r="2769" spans="3:6">
      <c r="C2769" s="1"/>
      <c r="D2769" s="1"/>
      <c r="E2769" s="1"/>
      <c r="F2769" s="1"/>
    </row>
    <row r="2770" spans="3:6">
      <c r="C2770" s="1"/>
      <c r="D2770" s="1"/>
      <c r="E2770" s="1"/>
      <c r="F2770" s="1"/>
    </row>
    <row r="2771" spans="3:6">
      <c r="C2771" s="1"/>
      <c r="D2771" s="1"/>
      <c r="E2771" s="1"/>
      <c r="F2771" s="1"/>
    </row>
    <row r="2772" spans="3:6">
      <c r="C2772" s="1"/>
      <c r="D2772" s="1"/>
      <c r="E2772" s="1"/>
      <c r="F2772" s="1"/>
    </row>
    <row r="2773" spans="3:6">
      <c r="C2773" s="1"/>
      <c r="D2773" s="1"/>
      <c r="E2773" s="1"/>
      <c r="F2773" s="1"/>
    </row>
    <row r="2774" spans="3:6">
      <c r="C2774" s="1"/>
      <c r="D2774" s="1"/>
      <c r="E2774" s="1"/>
      <c r="F2774" s="1"/>
    </row>
    <row r="2775" spans="3:6">
      <c r="C2775" s="1"/>
      <c r="D2775" s="1"/>
      <c r="E2775" s="1"/>
      <c r="F2775" s="1"/>
    </row>
    <row r="2776" spans="3:6">
      <c r="C2776" s="1"/>
      <c r="D2776" s="1"/>
      <c r="E2776" s="1"/>
      <c r="F2776" s="1"/>
    </row>
    <row r="2777" spans="3:6">
      <c r="C2777" s="1"/>
      <c r="D2777" s="1"/>
      <c r="E2777" s="1"/>
      <c r="F2777" s="1"/>
    </row>
    <row r="2778" spans="3:6">
      <c r="C2778" s="1"/>
      <c r="D2778" s="1"/>
      <c r="E2778" s="1"/>
      <c r="F2778" s="1"/>
    </row>
    <row r="2779" spans="3:6">
      <c r="C2779" s="1"/>
      <c r="D2779" s="1"/>
      <c r="E2779" s="1"/>
      <c r="F2779" s="1"/>
    </row>
    <row r="2780" spans="3:6">
      <c r="C2780" s="1"/>
      <c r="D2780" s="1"/>
      <c r="E2780" s="1"/>
      <c r="F2780" s="1"/>
    </row>
    <row r="2781" spans="3:6">
      <c r="C2781" s="1"/>
      <c r="D2781" s="1"/>
      <c r="E2781" s="1"/>
      <c r="F2781" s="1"/>
    </row>
    <row r="2782" spans="3:6">
      <c r="C2782" s="1"/>
      <c r="D2782" s="1"/>
      <c r="E2782" s="1"/>
      <c r="F2782" s="1"/>
    </row>
    <row r="2783" spans="3:6">
      <c r="C2783" s="1"/>
      <c r="D2783" s="1"/>
      <c r="E2783" s="1"/>
      <c r="F2783" s="1"/>
    </row>
    <row r="2784" spans="3:6">
      <c r="C2784" s="1"/>
      <c r="D2784" s="1"/>
      <c r="E2784" s="1"/>
      <c r="F2784" s="1"/>
    </row>
    <row r="2785" spans="3:6">
      <c r="C2785" s="1"/>
      <c r="D2785" s="1"/>
      <c r="E2785" s="1"/>
      <c r="F2785" s="1"/>
    </row>
    <row r="2786" spans="3:6">
      <c r="C2786" s="1"/>
      <c r="D2786" s="1"/>
      <c r="E2786" s="1"/>
      <c r="F2786" s="1"/>
    </row>
    <row r="2787" spans="3:6">
      <c r="C2787" s="1"/>
      <c r="D2787" s="1"/>
      <c r="E2787" s="1"/>
      <c r="F2787" s="1"/>
    </row>
    <row r="2788" spans="3:6">
      <c r="C2788" s="1"/>
      <c r="D2788" s="1"/>
      <c r="E2788" s="1"/>
      <c r="F2788" s="1"/>
    </row>
    <row r="2789" spans="3:6">
      <c r="C2789" s="1"/>
      <c r="D2789" s="1"/>
      <c r="E2789" s="1"/>
      <c r="F2789" s="1"/>
    </row>
    <row r="2790" spans="3:6">
      <c r="C2790" s="1"/>
      <c r="D2790" s="1"/>
      <c r="E2790" s="1"/>
      <c r="F2790" s="1"/>
    </row>
    <row r="2791" spans="3:6">
      <c r="C2791" s="1"/>
      <c r="D2791" s="1"/>
      <c r="E2791" s="1"/>
      <c r="F2791" s="1"/>
    </row>
    <row r="2792" spans="3:6">
      <c r="C2792" s="1"/>
      <c r="D2792" s="1"/>
      <c r="E2792" s="1"/>
      <c r="F2792" s="1"/>
    </row>
    <row r="2793" spans="3:6">
      <c r="C2793" s="1"/>
      <c r="D2793" s="1"/>
      <c r="E2793" s="1"/>
      <c r="F2793" s="1"/>
    </row>
    <row r="2794" spans="3:6">
      <c r="C2794" s="1"/>
      <c r="D2794" s="1"/>
      <c r="E2794" s="1"/>
      <c r="F2794" s="1"/>
    </row>
    <row r="2795" spans="3:6">
      <c r="C2795" s="1"/>
      <c r="D2795" s="1"/>
      <c r="E2795" s="1"/>
      <c r="F2795" s="1"/>
    </row>
    <row r="2796" spans="3:6">
      <c r="C2796" s="1"/>
      <c r="D2796" s="1"/>
      <c r="E2796" s="1"/>
      <c r="F2796" s="1"/>
    </row>
    <row r="2797" spans="3:6">
      <c r="C2797" s="1"/>
      <c r="D2797" s="1"/>
      <c r="E2797" s="1"/>
      <c r="F2797" s="1"/>
    </row>
    <row r="2798" spans="3:6">
      <c r="C2798" s="1"/>
      <c r="D2798" s="1"/>
      <c r="E2798" s="1"/>
      <c r="F2798" s="1"/>
    </row>
    <row r="2799" spans="3:6">
      <c r="C2799" s="1"/>
      <c r="D2799" s="1"/>
      <c r="E2799" s="1"/>
      <c r="F2799" s="1"/>
    </row>
    <row r="2800" spans="3:6">
      <c r="C2800" s="1"/>
      <c r="D2800" s="1"/>
      <c r="E2800" s="1"/>
      <c r="F2800" s="1"/>
    </row>
    <row r="2801" spans="3:6">
      <c r="C2801" s="1"/>
      <c r="D2801" s="1"/>
      <c r="E2801" s="1"/>
      <c r="F2801" s="1"/>
    </row>
    <row r="2802" spans="3:6">
      <c r="C2802" s="1"/>
      <c r="D2802" s="1"/>
      <c r="E2802" s="1"/>
      <c r="F2802" s="1"/>
    </row>
    <row r="2803" spans="3:6">
      <c r="C2803" s="1"/>
      <c r="D2803" s="1"/>
      <c r="E2803" s="1"/>
      <c r="F2803" s="1"/>
    </row>
    <row r="2804" spans="3:6">
      <c r="C2804" s="1"/>
      <c r="D2804" s="1"/>
      <c r="E2804" s="1"/>
      <c r="F2804" s="1"/>
    </row>
    <row r="2805" spans="3:6">
      <c r="C2805" s="1"/>
      <c r="D2805" s="1"/>
      <c r="E2805" s="1"/>
      <c r="F2805" s="1"/>
    </row>
    <row r="2806" spans="3:6">
      <c r="C2806" s="1"/>
      <c r="D2806" s="1"/>
      <c r="E2806" s="1"/>
      <c r="F2806" s="1"/>
    </row>
    <row r="2807" spans="3:6">
      <c r="C2807" s="1"/>
      <c r="D2807" s="1"/>
      <c r="E2807" s="1"/>
      <c r="F2807" s="1"/>
    </row>
    <row r="2808" spans="3:6">
      <c r="C2808" s="1"/>
      <c r="D2808" s="1"/>
      <c r="E2808" s="1"/>
      <c r="F2808" s="1"/>
    </row>
    <row r="2809" spans="3:6">
      <c r="C2809" s="1"/>
      <c r="D2809" s="1"/>
      <c r="E2809" s="1"/>
      <c r="F2809" s="1"/>
    </row>
    <row r="2810" spans="3:6">
      <c r="C2810" s="1"/>
      <c r="D2810" s="1"/>
      <c r="E2810" s="1"/>
      <c r="F2810" s="1"/>
    </row>
    <row r="2811" spans="3:6">
      <c r="C2811" s="1"/>
      <c r="D2811" s="1"/>
      <c r="E2811" s="1"/>
      <c r="F2811" s="1"/>
    </row>
    <row r="2812" spans="3:6">
      <c r="C2812" s="1"/>
      <c r="D2812" s="1"/>
      <c r="E2812" s="1"/>
      <c r="F2812" s="1"/>
    </row>
    <row r="2813" spans="3:6">
      <c r="C2813" s="1"/>
      <c r="D2813" s="1"/>
      <c r="E2813" s="1"/>
      <c r="F2813" s="1"/>
    </row>
    <row r="2814" spans="3:6">
      <c r="C2814" s="1"/>
      <c r="D2814" s="1"/>
      <c r="E2814" s="1"/>
      <c r="F2814" s="1"/>
    </row>
    <row r="2815" spans="3:6">
      <c r="C2815" s="1"/>
      <c r="D2815" s="1"/>
      <c r="E2815" s="1"/>
      <c r="F2815" s="1"/>
    </row>
    <row r="2816" spans="3:6">
      <c r="C2816" s="1"/>
      <c r="D2816" s="1"/>
      <c r="E2816" s="1"/>
      <c r="F2816" s="1"/>
    </row>
    <row r="2817" spans="3:6">
      <c r="C2817" s="1"/>
      <c r="D2817" s="1"/>
      <c r="E2817" s="1"/>
      <c r="F2817" s="1"/>
    </row>
    <row r="2818" spans="3:6">
      <c r="C2818" s="1"/>
      <c r="D2818" s="1"/>
      <c r="E2818" s="1"/>
      <c r="F2818" s="1"/>
    </row>
    <row r="2819" spans="3:6">
      <c r="C2819" s="1"/>
      <c r="D2819" s="1"/>
      <c r="E2819" s="1"/>
      <c r="F2819" s="1"/>
    </row>
    <row r="2820" spans="3:6">
      <c r="C2820" s="1"/>
      <c r="D2820" s="1"/>
      <c r="E2820" s="1"/>
      <c r="F2820" s="1"/>
    </row>
    <row r="2821" spans="3:6">
      <c r="C2821" s="1"/>
      <c r="D2821" s="1"/>
      <c r="E2821" s="1"/>
      <c r="F2821" s="1"/>
    </row>
    <row r="2822" spans="3:6">
      <c r="C2822" s="1"/>
      <c r="D2822" s="1"/>
      <c r="E2822" s="1"/>
      <c r="F2822" s="1"/>
    </row>
    <row r="2823" spans="3:6">
      <c r="C2823" s="1"/>
      <c r="D2823" s="1"/>
      <c r="E2823" s="1"/>
      <c r="F2823" s="1"/>
    </row>
    <row r="2824" spans="3:6">
      <c r="C2824" s="1"/>
      <c r="D2824" s="1"/>
      <c r="E2824" s="1"/>
      <c r="F2824" s="1"/>
    </row>
    <row r="2825" spans="3:6">
      <c r="C2825" s="1"/>
      <c r="D2825" s="1"/>
      <c r="E2825" s="1"/>
      <c r="F2825" s="1"/>
    </row>
    <row r="2826" spans="3:6">
      <c r="C2826" s="1"/>
      <c r="D2826" s="1"/>
      <c r="E2826" s="1"/>
      <c r="F2826" s="1"/>
    </row>
    <row r="2827" spans="3:6">
      <c r="C2827" s="1"/>
      <c r="D2827" s="1"/>
      <c r="E2827" s="1"/>
      <c r="F2827" s="1"/>
    </row>
    <row r="2828" spans="3:6">
      <c r="C2828" s="1"/>
      <c r="D2828" s="1"/>
      <c r="E2828" s="1"/>
      <c r="F2828" s="1"/>
    </row>
    <row r="2829" spans="3:6">
      <c r="C2829" s="1"/>
      <c r="D2829" s="1"/>
      <c r="E2829" s="1"/>
      <c r="F2829" s="1"/>
    </row>
    <row r="2830" spans="3:6">
      <c r="C2830" s="1"/>
      <c r="D2830" s="1"/>
      <c r="E2830" s="1"/>
      <c r="F2830" s="1"/>
    </row>
    <row r="2831" spans="3:6">
      <c r="C2831" s="1"/>
      <c r="D2831" s="1"/>
      <c r="E2831" s="1"/>
      <c r="F2831" s="1"/>
    </row>
    <row r="2832" spans="3:6">
      <c r="C2832" s="1"/>
      <c r="D2832" s="1"/>
      <c r="E2832" s="1"/>
      <c r="F2832" s="1"/>
    </row>
    <row r="2833" spans="3:6">
      <c r="C2833" s="1"/>
      <c r="D2833" s="1"/>
      <c r="E2833" s="1"/>
      <c r="F2833" s="1"/>
    </row>
    <row r="2834" spans="3:6">
      <c r="C2834" s="1"/>
      <c r="D2834" s="1"/>
      <c r="E2834" s="1"/>
      <c r="F2834" s="1"/>
    </row>
    <row r="2835" spans="3:6">
      <c r="C2835" s="1"/>
      <c r="D2835" s="1"/>
      <c r="E2835" s="1"/>
      <c r="F2835" s="1"/>
    </row>
    <row r="2836" spans="3:6">
      <c r="C2836" s="1"/>
      <c r="D2836" s="1"/>
      <c r="E2836" s="1"/>
      <c r="F2836" s="1"/>
    </row>
    <row r="2837" spans="3:6">
      <c r="C2837" s="1"/>
      <c r="D2837" s="1"/>
      <c r="E2837" s="1"/>
      <c r="F2837" s="1"/>
    </row>
    <row r="2838" spans="3:6">
      <c r="C2838" s="1"/>
      <c r="D2838" s="1"/>
      <c r="E2838" s="1"/>
      <c r="F2838" s="1"/>
    </row>
    <row r="2839" spans="3:6">
      <c r="C2839" s="1"/>
      <c r="D2839" s="1"/>
      <c r="E2839" s="1"/>
      <c r="F2839" s="1"/>
    </row>
    <row r="2840" spans="3:6">
      <c r="C2840" s="1"/>
      <c r="D2840" s="1"/>
      <c r="E2840" s="1"/>
      <c r="F2840" s="1"/>
    </row>
    <row r="2841" spans="3:6">
      <c r="C2841" s="1"/>
      <c r="D2841" s="1"/>
      <c r="E2841" s="1"/>
      <c r="F2841" s="1"/>
    </row>
    <row r="2842" spans="3:6">
      <c r="C2842" s="1"/>
      <c r="D2842" s="1"/>
      <c r="E2842" s="1"/>
      <c r="F2842" s="1"/>
    </row>
    <row r="2843" spans="3:6">
      <c r="C2843" s="1"/>
      <c r="D2843" s="1"/>
      <c r="E2843" s="1"/>
      <c r="F2843" s="1"/>
    </row>
    <row r="2844" spans="3:6">
      <c r="C2844" s="1"/>
      <c r="D2844" s="1"/>
      <c r="E2844" s="1"/>
      <c r="F2844" s="1"/>
    </row>
    <row r="2845" spans="3:6">
      <c r="C2845" s="1"/>
      <c r="D2845" s="1"/>
      <c r="E2845" s="1"/>
      <c r="F2845" s="1"/>
    </row>
    <row r="2846" spans="3:6">
      <c r="C2846" s="1"/>
      <c r="D2846" s="1"/>
      <c r="E2846" s="1"/>
      <c r="F2846" s="1"/>
    </row>
    <row r="2847" spans="3:6">
      <c r="C2847" s="1"/>
      <c r="D2847" s="1"/>
      <c r="E2847" s="1"/>
      <c r="F2847" s="1"/>
    </row>
    <row r="2848" spans="3:6">
      <c r="C2848" s="1"/>
      <c r="D2848" s="1"/>
      <c r="E2848" s="1"/>
      <c r="F2848" s="1"/>
    </row>
    <row r="2849" spans="3:6">
      <c r="C2849" s="1"/>
      <c r="D2849" s="1"/>
      <c r="E2849" s="1"/>
      <c r="F2849" s="1"/>
    </row>
    <row r="2850" spans="3:6">
      <c r="C2850" s="1"/>
      <c r="D2850" s="1"/>
      <c r="E2850" s="1"/>
      <c r="F2850" s="1"/>
    </row>
    <row r="2851" spans="3:6">
      <c r="C2851" s="1"/>
      <c r="D2851" s="1"/>
      <c r="E2851" s="1"/>
      <c r="F2851" s="1"/>
    </row>
    <row r="2852" spans="3:6">
      <c r="C2852" s="1"/>
      <c r="D2852" s="1"/>
      <c r="E2852" s="1"/>
      <c r="F2852" s="1"/>
    </row>
    <row r="2853" spans="3:6">
      <c r="C2853" s="1"/>
      <c r="D2853" s="1"/>
      <c r="E2853" s="1"/>
      <c r="F2853" s="1"/>
    </row>
    <row r="2854" spans="3:6">
      <c r="C2854" s="1"/>
      <c r="D2854" s="1"/>
      <c r="E2854" s="1"/>
      <c r="F2854" s="1"/>
    </row>
    <row r="2855" spans="3:6">
      <c r="C2855" s="1"/>
      <c r="D2855" s="1"/>
      <c r="E2855" s="1"/>
      <c r="F2855" s="1"/>
    </row>
    <row r="2856" spans="3:6">
      <c r="C2856" s="1"/>
      <c r="D2856" s="1"/>
      <c r="E2856" s="1"/>
      <c r="F2856" s="1"/>
    </row>
    <row r="2857" spans="3:6">
      <c r="C2857" s="1"/>
      <c r="D2857" s="1"/>
      <c r="E2857" s="1"/>
      <c r="F2857" s="1"/>
    </row>
    <row r="2858" spans="3:6">
      <c r="C2858" s="1"/>
      <c r="D2858" s="1"/>
      <c r="E2858" s="1"/>
      <c r="F2858" s="1"/>
    </row>
    <row r="2859" spans="3:6">
      <c r="C2859" s="1"/>
      <c r="D2859" s="1"/>
      <c r="E2859" s="1"/>
      <c r="F2859" s="1"/>
    </row>
    <row r="2860" spans="3:6">
      <c r="C2860" s="1"/>
      <c r="D2860" s="1"/>
      <c r="E2860" s="1"/>
      <c r="F2860" s="1"/>
    </row>
    <row r="2861" spans="3:6">
      <c r="C2861" s="1"/>
      <c r="D2861" s="1"/>
      <c r="E2861" s="1"/>
      <c r="F2861" s="1"/>
    </row>
    <row r="2862" spans="3:6">
      <c r="C2862" s="1"/>
      <c r="D2862" s="1"/>
      <c r="E2862" s="1"/>
      <c r="F2862" s="1"/>
    </row>
    <row r="2863" spans="3:6">
      <c r="C2863" s="1"/>
      <c r="D2863" s="1"/>
      <c r="E2863" s="1"/>
      <c r="F2863" s="1"/>
    </row>
    <row r="2864" spans="3:6">
      <c r="C2864" s="1"/>
      <c r="D2864" s="1"/>
      <c r="E2864" s="1"/>
      <c r="F2864" s="1"/>
    </row>
    <row r="2865" spans="3:6">
      <c r="C2865" s="1"/>
      <c r="D2865" s="1"/>
      <c r="E2865" s="1"/>
      <c r="F2865" s="1"/>
    </row>
    <row r="2866" spans="3:6">
      <c r="C2866" s="1"/>
      <c r="D2866" s="1"/>
      <c r="E2866" s="1"/>
      <c r="F2866" s="1"/>
    </row>
    <row r="2867" spans="3:6">
      <c r="C2867" s="1"/>
      <c r="D2867" s="1"/>
      <c r="E2867" s="1"/>
      <c r="F2867" s="1"/>
    </row>
    <row r="2868" spans="3:6">
      <c r="C2868" s="1"/>
      <c r="D2868" s="1"/>
      <c r="E2868" s="1"/>
      <c r="F2868" s="1"/>
    </row>
    <row r="2869" spans="3:6">
      <c r="C2869" s="1"/>
      <c r="D2869" s="1"/>
      <c r="E2869" s="1"/>
      <c r="F2869" s="1"/>
    </row>
    <row r="2870" spans="3:6">
      <c r="C2870" s="1"/>
      <c r="D2870" s="1"/>
      <c r="E2870" s="1"/>
      <c r="F2870" s="1"/>
    </row>
    <row r="2871" spans="3:6">
      <c r="C2871" s="1"/>
      <c r="D2871" s="1"/>
      <c r="E2871" s="1"/>
      <c r="F2871" s="1"/>
    </row>
    <row r="2872" spans="3:6">
      <c r="C2872" s="1"/>
      <c r="D2872" s="1"/>
      <c r="E2872" s="1"/>
      <c r="F2872" s="1"/>
    </row>
    <row r="2873" spans="3:6">
      <c r="C2873" s="1"/>
      <c r="D2873" s="1"/>
      <c r="E2873" s="1"/>
      <c r="F2873" s="1"/>
    </row>
    <row r="2874" spans="3:6">
      <c r="C2874" s="1"/>
      <c r="D2874" s="1"/>
      <c r="E2874" s="1"/>
      <c r="F2874" s="1"/>
    </row>
    <row r="2875" spans="3:6">
      <c r="C2875" s="1"/>
      <c r="D2875" s="1"/>
      <c r="E2875" s="1"/>
      <c r="F2875" s="1"/>
    </row>
    <row r="2876" spans="3:6">
      <c r="C2876" s="1"/>
      <c r="D2876" s="1"/>
      <c r="E2876" s="1"/>
      <c r="F2876" s="1"/>
    </row>
    <row r="2877" spans="3:6">
      <c r="C2877" s="1"/>
      <c r="D2877" s="1"/>
      <c r="E2877" s="1"/>
      <c r="F2877" s="1"/>
    </row>
    <row r="2878" spans="3:6">
      <c r="C2878" s="1"/>
      <c r="D2878" s="1"/>
      <c r="E2878" s="1"/>
      <c r="F2878" s="1"/>
    </row>
    <row r="2879" spans="3:6">
      <c r="C2879" s="1"/>
      <c r="D2879" s="1"/>
      <c r="E2879" s="1"/>
      <c r="F2879" s="1"/>
    </row>
    <row r="2880" spans="3:6">
      <c r="C2880" s="1"/>
      <c r="D2880" s="1"/>
      <c r="E2880" s="1"/>
      <c r="F2880" s="1"/>
    </row>
    <row r="2881" spans="3:6">
      <c r="C2881" s="1"/>
      <c r="D2881" s="1"/>
      <c r="E2881" s="1"/>
      <c r="F2881" s="1"/>
    </row>
    <row r="2882" spans="3:6">
      <c r="C2882" s="1"/>
      <c r="D2882" s="1"/>
      <c r="E2882" s="1"/>
      <c r="F2882" s="1"/>
    </row>
    <row r="2883" spans="3:6">
      <c r="C2883" s="1"/>
      <c r="D2883" s="1"/>
      <c r="E2883" s="1"/>
      <c r="F2883" s="1"/>
    </row>
    <row r="2884" spans="3:6">
      <c r="C2884" s="1"/>
      <c r="D2884" s="1"/>
      <c r="E2884" s="1"/>
      <c r="F2884" s="1"/>
    </row>
    <row r="2885" spans="3:6">
      <c r="C2885" s="1"/>
      <c r="D2885" s="1"/>
      <c r="E2885" s="1"/>
      <c r="F2885" s="1"/>
    </row>
    <row r="2886" spans="3:6">
      <c r="C2886" s="1"/>
      <c r="D2886" s="1"/>
      <c r="E2886" s="1"/>
      <c r="F2886" s="1"/>
    </row>
    <row r="2887" spans="3:6">
      <c r="C2887" s="1"/>
      <c r="D2887" s="1"/>
      <c r="E2887" s="1"/>
      <c r="F2887" s="1"/>
    </row>
    <row r="2888" spans="3:6">
      <c r="C2888" s="1"/>
      <c r="D2888" s="1"/>
      <c r="E2888" s="1"/>
      <c r="F2888" s="1"/>
    </row>
    <row r="2889" spans="3:6">
      <c r="C2889" s="1"/>
      <c r="D2889" s="1"/>
      <c r="E2889" s="1"/>
      <c r="F2889" s="1"/>
    </row>
    <row r="2890" spans="3:6">
      <c r="C2890" s="1"/>
      <c r="D2890" s="1"/>
      <c r="E2890" s="1"/>
      <c r="F2890" s="1"/>
    </row>
    <row r="2891" spans="3:6">
      <c r="C2891" s="1"/>
      <c r="D2891" s="1"/>
      <c r="E2891" s="1"/>
      <c r="F2891" s="1"/>
    </row>
    <row r="2892" spans="3:6">
      <c r="C2892" s="1"/>
      <c r="D2892" s="1"/>
      <c r="E2892" s="1"/>
      <c r="F2892" s="1"/>
    </row>
    <row r="2893" spans="3:6">
      <c r="C2893" s="1"/>
      <c r="D2893" s="1"/>
      <c r="E2893" s="1"/>
      <c r="F2893" s="1"/>
    </row>
    <row r="2894" spans="3:6">
      <c r="C2894" s="1"/>
      <c r="D2894" s="1"/>
      <c r="E2894" s="1"/>
      <c r="F2894" s="1"/>
    </row>
    <row r="2895" spans="3:6">
      <c r="C2895" s="1"/>
      <c r="D2895" s="1"/>
      <c r="E2895" s="1"/>
      <c r="F2895" s="1"/>
    </row>
    <row r="2896" spans="3:6">
      <c r="C2896" s="1"/>
      <c r="D2896" s="1"/>
      <c r="E2896" s="1"/>
      <c r="F2896" s="1"/>
    </row>
    <row r="2897" spans="3:6">
      <c r="C2897" s="1"/>
      <c r="D2897" s="1"/>
      <c r="E2897" s="1"/>
      <c r="F2897" s="1"/>
    </row>
    <row r="2898" spans="3:6">
      <c r="C2898" s="1"/>
      <c r="D2898" s="1"/>
      <c r="E2898" s="1"/>
      <c r="F2898" s="1"/>
    </row>
    <row r="2899" spans="3:6">
      <c r="C2899" s="1"/>
      <c r="D2899" s="1"/>
      <c r="E2899" s="1"/>
      <c r="F2899" s="1"/>
    </row>
    <row r="2900" spans="3:6">
      <c r="C2900" s="1"/>
      <c r="D2900" s="1"/>
      <c r="E2900" s="1"/>
      <c r="F2900" s="1"/>
    </row>
    <row r="2901" spans="3:6">
      <c r="C2901" s="1"/>
      <c r="D2901" s="1"/>
      <c r="E2901" s="1"/>
      <c r="F2901" s="1"/>
    </row>
    <row r="2902" spans="3:6">
      <c r="C2902" s="1"/>
      <c r="D2902" s="1"/>
      <c r="E2902" s="1"/>
      <c r="F2902" s="1"/>
    </row>
    <row r="2903" spans="3:6">
      <c r="C2903" s="1"/>
      <c r="D2903" s="1"/>
      <c r="E2903" s="1"/>
      <c r="F2903" s="1"/>
    </row>
    <row r="2904" spans="3:6">
      <c r="C2904" s="1"/>
      <c r="D2904" s="1"/>
      <c r="E2904" s="1"/>
      <c r="F2904" s="1"/>
    </row>
    <row r="2905" spans="3:6">
      <c r="C2905" s="1"/>
      <c r="D2905" s="1"/>
      <c r="E2905" s="1"/>
      <c r="F2905" s="1"/>
    </row>
    <row r="2906" spans="3:6">
      <c r="C2906" s="1"/>
      <c r="D2906" s="1"/>
      <c r="E2906" s="1"/>
      <c r="F2906" s="1"/>
    </row>
    <row r="2907" spans="3:6">
      <c r="C2907" s="1"/>
      <c r="D2907" s="1"/>
      <c r="E2907" s="1"/>
      <c r="F2907" s="1"/>
    </row>
    <row r="2908" spans="3:6">
      <c r="C2908" s="1"/>
      <c r="D2908" s="1"/>
      <c r="E2908" s="1"/>
      <c r="F2908" s="1"/>
    </row>
    <row r="2909" spans="3:6">
      <c r="C2909" s="1"/>
      <c r="D2909" s="1"/>
      <c r="E2909" s="1"/>
      <c r="F2909" s="1"/>
    </row>
    <row r="2910" spans="3:6">
      <c r="C2910" s="1"/>
      <c r="D2910" s="1"/>
      <c r="E2910" s="1"/>
      <c r="F2910" s="1"/>
    </row>
    <row r="2911" spans="3:6">
      <c r="C2911" s="1"/>
      <c r="D2911" s="1"/>
      <c r="E2911" s="1"/>
      <c r="F2911" s="1"/>
    </row>
    <row r="2912" spans="3:6">
      <c r="C2912" s="1"/>
      <c r="D2912" s="1"/>
      <c r="E2912" s="1"/>
      <c r="F2912" s="1"/>
    </row>
    <row r="2913" spans="3:6">
      <c r="C2913" s="1"/>
      <c r="D2913" s="1"/>
      <c r="E2913" s="1"/>
      <c r="F2913" s="1"/>
    </row>
    <row r="2914" spans="3:6">
      <c r="C2914" s="1"/>
      <c r="D2914" s="1"/>
      <c r="E2914" s="1"/>
      <c r="F2914" s="1"/>
    </row>
    <row r="2915" spans="3:6">
      <c r="C2915" s="1"/>
      <c r="D2915" s="1"/>
      <c r="E2915" s="1"/>
      <c r="F2915" s="1"/>
    </row>
    <row r="2916" spans="3:6">
      <c r="C2916" s="1"/>
      <c r="D2916" s="1"/>
      <c r="E2916" s="1"/>
      <c r="F2916" s="1"/>
    </row>
    <row r="2917" spans="3:6">
      <c r="C2917" s="1"/>
      <c r="D2917" s="1"/>
      <c r="E2917" s="1"/>
      <c r="F2917" s="1"/>
    </row>
    <row r="2918" spans="3:6">
      <c r="C2918" s="1"/>
      <c r="D2918" s="1"/>
      <c r="E2918" s="1"/>
      <c r="F2918" s="1"/>
    </row>
    <row r="2919" spans="3:6">
      <c r="C2919" s="1"/>
      <c r="D2919" s="1"/>
      <c r="E2919" s="1"/>
      <c r="F2919" s="1"/>
    </row>
    <row r="2920" spans="3:6">
      <c r="C2920" s="1"/>
      <c r="D2920" s="1"/>
      <c r="E2920" s="1"/>
      <c r="F2920" s="1"/>
    </row>
    <row r="2921" spans="3:6">
      <c r="C2921" s="1"/>
      <c r="D2921" s="1"/>
      <c r="E2921" s="1"/>
      <c r="F2921" s="1"/>
    </row>
    <row r="2922" spans="3:6">
      <c r="C2922" s="1"/>
      <c r="D2922" s="1"/>
      <c r="E2922" s="1"/>
      <c r="F2922" s="1"/>
    </row>
    <row r="2923" spans="3:6">
      <c r="C2923" s="1"/>
      <c r="D2923" s="1"/>
      <c r="E2923" s="1"/>
      <c r="F2923" s="1"/>
    </row>
    <row r="2924" spans="3:6">
      <c r="C2924" s="1"/>
      <c r="D2924" s="1"/>
      <c r="E2924" s="1"/>
      <c r="F2924" s="1"/>
    </row>
    <row r="2925" spans="3:6">
      <c r="C2925" s="1"/>
      <c r="D2925" s="1"/>
      <c r="E2925" s="1"/>
      <c r="F2925" s="1"/>
    </row>
    <row r="2926" spans="3:6">
      <c r="C2926" s="1"/>
      <c r="D2926" s="1"/>
      <c r="E2926" s="1"/>
      <c r="F2926" s="1"/>
    </row>
    <row r="2927" spans="3:6">
      <c r="C2927" s="1"/>
      <c r="D2927" s="1"/>
      <c r="E2927" s="1"/>
      <c r="F2927" s="1"/>
    </row>
    <row r="2928" spans="3:6">
      <c r="C2928" s="1"/>
      <c r="D2928" s="1"/>
      <c r="E2928" s="1"/>
      <c r="F2928" s="1"/>
    </row>
    <row r="2929" spans="3:6">
      <c r="C2929" s="1"/>
      <c r="D2929" s="1"/>
      <c r="E2929" s="1"/>
      <c r="F2929" s="1"/>
    </row>
    <row r="2930" spans="3:6">
      <c r="C2930" s="1"/>
      <c r="D2930" s="1"/>
      <c r="E2930" s="1"/>
      <c r="F2930" s="1"/>
    </row>
    <row r="2931" spans="3:6">
      <c r="C2931" s="1"/>
      <c r="D2931" s="1"/>
      <c r="E2931" s="1"/>
      <c r="F2931" s="1"/>
    </row>
    <row r="2932" spans="3:6">
      <c r="C2932" s="1"/>
      <c r="D2932" s="1"/>
      <c r="E2932" s="1"/>
      <c r="F2932" s="1"/>
    </row>
    <row r="2933" spans="3:6">
      <c r="C2933" s="1"/>
      <c r="D2933" s="1"/>
      <c r="E2933" s="1"/>
      <c r="F2933" s="1"/>
    </row>
    <row r="2934" spans="3:6">
      <c r="C2934" s="1"/>
      <c r="D2934" s="1"/>
      <c r="E2934" s="1"/>
      <c r="F2934" s="1"/>
    </row>
    <row r="2935" spans="3:6">
      <c r="C2935" s="1"/>
      <c r="D2935" s="1"/>
      <c r="E2935" s="1"/>
      <c r="F2935" s="1"/>
    </row>
    <row r="2936" spans="3:6">
      <c r="C2936" s="1"/>
      <c r="D2936" s="1"/>
      <c r="E2936" s="1"/>
      <c r="F2936" s="1"/>
    </row>
    <row r="2937" spans="3:6">
      <c r="C2937" s="1"/>
      <c r="D2937" s="1"/>
      <c r="E2937" s="1"/>
      <c r="F2937" s="1"/>
    </row>
    <row r="2938" spans="3:6">
      <c r="C2938" s="1"/>
      <c r="D2938" s="1"/>
      <c r="E2938" s="1"/>
      <c r="F2938" s="1"/>
    </row>
    <row r="2939" spans="3:6">
      <c r="C2939" s="1"/>
      <c r="D2939" s="1"/>
      <c r="E2939" s="1"/>
      <c r="F2939" s="1"/>
    </row>
    <row r="2940" spans="3:6">
      <c r="C2940" s="1"/>
      <c r="D2940" s="1"/>
      <c r="E2940" s="1"/>
      <c r="F2940" s="1"/>
    </row>
    <row r="2941" spans="3:6">
      <c r="C2941" s="1"/>
      <c r="D2941" s="1"/>
      <c r="E2941" s="1"/>
      <c r="F2941" s="1"/>
    </row>
    <row r="2942" spans="3:6">
      <c r="C2942" s="1"/>
      <c r="D2942" s="1"/>
      <c r="E2942" s="1"/>
      <c r="F2942" s="1"/>
    </row>
    <row r="2943" spans="3:6">
      <c r="C2943" s="1"/>
      <c r="D2943" s="1"/>
      <c r="E2943" s="1"/>
      <c r="F2943" s="1"/>
    </row>
    <row r="2944" spans="3:6">
      <c r="C2944" s="1"/>
      <c r="D2944" s="1"/>
      <c r="E2944" s="1"/>
      <c r="F2944" s="1"/>
    </row>
    <row r="2945" spans="3:6">
      <c r="C2945" s="1"/>
      <c r="D2945" s="1"/>
      <c r="E2945" s="1"/>
      <c r="F2945" s="1"/>
    </row>
    <row r="2946" spans="3:6">
      <c r="C2946" s="1"/>
      <c r="D2946" s="1"/>
      <c r="E2946" s="1"/>
      <c r="F2946" s="1"/>
    </row>
    <row r="2947" spans="3:6">
      <c r="C2947" s="1"/>
      <c r="D2947" s="1"/>
      <c r="E2947" s="1"/>
      <c r="F2947" s="1"/>
    </row>
    <row r="2948" spans="3:6">
      <c r="C2948" s="1"/>
      <c r="D2948" s="1"/>
      <c r="E2948" s="1"/>
      <c r="F2948" s="1"/>
    </row>
    <row r="2949" spans="3:6">
      <c r="C2949" s="1"/>
      <c r="D2949" s="1"/>
      <c r="E2949" s="1"/>
      <c r="F2949" s="1"/>
    </row>
    <row r="2950" spans="3:6">
      <c r="C2950" s="1"/>
      <c r="D2950" s="1"/>
      <c r="E2950" s="1"/>
      <c r="F2950" s="1"/>
    </row>
    <row r="2951" spans="3:6">
      <c r="C2951" s="1"/>
      <c r="D2951" s="1"/>
      <c r="E2951" s="1"/>
      <c r="F2951" s="1"/>
    </row>
    <row r="2952" spans="3:6">
      <c r="C2952" s="1"/>
      <c r="D2952" s="1"/>
      <c r="E2952" s="1"/>
      <c r="F2952" s="1"/>
    </row>
    <row r="2953" spans="3:6">
      <c r="C2953" s="1"/>
      <c r="D2953" s="1"/>
      <c r="E2953" s="1"/>
      <c r="F2953" s="1"/>
    </row>
    <row r="2954" spans="3:6">
      <c r="C2954" s="1"/>
      <c r="D2954" s="1"/>
      <c r="E2954" s="1"/>
      <c r="F2954" s="1"/>
    </row>
    <row r="2955" spans="3:6">
      <c r="C2955" s="1"/>
      <c r="D2955" s="1"/>
      <c r="E2955" s="1"/>
      <c r="F2955" s="1"/>
    </row>
    <row r="2956" spans="3:6">
      <c r="C2956" s="1"/>
      <c r="D2956" s="1"/>
      <c r="E2956" s="1"/>
      <c r="F2956" s="1"/>
    </row>
    <row r="2957" spans="3:6">
      <c r="C2957" s="1"/>
      <c r="D2957" s="1"/>
      <c r="E2957" s="1"/>
      <c r="F2957" s="1"/>
    </row>
    <row r="2958" spans="3:6">
      <c r="C2958" s="1"/>
      <c r="D2958" s="1"/>
      <c r="E2958" s="1"/>
      <c r="F2958" s="1"/>
    </row>
    <row r="2959" spans="3:6">
      <c r="C2959" s="1"/>
      <c r="D2959" s="1"/>
      <c r="E2959" s="1"/>
      <c r="F2959" s="1"/>
    </row>
    <row r="2960" spans="3:6">
      <c r="C2960" s="1"/>
      <c r="D2960" s="1"/>
      <c r="E2960" s="1"/>
      <c r="F2960" s="1"/>
    </row>
    <row r="2961" spans="3:6">
      <c r="C2961" s="1"/>
      <c r="D2961" s="1"/>
      <c r="E2961" s="1"/>
      <c r="F2961" s="1"/>
    </row>
    <row r="2962" spans="3:6">
      <c r="C2962" s="1"/>
      <c r="D2962" s="1"/>
      <c r="E2962" s="1"/>
      <c r="F2962" s="1"/>
    </row>
    <row r="2963" spans="3:6">
      <c r="C2963" s="1"/>
      <c r="D2963" s="1"/>
      <c r="E2963" s="1"/>
      <c r="F2963" s="1"/>
    </row>
    <row r="2964" spans="3:6">
      <c r="C2964" s="1"/>
      <c r="D2964" s="1"/>
      <c r="E2964" s="1"/>
      <c r="F2964" s="1"/>
    </row>
    <row r="2965" spans="3:6">
      <c r="C2965" s="1"/>
      <c r="D2965" s="1"/>
      <c r="E2965" s="1"/>
      <c r="F2965" s="1"/>
    </row>
    <row r="2966" spans="3:6">
      <c r="C2966" s="1"/>
      <c r="D2966" s="1"/>
      <c r="E2966" s="1"/>
      <c r="F2966" s="1"/>
    </row>
    <row r="2967" spans="3:6">
      <c r="C2967" s="1"/>
      <c r="D2967" s="1"/>
      <c r="E2967" s="1"/>
      <c r="F2967" s="1"/>
    </row>
    <row r="2968" spans="3:6">
      <c r="C2968" s="1"/>
      <c r="D2968" s="1"/>
      <c r="E2968" s="1"/>
      <c r="F2968" s="1"/>
    </row>
    <row r="2969" spans="3:6">
      <c r="C2969" s="1"/>
      <c r="D2969" s="1"/>
      <c r="E2969" s="1"/>
      <c r="F2969" s="1"/>
    </row>
    <row r="2970" spans="3:6">
      <c r="C2970" s="1"/>
      <c r="D2970" s="1"/>
      <c r="E2970" s="1"/>
      <c r="F2970" s="1"/>
    </row>
    <row r="2971" spans="3:6">
      <c r="C2971" s="1"/>
      <c r="D2971" s="1"/>
      <c r="E2971" s="1"/>
      <c r="F2971" s="1"/>
    </row>
    <row r="2972" spans="3:6">
      <c r="C2972" s="1"/>
      <c r="D2972" s="1"/>
      <c r="E2972" s="1"/>
      <c r="F2972" s="1"/>
    </row>
    <row r="2973" spans="3:6">
      <c r="C2973" s="1"/>
      <c r="D2973" s="1"/>
      <c r="E2973" s="1"/>
      <c r="F2973" s="1"/>
    </row>
    <row r="2974" spans="3:6">
      <c r="C2974" s="1"/>
      <c r="D2974" s="1"/>
      <c r="E2974" s="1"/>
      <c r="F2974" s="1"/>
    </row>
    <row r="2975" spans="3:6">
      <c r="C2975" s="1"/>
      <c r="D2975" s="1"/>
      <c r="E2975" s="1"/>
      <c r="F2975" s="1"/>
    </row>
    <row r="2976" spans="3:6">
      <c r="C2976" s="1"/>
      <c r="D2976" s="1"/>
      <c r="E2976" s="1"/>
      <c r="F2976" s="1"/>
    </row>
    <row r="2977" spans="3:6">
      <c r="C2977" s="1"/>
      <c r="D2977" s="1"/>
      <c r="E2977" s="1"/>
      <c r="F2977" s="1"/>
    </row>
    <row r="2978" spans="3:6">
      <c r="C2978" s="1"/>
      <c r="D2978" s="1"/>
      <c r="E2978" s="1"/>
      <c r="F2978" s="1"/>
    </row>
    <row r="2979" spans="3:6">
      <c r="C2979" s="1"/>
      <c r="D2979" s="1"/>
      <c r="E2979" s="1"/>
      <c r="F2979" s="1"/>
    </row>
    <row r="2980" spans="3:6">
      <c r="C2980" s="1"/>
      <c r="D2980" s="1"/>
      <c r="E2980" s="1"/>
      <c r="F2980" s="1"/>
    </row>
    <row r="2981" spans="3:6">
      <c r="C2981" s="1"/>
      <c r="D2981" s="1"/>
      <c r="E2981" s="1"/>
      <c r="F2981" s="1"/>
    </row>
    <row r="2982" spans="3:6">
      <c r="C2982" s="1"/>
      <c r="D2982" s="1"/>
      <c r="E2982" s="1"/>
      <c r="F2982" s="1"/>
    </row>
    <row r="2983" spans="3:6">
      <c r="C2983" s="1"/>
      <c r="D2983" s="1"/>
      <c r="E2983" s="1"/>
      <c r="F2983" s="1"/>
    </row>
    <row r="2984" spans="3:6">
      <c r="C2984" s="1"/>
      <c r="D2984" s="1"/>
      <c r="E2984" s="1"/>
      <c r="F2984" s="1"/>
    </row>
    <row r="2985" spans="3:6">
      <c r="C2985" s="1"/>
      <c r="D2985" s="1"/>
      <c r="E2985" s="1"/>
      <c r="F2985" s="1"/>
    </row>
    <row r="2986" spans="3:6">
      <c r="C2986" s="1"/>
      <c r="D2986" s="1"/>
      <c r="E2986" s="1"/>
      <c r="F2986" s="1"/>
    </row>
    <row r="2987" spans="3:6">
      <c r="C2987" s="1"/>
      <c r="D2987" s="1"/>
      <c r="E2987" s="1"/>
      <c r="F2987" s="1"/>
    </row>
    <row r="2988" spans="3:6">
      <c r="C2988" s="1"/>
      <c r="D2988" s="1"/>
      <c r="E2988" s="1"/>
      <c r="F2988" s="1"/>
    </row>
    <row r="2989" spans="3:6">
      <c r="C2989" s="1"/>
      <c r="D2989" s="1"/>
      <c r="E2989" s="1"/>
      <c r="F2989" s="1"/>
    </row>
    <row r="2990" spans="3:6">
      <c r="C2990" s="1"/>
      <c r="D2990" s="1"/>
      <c r="E2990" s="1"/>
      <c r="F2990" s="1"/>
    </row>
    <row r="2991" spans="3:6">
      <c r="C2991" s="1"/>
      <c r="D2991" s="1"/>
      <c r="E2991" s="1"/>
      <c r="F2991" s="1"/>
    </row>
    <row r="2992" spans="3:6">
      <c r="C2992" s="1"/>
      <c r="D2992" s="1"/>
      <c r="E2992" s="1"/>
      <c r="F2992" s="1"/>
    </row>
    <row r="2993" spans="3:6">
      <c r="C2993" s="1"/>
      <c r="D2993" s="1"/>
      <c r="E2993" s="1"/>
      <c r="F2993" s="1"/>
    </row>
    <row r="2994" spans="3:6">
      <c r="C2994" s="1"/>
      <c r="D2994" s="1"/>
      <c r="E2994" s="1"/>
      <c r="F2994" s="1"/>
    </row>
    <row r="2995" spans="3:6">
      <c r="C2995" s="1"/>
      <c r="D2995" s="1"/>
      <c r="E2995" s="1"/>
      <c r="F2995" s="1"/>
    </row>
    <row r="2996" spans="3:6">
      <c r="C2996" s="1"/>
      <c r="D2996" s="1"/>
      <c r="E2996" s="1"/>
      <c r="F2996" s="1"/>
    </row>
    <row r="2997" spans="3:6">
      <c r="C2997" s="1"/>
      <c r="D2997" s="1"/>
      <c r="E2997" s="1"/>
      <c r="F2997" s="1"/>
    </row>
    <row r="2998" spans="3:6">
      <c r="C2998" s="1"/>
      <c r="D2998" s="1"/>
      <c r="E2998" s="1"/>
      <c r="F2998" s="1"/>
    </row>
    <row r="2999" spans="3:6">
      <c r="C2999" s="1"/>
      <c r="D2999" s="1"/>
      <c r="E2999" s="1"/>
      <c r="F2999" s="1"/>
    </row>
    <row r="3000" spans="3:6">
      <c r="C3000" s="1"/>
      <c r="D3000" s="1"/>
      <c r="E3000" s="1"/>
      <c r="F3000" s="1"/>
    </row>
    <row r="3001" spans="3:6">
      <c r="C3001" s="1"/>
      <c r="D3001" s="1"/>
      <c r="E3001" s="1"/>
      <c r="F3001" s="1"/>
    </row>
    <row r="3002" spans="3:6">
      <c r="C3002" s="1"/>
      <c r="D3002" s="1"/>
      <c r="E3002" s="1"/>
      <c r="F3002" s="1"/>
    </row>
    <row r="3003" spans="3:6">
      <c r="C3003" s="1"/>
      <c r="D3003" s="1"/>
      <c r="E3003" s="1"/>
      <c r="F3003" s="1"/>
    </row>
    <row r="3004" spans="3:6">
      <c r="C3004" s="1"/>
      <c r="D3004" s="1"/>
      <c r="E3004" s="1"/>
      <c r="F3004" s="1"/>
    </row>
    <row r="3005" spans="3:6">
      <c r="C3005" s="1"/>
      <c r="D3005" s="1"/>
      <c r="E3005" s="1"/>
      <c r="F3005" s="1"/>
    </row>
    <row r="3006" spans="3:6">
      <c r="C3006" s="1"/>
      <c r="D3006" s="1"/>
      <c r="E3006" s="1"/>
      <c r="F3006" s="1"/>
    </row>
    <row r="3007" spans="3:6">
      <c r="C3007" s="1"/>
      <c r="D3007" s="1"/>
      <c r="E3007" s="1"/>
      <c r="F3007" s="1"/>
    </row>
    <row r="3008" spans="3:6">
      <c r="C3008" s="1"/>
      <c r="D3008" s="1"/>
      <c r="E3008" s="1"/>
      <c r="F3008" s="1"/>
    </row>
    <row r="3009" spans="3:6">
      <c r="C3009" s="1"/>
      <c r="D3009" s="1"/>
      <c r="E3009" s="1"/>
      <c r="F3009" s="1"/>
    </row>
    <row r="3010" spans="3:6">
      <c r="C3010" s="1"/>
      <c r="D3010" s="1"/>
      <c r="E3010" s="1"/>
      <c r="F3010" s="1"/>
    </row>
    <row r="3011" spans="3:6">
      <c r="C3011" s="1"/>
      <c r="D3011" s="1"/>
      <c r="E3011" s="1"/>
      <c r="F3011" s="1"/>
    </row>
    <row r="3012" spans="3:6">
      <c r="C3012" s="1"/>
      <c r="D3012" s="1"/>
      <c r="E3012" s="1"/>
      <c r="F3012" s="1"/>
    </row>
    <row r="3013" spans="3:6">
      <c r="C3013" s="1"/>
      <c r="D3013" s="1"/>
      <c r="E3013" s="1"/>
      <c r="F3013" s="1"/>
    </row>
    <row r="3014" spans="3:6">
      <c r="C3014" s="1"/>
      <c r="D3014" s="1"/>
      <c r="E3014" s="1"/>
      <c r="F3014" s="1"/>
    </row>
    <row r="3015" spans="3:6">
      <c r="C3015" s="1"/>
      <c r="D3015" s="1"/>
      <c r="E3015" s="1"/>
      <c r="F3015" s="1"/>
    </row>
    <row r="3016" spans="3:6">
      <c r="C3016" s="1"/>
      <c r="D3016" s="1"/>
      <c r="E3016" s="1"/>
      <c r="F3016" s="1"/>
    </row>
    <row r="3017" spans="3:6">
      <c r="C3017" s="1"/>
      <c r="D3017" s="1"/>
      <c r="E3017" s="1"/>
      <c r="F3017" s="1"/>
    </row>
    <row r="3018" spans="3:6">
      <c r="C3018" s="1"/>
      <c r="D3018" s="1"/>
      <c r="E3018" s="1"/>
      <c r="F3018" s="1"/>
    </row>
    <row r="3019" spans="3:6">
      <c r="C3019" s="1"/>
      <c r="D3019" s="1"/>
      <c r="E3019" s="1"/>
      <c r="F3019" s="1"/>
    </row>
    <row r="3020" spans="3:6">
      <c r="C3020" s="1"/>
      <c r="D3020" s="1"/>
      <c r="E3020" s="1"/>
      <c r="F3020" s="1"/>
    </row>
    <row r="3021" spans="3:6">
      <c r="C3021" s="1"/>
      <c r="D3021" s="1"/>
      <c r="E3021" s="1"/>
      <c r="F3021" s="1"/>
    </row>
    <row r="3022" spans="3:6">
      <c r="C3022" s="1"/>
      <c r="D3022" s="1"/>
      <c r="E3022" s="1"/>
      <c r="F3022" s="1"/>
    </row>
    <row r="3023" spans="3:6">
      <c r="C3023" s="1"/>
      <c r="D3023" s="1"/>
      <c r="E3023" s="1"/>
      <c r="F3023" s="1"/>
    </row>
    <row r="3024" spans="3:6">
      <c r="C3024" s="1"/>
      <c r="D3024" s="1"/>
      <c r="E3024" s="1"/>
      <c r="F3024" s="1"/>
    </row>
    <row r="3025" spans="3:6">
      <c r="C3025" s="1"/>
      <c r="D3025" s="1"/>
      <c r="E3025" s="1"/>
      <c r="F3025" s="1"/>
    </row>
    <row r="3026" spans="3:6">
      <c r="C3026" s="1"/>
      <c r="D3026" s="1"/>
      <c r="E3026" s="1"/>
      <c r="F3026" s="1"/>
    </row>
    <row r="3027" spans="3:6">
      <c r="C3027" s="1"/>
      <c r="D3027" s="1"/>
      <c r="E3027" s="1"/>
      <c r="F3027" s="1"/>
    </row>
    <row r="3028" spans="3:6">
      <c r="C3028" s="1"/>
      <c r="D3028" s="1"/>
      <c r="E3028" s="1"/>
      <c r="F3028" s="1"/>
    </row>
    <row r="3029" spans="3:6">
      <c r="C3029" s="1"/>
      <c r="D3029" s="1"/>
      <c r="E3029" s="1"/>
      <c r="F3029" s="1"/>
    </row>
    <row r="3030" spans="3:6">
      <c r="C3030" s="1"/>
      <c r="D3030" s="1"/>
      <c r="E3030" s="1"/>
      <c r="F3030" s="1"/>
    </row>
    <row r="3031" spans="3:6">
      <c r="C3031" s="1"/>
      <c r="D3031" s="1"/>
      <c r="E3031" s="1"/>
      <c r="F3031" s="1"/>
    </row>
    <row r="3032" spans="3:6">
      <c r="C3032" s="1"/>
      <c r="D3032" s="1"/>
      <c r="E3032" s="1"/>
      <c r="F3032" s="1"/>
    </row>
    <row r="3033" spans="3:6">
      <c r="C3033" s="1"/>
      <c r="D3033" s="1"/>
      <c r="E3033" s="1"/>
      <c r="F3033" s="1"/>
    </row>
    <row r="3034" spans="3:6">
      <c r="C3034" s="1"/>
      <c r="D3034" s="1"/>
      <c r="E3034" s="1"/>
      <c r="F3034" s="1"/>
    </row>
    <row r="3035" spans="3:6">
      <c r="C3035" s="1"/>
      <c r="D3035" s="1"/>
      <c r="E3035" s="1"/>
      <c r="F3035" s="1"/>
    </row>
    <row r="3036" spans="3:6">
      <c r="C3036" s="1"/>
      <c r="D3036" s="1"/>
      <c r="E3036" s="1"/>
      <c r="F3036" s="1"/>
    </row>
    <row r="3037" spans="3:6">
      <c r="C3037" s="1"/>
      <c r="D3037" s="1"/>
      <c r="E3037" s="1"/>
      <c r="F3037" s="1"/>
    </row>
    <row r="3038" spans="3:6">
      <c r="C3038" s="1"/>
      <c r="D3038" s="1"/>
      <c r="E3038" s="1"/>
      <c r="F3038" s="1"/>
    </row>
    <row r="3039" spans="3:6">
      <c r="C3039" s="1"/>
      <c r="D3039" s="1"/>
      <c r="E3039" s="1"/>
      <c r="F3039" s="1"/>
    </row>
    <row r="3040" spans="3:6">
      <c r="C3040" s="1"/>
      <c r="D3040" s="1"/>
      <c r="E3040" s="1"/>
      <c r="F3040" s="1"/>
    </row>
    <row r="3041" spans="3:6">
      <c r="C3041" s="1"/>
      <c r="D3041" s="1"/>
      <c r="E3041" s="1"/>
      <c r="F3041" s="1"/>
    </row>
    <row r="3042" spans="3:6">
      <c r="C3042" s="1"/>
      <c r="D3042" s="1"/>
      <c r="E3042" s="1"/>
      <c r="F3042" s="1"/>
    </row>
    <row r="3043" spans="3:6">
      <c r="C3043" s="1"/>
      <c r="D3043" s="1"/>
      <c r="E3043" s="1"/>
      <c r="F3043" s="1"/>
    </row>
    <row r="3044" spans="3:6">
      <c r="C3044" s="1"/>
      <c r="D3044" s="1"/>
      <c r="E3044" s="1"/>
      <c r="F3044" s="1"/>
    </row>
    <row r="3045" spans="3:6">
      <c r="C3045" s="1"/>
      <c r="D3045" s="1"/>
      <c r="E3045" s="1"/>
      <c r="F3045" s="1"/>
    </row>
    <row r="3046" spans="3:6">
      <c r="C3046" s="1"/>
      <c r="D3046" s="1"/>
      <c r="E3046" s="1"/>
      <c r="F3046" s="1"/>
    </row>
    <row r="3047" spans="3:6">
      <c r="C3047" s="1"/>
      <c r="D3047" s="1"/>
      <c r="E3047" s="1"/>
      <c r="F3047" s="1"/>
    </row>
    <row r="3048" spans="3:6">
      <c r="C3048" s="1"/>
      <c r="D3048" s="1"/>
      <c r="E3048" s="1"/>
      <c r="F3048" s="1"/>
    </row>
    <row r="3049" spans="3:6">
      <c r="C3049" s="1"/>
      <c r="D3049" s="1"/>
      <c r="E3049" s="1"/>
      <c r="F3049" s="1"/>
    </row>
    <row r="3050" spans="3:6">
      <c r="C3050" s="1"/>
      <c r="D3050" s="1"/>
      <c r="E3050" s="1"/>
      <c r="F3050" s="1"/>
    </row>
    <row r="3051" spans="3:6">
      <c r="C3051" s="1"/>
      <c r="D3051" s="1"/>
      <c r="E3051" s="1"/>
      <c r="F3051" s="1"/>
    </row>
    <row r="3052" spans="3:6">
      <c r="C3052" s="1"/>
      <c r="D3052" s="1"/>
      <c r="E3052" s="1"/>
      <c r="F3052" s="1"/>
    </row>
    <row r="3053" spans="3:6">
      <c r="C3053" s="1"/>
      <c r="D3053" s="1"/>
      <c r="E3053" s="1"/>
      <c r="F3053" s="1"/>
    </row>
    <row r="3054" spans="3:6">
      <c r="C3054" s="1"/>
      <c r="D3054" s="1"/>
      <c r="E3054" s="1"/>
      <c r="F3054" s="1"/>
    </row>
    <row r="3055" spans="3:6">
      <c r="C3055" s="1"/>
      <c r="D3055" s="1"/>
      <c r="E3055" s="1"/>
      <c r="F3055" s="1"/>
    </row>
    <row r="3056" spans="3:6">
      <c r="C3056" s="1"/>
      <c r="D3056" s="1"/>
      <c r="E3056" s="1"/>
      <c r="F3056" s="1"/>
    </row>
    <row r="3057" spans="3:6">
      <c r="C3057" s="1"/>
      <c r="D3057" s="1"/>
      <c r="E3057" s="1"/>
      <c r="F3057" s="1"/>
    </row>
    <row r="3058" spans="3:6">
      <c r="C3058" s="1"/>
      <c r="D3058" s="1"/>
      <c r="E3058" s="1"/>
      <c r="F3058" s="1"/>
    </row>
    <row r="3059" spans="3:6">
      <c r="C3059" s="1"/>
      <c r="D3059" s="1"/>
      <c r="E3059" s="1"/>
      <c r="F3059" s="1"/>
    </row>
    <row r="3060" spans="3:6">
      <c r="C3060" s="1"/>
      <c r="D3060" s="1"/>
      <c r="E3060" s="1"/>
      <c r="F3060" s="1"/>
    </row>
    <row r="3061" spans="3:6">
      <c r="C3061" s="1"/>
      <c r="D3061" s="1"/>
      <c r="E3061" s="1"/>
      <c r="F3061" s="1"/>
    </row>
    <row r="3062" spans="3:6">
      <c r="C3062" s="1"/>
      <c r="D3062" s="1"/>
      <c r="E3062" s="1"/>
      <c r="F3062" s="1"/>
    </row>
    <row r="3063" spans="3:6">
      <c r="C3063" s="1"/>
      <c r="D3063" s="1"/>
      <c r="E3063" s="1"/>
      <c r="F3063" s="1"/>
    </row>
    <row r="3064" spans="3:6">
      <c r="C3064" s="1"/>
      <c r="D3064" s="1"/>
      <c r="E3064" s="1"/>
      <c r="F3064" s="1"/>
    </row>
    <row r="3065" spans="3:6">
      <c r="C3065" s="1"/>
      <c r="D3065" s="1"/>
      <c r="E3065" s="1"/>
      <c r="F3065" s="1"/>
    </row>
    <row r="3066" spans="3:6">
      <c r="C3066" s="1"/>
      <c r="D3066" s="1"/>
      <c r="E3066" s="1"/>
      <c r="F3066" s="1"/>
    </row>
    <row r="3067" spans="3:6">
      <c r="C3067" s="1"/>
      <c r="D3067" s="1"/>
      <c r="E3067" s="1"/>
      <c r="F3067" s="1"/>
    </row>
    <row r="3068" spans="3:6">
      <c r="C3068" s="1"/>
      <c r="D3068" s="1"/>
      <c r="E3068" s="1"/>
      <c r="F3068" s="1"/>
    </row>
    <row r="3069" spans="3:6">
      <c r="C3069" s="1"/>
      <c r="D3069" s="1"/>
      <c r="E3069" s="1"/>
      <c r="F3069" s="1"/>
    </row>
    <row r="3070" spans="3:6">
      <c r="C3070" s="1"/>
      <c r="D3070" s="1"/>
      <c r="E3070" s="1"/>
      <c r="F3070" s="1"/>
    </row>
    <row r="3071" spans="3:6">
      <c r="C3071" s="1"/>
      <c r="D3071" s="1"/>
      <c r="E3071" s="1"/>
      <c r="F3071" s="1"/>
    </row>
    <row r="3072" spans="3:6">
      <c r="C3072" s="1"/>
      <c r="D3072" s="1"/>
      <c r="E3072" s="1"/>
      <c r="F3072" s="1"/>
    </row>
    <row r="3073" spans="3:6">
      <c r="C3073" s="1"/>
      <c r="D3073" s="1"/>
      <c r="E3073" s="1"/>
      <c r="F3073" s="1"/>
    </row>
    <row r="3074" spans="3:6">
      <c r="C3074" s="1"/>
      <c r="D3074" s="1"/>
      <c r="E3074" s="1"/>
      <c r="F3074" s="1"/>
    </row>
    <row r="3075" spans="3:6">
      <c r="C3075" s="1"/>
      <c r="D3075" s="1"/>
      <c r="E3075" s="1"/>
      <c r="F3075" s="1"/>
    </row>
    <row r="3076" spans="3:6">
      <c r="C3076" s="1"/>
      <c r="D3076" s="1"/>
      <c r="E3076" s="1"/>
      <c r="F3076" s="1"/>
    </row>
    <row r="3077" spans="3:6">
      <c r="C3077" s="1"/>
      <c r="D3077" s="1"/>
      <c r="E3077" s="1"/>
      <c r="F3077" s="1"/>
    </row>
    <row r="3078" spans="3:6">
      <c r="C3078" s="1"/>
      <c r="D3078" s="1"/>
      <c r="E3078" s="1"/>
      <c r="F3078" s="1"/>
    </row>
    <row r="3079" spans="3:6">
      <c r="C3079" s="1"/>
      <c r="D3079" s="1"/>
      <c r="E3079" s="1"/>
      <c r="F3079" s="1"/>
    </row>
    <row r="3080" spans="3:6">
      <c r="C3080" s="1"/>
      <c r="D3080" s="1"/>
      <c r="E3080" s="1"/>
      <c r="F3080" s="1"/>
    </row>
    <row r="3081" spans="3:6">
      <c r="C3081" s="1"/>
      <c r="D3081" s="1"/>
      <c r="E3081" s="1"/>
      <c r="F3081" s="1"/>
    </row>
    <row r="3082" spans="3:6">
      <c r="C3082" s="1"/>
      <c r="D3082" s="1"/>
      <c r="E3082" s="1"/>
      <c r="F3082" s="1"/>
    </row>
    <row r="3083" spans="3:6">
      <c r="C3083" s="1"/>
      <c r="D3083" s="1"/>
      <c r="E3083" s="1"/>
      <c r="F3083" s="1"/>
    </row>
    <row r="3084" spans="3:6">
      <c r="C3084" s="1"/>
      <c r="D3084" s="1"/>
      <c r="E3084" s="1"/>
      <c r="F3084" s="1"/>
    </row>
    <row r="3085" spans="3:6">
      <c r="C3085" s="1"/>
      <c r="D3085" s="1"/>
      <c r="E3085" s="1"/>
      <c r="F3085" s="1"/>
    </row>
    <row r="3086" spans="3:6">
      <c r="C3086" s="1"/>
      <c r="D3086" s="1"/>
      <c r="E3086" s="1"/>
      <c r="F3086" s="1"/>
    </row>
    <row r="3087" spans="3:6">
      <c r="C3087" s="1"/>
      <c r="D3087" s="1"/>
      <c r="E3087" s="1"/>
      <c r="F3087" s="1"/>
    </row>
    <row r="3088" spans="3:6">
      <c r="C3088" s="1"/>
      <c r="D3088" s="1"/>
      <c r="E3088" s="1"/>
      <c r="F3088" s="1"/>
    </row>
    <row r="3089" spans="3:6">
      <c r="C3089" s="1"/>
      <c r="D3089" s="1"/>
      <c r="E3089" s="1"/>
      <c r="F3089" s="1"/>
    </row>
    <row r="3090" spans="3:6">
      <c r="C3090" s="1"/>
      <c r="D3090" s="1"/>
      <c r="E3090" s="1"/>
      <c r="F3090" s="1"/>
    </row>
    <row r="3091" spans="3:6">
      <c r="C3091" s="1"/>
      <c r="D3091" s="1"/>
      <c r="E3091" s="1"/>
      <c r="F3091" s="1"/>
    </row>
    <row r="3092" spans="3:6">
      <c r="C3092" s="1"/>
      <c r="D3092" s="1"/>
      <c r="E3092" s="1"/>
      <c r="F3092" s="1"/>
    </row>
    <row r="3093" spans="3:6">
      <c r="C3093" s="1"/>
      <c r="D3093" s="1"/>
      <c r="E3093" s="1"/>
      <c r="F3093" s="1"/>
    </row>
    <row r="3094" spans="3:6">
      <c r="C3094" s="1"/>
      <c r="D3094" s="1"/>
      <c r="E3094" s="1"/>
      <c r="F3094" s="1"/>
    </row>
    <row r="3095" spans="3:6">
      <c r="C3095" s="1"/>
      <c r="D3095" s="1"/>
      <c r="E3095" s="1"/>
      <c r="F3095" s="1"/>
    </row>
    <row r="3096" spans="3:6">
      <c r="C3096" s="1"/>
      <c r="D3096" s="1"/>
      <c r="E3096" s="1"/>
      <c r="F3096" s="1"/>
    </row>
    <row r="3097" spans="3:6">
      <c r="C3097" s="1"/>
      <c r="D3097" s="1"/>
      <c r="E3097" s="1"/>
      <c r="F3097" s="1"/>
    </row>
    <row r="3098" spans="3:6">
      <c r="C3098" s="1"/>
      <c r="D3098" s="1"/>
      <c r="E3098" s="1"/>
      <c r="F3098" s="1"/>
    </row>
    <row r="3099" spans="3:6">
      <c r="C3099" s="1"/>
      <c r="D3099" s="1"/>
      <c r="E3099" s="1"/>
      <c r="F3099" s="1"/>
    </row>
    <row r="3100" spans="3:6">
      <c r="C3100" s="1"/>
      <c r="D3100" s="1"/>
      <c r="E3100" s="1"/>
      <c r="F3100" s="1"/>
    </row>
    <row r="3101" spans="3:6">
      <c r="C3101" s="1"/>
      <c r="D3101" s="1"/>
      <c r="E3101" s="1"/>
      <c r="F3101" s="1"/>
    </row>
    <row r="3102" spans="3:6">
      <c r="C3102" s="1"/>
      <c r="D3102" s="1"/>
      <c r="E3102" s="1"/>
      <c r="F3102" s="1"/>
    </row>
    <row r="3103" spans="3:6">
      <c r="C3103" s="1"/>
      <c r="D3103" s="1"/>
      <c r="E3103" s="1"/>
      <c r="F3103" s="1"/>
    </row>
    <row r="3104" spans="3:6">
      <c r="C3104" s="1"/>
      <c r="D3104" s="1"/>
      <c r="E3104" s="1"/>
      <c r="F3104" s="1"/>
    </row>
    <row r="3105" spans="3:6">
      <c r="C3105" s="1"/>
      <c r="D3105" s="1"/>
      <c r="E3105" s="1"/>
      <c r="F3105" s="1"/>
    </row>
    <row r="3106" spans="3:6">
      <c r="C3106" s="1"/>
      <c r="D3106" s="1"/>
      <c r="E3106" s="1"/>
      <c r="F3106" s="1"/>
    </row>
    <row r="3107" spans="3:6">
      <c r="C3107" s="1"/>
      <c r="D3107" s="1"/>
      <c r="E3107" s="1"/>
      <c r="F3107" s="1"/>
    </row>
    <row r="3108" spans="3:6">
      <c r="C3108" s="1"/>
      <c r="D3108" s="1"/>
      <c r="E3108" s="1"/>
      <c r="F3108" s="1"/>
    </row>
    <row r="3109" spans="3:6">
      <c r="C3109" s="1"/>
      <c r="D3109" s="1"/>
      <c r="E3109" s="1"/>
      <c r="F3109" s="1"/>
    </row>
    <row r="3110" spans="3:6">
      <c r="C3110" s="1"/>
      <c r="D3110" s="1"/>
      <c r="E3110" s="1"/>
      <c r="F3110" s="1"/>
    </row>
    <row r="3111" spans="3:6">
      <c r="C3111" s="1"/>
      <c r="D3111" s="1"/>
      <c r="E3111" s="1"/>
      <c r="F3111" s="1"/>
    </row>
    <row r="3112" spans="3:6">
      <c r="C3112" s="1"/>
      <c r="D3112" s="1"/>
      <c r="E3112" s="1"/>
      <c r="F3112" s="1"/>
    </row>
    <row r="3113" spans="3:6">
      <c r="C3113" s="1"/>
      <c r="D3113" s="1"/>
      <c r="E3113" s="1"/>
      <c r="F3113" s="1"/>
    </row>
    <row r="3114" spans="3:6">
      <c r="C3114" s="1"/>
      <c r="D3114" s="1"/>
      <c r="E3114" s="1"/>
      <c r="F3114" s="1"/>
    </row>
    <row r="3115" spans="3:6">
      <c r="C3115" s="1"/>
      <c r="D3115" s="1"/>
      <c r="E3115" s="1"/>
      <c r="F3115" s="1"/>
    </row>
    <row r="3116" spans="3:6">
      <c r="C3116" s="1"/>
      <c r="D3116" s="1"/>
      <c r="E3116" s="1"/>
      <c r="F3116" s="1"/>
    </row>
    <row r="3117" spans="3:6">
      <c r="C3117" s="1"/>
      <c r="D3117" s="1"/>
      <c r="E3117" s="1"/>
      <c r="F3117" s="1"/>
    </row>
    <row r="3118" spans="3:6">
      <c r="C3118" s="1"/>
      <c r="D3118" s="1"/>
      <c r="E3118" s="1"/>
      <c r="F3118" s="1"/>
    </row>
    <row r="3119" spans="3:6">
      <c r="C3119" s="1"/>
      <c r="D3119" s="1"/>
      <c r="E3119" s="1"/>
      <c r="F3119" s="1"/>
    </row>
    <row r="3120" spans="3:6">
      <c r="C3120" s="1"/>
      <c r="D3120" s="1"/>
      <c r="E3120" s="1"/>
      <c r="F3120" s="1"/>
    </row>
    <row r="3121" spans="3:6">
      <c r="C3121" s="1"/>
      <c r="D3121" s="1"/>
      <c r="E3121" s="1"/>
      <c r="F3121" s="1"/>
    </row>
    <row r="3122" spans="3:6">
      <c r="C3122" s="1"/>
      <c r="D3122" s="1"/>
      <c r="E3122" s="1"/>
      <c r="F3122" s="1"/>
    </row>
    <row r="3123" spans="3:6">
      <c r="C3123" s="1"/>
      <c r="D3123" s="1"/>
      <c r="E3123" s="1"/>
      <c r="F3123" s="1"/>
    </row>
    <row r="3124" spans="3:6">
      <c r="C3124" s="1"/>
      <c r="D3124" s="1"/>
      <c r="E3124" s="1"/>
      <c r="F3124" s="1"/>
    </row>
    <row r="3125" spans="3:6">
      <c r="C3125" s="1"/>
      <c r="D3125" s="1"/>
      <c r="E3125" s="1"/>
      <c r="F3125" s="1"/>
    </row>
    <row r="3126" spans="3:6">
      <c r="C3126" s="1"/>
      <c r="D3126" s="1"/>
      <c r="E3126" s="1"/>
      <c r="F3126" s="1"/>
    </row>
    <row r="3127" spans="3:6">
      <c r="C3127" s="1"/>
      <c r="D3127" s="1"/>
      <c r="E3127" s="1"/>
      <c r="F3127" s="1"/>
    </row>
    <row r="3128" spans="3:6">
      <c r="C3128" s="1"/>
      <c r="D3128" s="1"/>
      <c r="E3128" s="1"/>
      <c r="F3128" s="1"/>
    </row>
    <row r="3129" spans="3:6">
      <c r="C3129" s="1"/>
      <c r="D3129" s="1"/>
      <c r="E3129" s="1"/>
      <c r="F3129" s="1"/>
    </row>
    <row r="3130" spans="3:6">
      <c r="C3130" s="1"/>
      <c r="D3130" s="1"/>
      <c r="E3130" s="1"/>
      <c r="F3130" s="1"/>
    </row>
    <row r="3131" spans="3:6">
      <c r="C3131" s="1"/>
      <c r="D3131" s="1"/>
      <c r="E3131" s="1"/>
      <c r="F3131" s="1"/>
    </row>
    <row r="3132" spans="3:6">
      <c r="C3132" s="1"/>
      <c r="D3132" s="1"/>
      <c r="E3132" s="1"/>
      <c r="F3132" s="1"/>
    </row>
    <row r="3133" spans="3:6">
      <c r="C3133" s="1"/>
      <c r="D3133" s="1"/>
      <c r="E3133" s="1"/>
      <c r="F3133" s="1"/>
    </row>
    <row r="3134" spans="3:6">
      <c r="C3134" s="1"/>
      <c r="D3134" s="1"/>
      <c r="E3134" s="1"/>
      <c r="F3134" s="1"/>
    </row>
    <row r="3135" spans="3:6">
      <c r="C3135" s="1"/>
      <c r="D3135" s="1"/>
      <c r="E3135" s="1"/>
      <c r="F3135" s="1"/>
    </row>
    <row r="3136" spans="3:6">
      <c r="C3136" s="1"/>
      <c r="D3136" s="1"/>
      <c r="E3136" s="1"/>
      <c r="F3136" s="1"/>
    </row>
    <row r="3137" spans="3:6">
      <c r="C3137" s="1"/>
      <c r="D3137" s="1"/>
      <c r="E3137" s="1"/>
      <c r="F3137" s="1"/>
    </row>
    <row r="3138" spans="3:6">
      <c r="C3138" s="1"/>
      <c r="D3138" s="1"/>
      <c r="E3138" s="1"/>
      <c r="F3138" s="1"/>
    </row>
    <row r="3139" spans="3:6">
      <c r="C3139" s="1"/>
      <c r="D3139" s="1"/>
      <c r="E3139" s="1"/>
      <c r="F3139" s="1"/>
    </row>
    <row r="3140" spans="3:6">
      <c r="C3140" s="1"/>
      <c r="D3140" s="1"/>
      <c r="E3140" s="1"/>
      <c r="F3140" s="1"/>
    </row>
    <row r="3141" spans="3:6">
      <c r="C3141" s="1"/>
      <c r="D3141" s="1"/>
      <c r="E3141" s="1"/>
      <c r="F3141" s="1"/>
    </row>
    <row r="3142" spans="3:6">
      <c r="C3142" s="1"/>
      <c r="D3142" s="1"/>
      <c r="E3142" s="1"/>
      <c r="F3142" s="1"/>
    </row>
    <row r="3143" spans="3:6">
      <c r="C3143" s="1"/>
      <c r="D3143" s="1"/>
      <c r="E3143" s="1"/>
      <c r="F3143" s="1"/>
    </row>
    <row r="3144" spans="3:6">
      <c r="C3144" s="1"/>
      <c r="D3144" s="1"/>
      <c r="E3144" s="1"/>
      <c r="F3144" s="1"/>
    </row>
    <row r="3145" spans="3:6">
      <c r="C3145" s="1"/>
      <c r="D3145" s="1"/>
      <c r="E3145" s="1"/>
      <c r="F3145" s="1"/>
    </row>
    <row r="3146" spans="3:6">
      <c r="C3146" s="1"/>
      <c r="D3146" s="1"/>
      <c r="E3146" s="1"/>
      <c r="F3146" s="1"/>
    </row>
    <row r="3147" spans="3:6">
      <c r="C3147" s="1"/>
      <c r="D3147" s="1"/>
      <c r="E3147" s="1"/>
      <c r="F3147" s="1"/>
    </row>
    <row r="3148" spans="3:6">
      <c r="C3148" s="1"/>
      <c r="D3148" s="1"/>
      <c r="E3148" s="1"/>
      <c r="F3148" s="1"/>
    </row>
    <row r="3149" spans="3:6">
      <c r="C3149" s="1"/>
      <c r="D3149" s="1"/>
      <c r="E3149" s="1"/>
      <c r="F3149" s="1"/>
    </row>
    <row r="3150" spans="3:6">
      <c r="C3150" s="1"/>
      <c r="D3150" s="1"/>
      <c r="E3150" s="1"/>
      <c r="F3150" s="1"/>
    </row>
    <row r="3151" spans="3:6">
      <c r="C3151" s="1"/>
      <c r="D3151" s="1"/>
      <c r="E3151" s="1"/>
      <c r="F3151" s="1"/>
    </row>
    <row r="3152" spans="3:6">
      <c r="C3152" s="1"/>
      <c r="D3152" s="1"/>
      <c r="E3152" s="1"/>
      <c r="F3152" s="1"/>
    </row>
    <row r="3153" spans="3:6">
      <c r="C3153" s="1"/>
      <c r="D3153" s="1"/>
      <c r="E3153" s="1"/>
      <c r="F3153" s="1"/>
    </row>
    <row r="3154" spans="3:6">
      <c r="C3154" s="1"/>
      <c r="D3154" s="1"/>
      <c r="E3154" s="1"/>
      <c r="F3154" s="1"/>
    </row>
    <row r="3155" spans="3:6">
      <c r="C3155" s="1"/>
      <c r="D3155" s="1"/>
      <c r="E3155" s="1"/>
      <c r="F3155" s="1"/>
    </row>
    <row r="3156" spans="3:6">
      <c r="C3156" s="1"/>
      <c r="D3156" s="1"/>
      <c r="E3156" s="1"/>
      <c r="F3156" s="1"/>
    </row>
    <row r="3157" spans="3:6">
      <c r="C3157" s="1"/>
      <c r="D3157" s="1"/>
      <c r="E3157" s="1"/>
      <c r="F3157" s="1"/>
    </row>
    <row r="3158" spans="3:6">
      <c r="C3158" s="1"/>
      <c r="D3158" s="1"/>
      <c r="E3158" s="1"/>
      <c r="F3158" s="1"/>
    </row>
    <row r="3159" spans="3:6">
      <c r="C3159" s="1"/>
      <c r="D3159" s="1"/>
      <c r="E3159" s="1"/>
      <c r="F3159" s="1"/>
    </row>
    <row r="3160" spans="3:6">
      <c r="C3160" s="1"/>
      <c r="D3160" s="1"/>
      <c r="E3160" s="1"/>
      <c r="F3160" s="1"/>
    </row>
    <row r="3161" spans="3:6">
      <c r="C3161" s="1"/>
      <c r="D3161" s="1"/>
      <c r="E3161" s="1"/>
      <c r="F3161" s="1"/>
    </row>
    <row r="3162" spans="3:6">
      <c r="C3162" s="1"/>
      <c r="D3162" s="1"/>
      <c r="E3162" s="1"/>
      <c r="F3162" s="1"/>
    </row>
    <row r="3163" spans="3:6">
      <c r="C3163" s="1"/>
      <c r="D3163" s="1"/>
      <c r="E3163" s="1"/>
      <c r="F3163" s="1"/>
    </row>
    <row r="3164" spans="3:6">
      <c r="C3164" s="1"/>
      <c r="D3164" s="1"/>
      <c r="E3164" s="1"/>
      <c r="F3164" s="1"/>
    </row>
    <row r="3165" spans="3:6">
      <c r="C3165" s="1"/>
      <c r="D3165" s="1"/>
      <c r="E3165" s="1"/>
      <c r="F3165" s="1"/>
    </row>
    <row r="3166" spans="3:6">
      <c r="C3166" s="1"/>
      <c r="D3166" s="1"/>
      <c r="E3166" s="1"/>
      <c r="F3166" s="1"/>
    </row>
    <row r="3167" spans="3:6">
      <c r="C3167" s="1"/>
      <c r="D3167" s="1"/>
      <c r="E3167" s="1"/>
      <c r="F3167" s="1"/>
    </row>
    <row r="3168" spans="3:6">
      <c r="C3168" s="1"/>
      <c r="D3168" s="1"/>
      <c r="E3168" s="1"/>
      <c r="F3168" s="1"/>
    </row>
    <row r="3169" spans="3:6">
      <c r="C3169" s="1"/>
      <c r="D3169" s="1"/>
      <c r="E3169" s="1"/>
      <c r="F3169" s="1"/>
    </row>
    <row r="3170" spans="3:6">
      <c r="C3170" s="1"/>
      <c r="D3170" s="1"/>
      <c r="E3170" s="1"/>
      <c r="F3170" s="1"/>
    </row>
    <row r="3171" spans="3:6">
      <c r="C3171" s="1"/>
      <c r="D3171" s="1"/>
      <c r="E3171" s="1"/>
      <c r="F3171" s="1"/>
    </row>
    <row r="3172" spans="3:6">
      <c r="C3172" s="1"/>
      <c r="D3172" s="1"/>
      <c r="E3172" s="1"/>
      <c r="F3172" s="1"/>
    </row>
    <row r="3173" spans="3:6">
      <c r="C3173" s="1"/>
      <c r="D3173" s="1"/>
      <c r="E3173" s="1"/>
      <c r="F3173" s="1"/>
    </row>
    <row r="3174" spans="3:6">
      <c r="C3174" s="1"/>
      <c r="D3174" s="1"/>
      <c r="E3174" s="1"/>
      <c r="F3174" s="1"/>
    </row>
    <row r="3175" spans="3:6">
      <c r="C3175" s="1"/>
      <c r="D3175" s="1"/>
      <c r="E3175" s="1"/>
      <c r="F3175" s="1"/>
    </row>
    <row r="3176" spans="3:6">
      <c r="C3176" s="1"/>
      <c r="D3176" s="1"/>
      <c r="E3176" s="1"/>
      <c r="F3176" s="1"/>
    </row>
    <row r="3177" spans="3:6">
      <c r="C3177" s="1"/>
      <c r="D3177" s="1"/>
      <c r="E3177" s="1"/>
      <c r="F3177" s="1"/>
    </row>
    <row r="3178" spans="3:6">
      <c r="C3178" s="1"/>
      <c r="D3178" s="1"/>
      <c r="E3178" s="1"/>
      <c r="F3178" s="1"/>
    </row>
    <row r="3179" spans="3:6">
      <c r="C3179" s="1"/>
      <c r="D3179" s="1"/>
      <c r="E3179" s="1"/>
      <c r="F3179" s="1"/>
    </row>
    <row r="3180" spans="3:6">
      <c r="C3180" s="1"/>
      <c r="D3180" s="1"/>
      <c r="E3180" s="1"/>
      <c r="F3180" s="1"/>
    </row>
    <row r="3181" spans="3:6">
      <c r="C3181" s="1"/>
      <c r="D3181" s="1"/>
      <c r="E3181" s="1"/>
      <c r="F3181" s="1"/>
    </row>
    <row r="3182" spans="3:6">
      <c r="C3182" s="1"/>
      <c r="D3182" s="1"/>
      <c r="E3182" s="1"/>
      <c r="F3182" s="1"/>
    </row>
    <row r="3183" spans="3:6">
      <c r="C3183" s="1"/>
      <c r="D3183" s="1"/>
      <c r="E3183" s="1"/>
      <c r="F3183" s="1"/>
    </row>
    <row r="3184" spans="3:6">
      <c r="C3184" s="1"/>
      <c r="D3184" s="1"/>
      <c r="E3184" s="1"/>
      <c r="F3184" s="1"/>
    </row>
    <row r="3185" spans="3:6">
      <c r="C3185" s="1"/>
      <c r="D3185" s="1"/>
      <c r="E3185" s="1"/>
      <c r="F3185" s="1"/>
    </row>
    <row r="3186" spans="3:6">
      <c r="C3186" s="1"/>
      <c r="D3186" s="1"/>
      <c r="E3186" s="1"/>
      <c r="F3186" s="1"/>
    </row>
    <row r="3187" spans="3:6">
      <c r="C3187" s="1"/>
      <c r="D3187" s="1"/>
      <c r="E3187" s="1"/>
      <c r="F3187" s="1"/>
    </row>
    <row r="3188" spans="3:6">
      <c r="C3188" s="1"/>
      <c r="D3188" s="1"/>
      <c r="E3188" s="1"/>
      <c r="F3188" s="1"/>
    </row>
    <row r="3189" spans="3:6">
      <c r="C3189" s="1"/>
      <c r="D3189" s="1"/>
      <c r="E3189" s="1"/>
      <c r="F3189" s="1"/>
    </row>
    <row r="3190" spans="3:6">
      <c r="C3190" s="1"/>
      <c r="D3190" s="1"/>
      <c r="E3190" s="1"/>
      <c r="F3190" s="1"/>
    </row>
    <row r="3191" spans="3:6">
      <c r="C3191" s="1"/>
      <c r="D3191" s="1"/>
      <c r="E3191" s="1"/>
      <c r="F3191" s="1"/>
    </row>
    <row r="3192" spans="3:6">
      <c r="C3192" s="1"/>
      <c r="D3192" s="1"/>
      <c r="E3192" s="1"/>
      <c r="F3192" s="1"/>
    </row>
    <row r="3193" spans="3:6">
      <c r="C3193" s="1"/>
      <c r="D3193" s="1"/>
      <c r="E3193" s="1"/>
      <c r="F3193" s="1"/>
    </row>
    <row r="3194" spans="3:6">
      <c r="C3194" s="1"/>
      <c r="D3194" s="1"/>
      <c r="E3194" s="1"/>
      <c r="F3194" s="1"/>
    </row>
    <row r="3195" spans="3:6">
      <c r="C3195" s="1"/>
      <c r="D3195" s="1"/>
      <c r="E3195" s="1"/>
      <c r="F3195" s="1"/>
    </row>
    <row r="3196" spans="3:6">
      <c r="C3196" s="1"/>
      <c r="D3196" s="1"/>
      <c r="E3196" s="1"/>
      <c r="F3196" s="1"/>
    </row>
    <row r="3197" spans="3:6">
      <c r="C3197" s="1"/>
      <c r="D3197" s="1"/>
      <c r="E3197" s="1"/>
      <c r="F3197" s="1"/>
    </row>
    <row r="3198" spans="3:6">
      <c r="C3198" s="1"/>
      <c r="D3198" s="1"/>
      <c r="E3198" s="1"/>
      <c r="F3198" s="1"/>
    </row>
    <row r="3199" spans="3:6">
      <c r="C3199" s="1"/>
      <c r="D3199" s="1"/>
      <c r="E3199" s="1"/>
      <c r="F3199" s="1"/>
    </row>
    <row r="3200" spans="3:6">
      <c r="C3200" s="1"/>
      <c r="D3200" s="1"/>
      <c r="E3200" s="1"/>
      <c r="F3200" s="1"/>
    </row>
    <row r="3201" spans="3:6">
      <c r="C3201" s="1"/>
      <c r="D3201" s="1"/>
      <c r="E3201" s="1"/>
      <c r="F3201" s="1"/>
    </row>
    <row r="3202" spans="3:6">
      <c r="C3202" s="1"/>
      <c r="D3202" s="1"/>
      <c r="E3202" s="1"/>
      <c r="F3202" s="1"/>
    </row>
    <row r="3203" spans="3:6">
      <c r="C3203" s="1"/>
      <c r="D3203" s="1"/>
      <c r="E3203" s="1"/>
      <c r="F3203" s="1"/>
    </row>
    <row r="3204" spans="3:6">
      <c r="C3204" s="1"/>
      <c r="D3204" s="1"/>
      <c r="E3204" s="1"/>
      <c r="F3204" s="1"/>
    </row>
    <row r="3205" spans="3:6">
      <c r="C3205" s="1"/>
      <c r="D3205" s="1"/>
      <c r="E3205" s="1"/>
      <c r="F3205" s="1"/>
    </row>
    <row r="3206" spans="3:6">
      <c r="C3206" s="1"/>
      <c r="D3206" s="1"/>
      <c r="E3206" s="1"/>
      <c r="F3206" s="1"/>
    </row>
    <row r="3207" spans="3:6">
      <c r="C3207" s="1"/>
      <c r="D3207" s="1"/>
      <c r="E3207" s="1"/>
      <c r="F3207" s="1"/>
    </row>
    <row r="3208" spans="3:6">
      <c r="C3208" s="1"/>
      <c r="D3208" s="1"/>
      <c r="E3208" s="1"/>
      <c r="F3208" s="1"/>
    </row>
    <row r="3209" spans="3:6">
      <c r="C3209" s="1"/>
      <c r="D3209" s="1"/>
      <c r="E3209" s="1"/>
      <c r="F3209" s="1"/>
    </row>
    <row r="3210" spans="3:6">
      <c r="C3210" s="1"/>
      <c r="D3210" s="1"/>
      <c r="E3210" s="1"/>
      <c r="F3210" s="1"/>
    </row>
    <row r="3211" spans="3:6">
      <c r="C3211" s="1"/>
      <c r="D3211" s="1"/>
      <c r="E3211" s="1"/>
      <c r="F3211" s="1"/>
    </row>
    <row r="3212" spans="3:6">
      <c r="C3212" s="1"/>
      <c r="D3212" s="1"/>
      <c r="E3212" s="1"/>
      <c r="F3212" s="1"/>
    </row>
    <row r="3213" spans="3:6">
      <c r="C3213" s="1"/>
      <c r="D3213" s="1"/>
      <c r="E3213" s="1"/>
      <c r="F3213" s="1"/>
    </row>
    <row r="3214" spans="3:6">
      <c r="C3214" s="1"/>
      <c r="D3214" s="1"/>
      <c r="E3214" s="1"/>
      <c r="F3214" s="1"/>
    </row>
    <row r="3215" spans="3:6">
      <c r="C3215" s="1"/>
      <c r="D3215" s="1"/>
      <c r="E3215" s="1"/>
      <c r="F3215" s="1"/>
    </row>
    <row r="3216" spans="3:6">
      <c r="C3216" s="1"/>
      <c r="D3216" s="1"/>
      <c r="E3216" s="1"/>
      <c r="F3216" s="1"/>
    </row>
    <row r="3217" spans="3:6">
      <c r="C3217" s="1"/>
      <c r="D3217" s="1"/>
      <c r="E3217" s="1"/>
      <c r="F3217" s="1"/>
    </row>
    <row r="3218" spans="3:6">
      <c r="C3218" s="1"/>
      <c r="D3218" s="1"/>
      <c r="E3218" s="1"/>
      <c r="F3218" s="1"/>
    </row>
    <row r="3219" spans="3:6">
      <c r="C3219" s="1"/>
      <c r="D3219" s="1"/>
      <c r="E3219" s="1"/>
      <c r="F3219" s="1"/>
    </row>
    <row r="3220" spans="3:6">
      <c r="C3220" s="1"/>
      <c r="D3220" s="1"/>
      <c r="E3220" s="1"/>
      <c r="F3220" s="1"/>
    </row>
    <row r="3221" spans="3:6">
      <c r="C3221" s="1"/>
      <c r="D3221" s="1"/>
      <c r="E3221" s="1"/>
      <c r="F3221" s="1"/>
    </row>
    <row r="3222" spans="3:6">
      <c r="C3222" s="1"/>
      <c r="D3222" s="1"/>
      <c r="E3222" s="1"/>
      <c r="F3222" s="1"/>
    </row>
    <row r="3223" spans="3:6">
      <c r="C3223" s="1"/>
      <c r="D3223" s="1"/>
      <c r="E3223" s="1"/>
      <c r="F3223" s="1"/>
    </row>
    <row r="3224" spans="3:6">
      <c r="C3224" s="1"/>
      <c r="D3224" s="1"/>
      <c r="E3224" s="1"/>
      <c r="F3224" s="1"/>
    </row>
    <row r="3225" spans="3:6">
      <c r="C3225" s="1"/>
      <c r="D3225" s="1"/>
      <c r="E3225" s="1"/>
      <c r="F3225" s="1"/>
    </row>
    <row r="3226" spans="3:6">
      <c r="C3226" s="1"/>
      <c r="D3226" s="1"/>
      <c r="E3226" s="1"/>
      <c r="F3226" s="1"/>
    </row>
    <row r="3227" spans="3:6">
      <c r="C3227" s="1"/>
      <c r="D3227" s="1"/>
      <c r="E3227" s="1"/>
      <c r="F3227" s="1"/>
    </row>
    <row r="3228" spans="3:6">
      <c r="C3228" s="1"/>
      <c r="D3228" s="1"/>
      <c r="E3228" s="1"/>
      <c r="F3228" s="1"/>
    </row>
    <row r="3229" spans="3:6">
      <c r="C3229" s="1"/>
      <c r="D3229" s="1"/>
      <c r="E3229" s="1"/>
      <c r="F3229" s="1"/>
    </row>
    <row r="3230" spans="3:6">
      <c r="C3230" s="1"/>
      <c r="D3230" s="1"/>
      <c r="E3230" s="1"/>
      <c r="F3230" s="1"/>
    </row>
    <row r="3231" spans="3:6">
      <c r="C3231" s="1"/>
      <c r="D3231" s="1"/>
      <c r="E3231" s="1"/>
      <c r="F3231" s="1"/>
    </row>
    <row r="3232" spans="3:6">
      <c r="C3232" s="1"/>
      <c r="D3232" s="1"/>
      <c r="E3232" s="1"/>
      <c r="F3232" s="1"/>
    </row>
    <row r="3233" spans="3:6">
      <c r="C3233" s="1"/>
      <c r="D3233" s="1"/>
      <c r="E3233" s="1"/>
      <c r="F3233" s="1"/>
    </row>
    <row r="3234" spans="3:6">
      <c r="C3234" s="1"/>
      <c r="D3234" s="1"/>
      <c r="E3234" s="1"/>
      <c r="F3234" s="1"/>
    </row>
    <row r="3235" spans="3:6">
      <c r="C3235" s="1"/>
      <c r="D3235" s="1"/>
      <c r="E3235" s="1"/>
      <c r="F3235" s="1"/>
    </row>
    <row r="3236" spans="3:6">
      <c r="C3236" s="1"/>
      <c r="D3236" s="1"/>
      <c r="E3236" s="1"/>
      <c r="F3236" s="1"/>
    </row>
    <row r="3237" spans="3:6">
      <c r="C3237" s="1"/>
      <c r="D3237" s="1"/>
      <c r="E3237" s="1"/>
      <c r="F3237" s="1"/>
    </row>
    <row r="3238" spans="3:6">
      <c r="C3238" s="1"/>
      <c r="D3238" s="1"/>
      <c r="E3238" s="1"/>
      <c r="F3238" s="1"/>
    </row>
    <row r="3239" spans="3:6">
      <c r="C3239" s="1"/>
      <c r="D3239" s="1"/>
      <c r="E3239" s="1"/>
      <c r="F3239" s="1"/>
    </row>
    <row r="3240" spans="3:6">
      <c r="C3240" s="1"/>
      <c r="D3240" s="1"/>
      <c r="E3240" s="1"/>
      <c r="F3240" s="1"/>
    </row>
    <row r="3241" spans="3:6">
      <c r="C3241" s="1"/>
      <c r="D3241" s="1"/>
      <c r="E3241" s="1"/>
      <c r="F3241" s="1"/>
    </row>
    <row r="3242" spans="3:6">
      <c r="C3242" s="1"/>
      <c r="D3242" s="1"/>
      <c r="E3242" s="1"/>
      <c r="F3242" s="1"/>
    </row>
    <row r="3243" spans="3:6">
      <c r="C3243" s="1"/>
      <c r="D3243" s="1"/>
      <c r="E3243" s="1"/>
      <c r="F3243" s="1"/>
    </row>
    <row r="3244" spans="3:6">
      <c r="C3244" s="1"/>
      <c r="D3244" s="1"/>
      <c r="E3244" s="1"/>
      <c r="F3244" s="1"/>
    </row>
    <row r="3245" spans="3:6">
      <c r="C3245" s="1"/>
      <c r="D3245" s="1"/>
      <c r="E3245" s="1"/>
      <c r="F3245" s="1"/>
    </row>
    <row r="3246" spans="3:6">
      <c r="C3246" s="1"/>
      <c r="D3246" s="1"/>
      <c r="E3246" s="1"/>
      <c r="F3246" s="1"/>
    </row>
    <row r="3247" spans="3:6">
      <c r="C3247" s="1"/>
      <c r="D3247" s="1"/>
      <c r="E3247" s="1"/>
      <c r="F3247" s="1"/>
    </row>
    <row r="3248" spans="3:6">
      <c r="C3248" s="1"/>
      <c r="D3248" s="1"/>
      <c r="E3248" s="1"/>
      <c r="F3248" s="1"/>
    </row>
    <row r="3249" spans="3:6">
      <c r="C3249" s="1"/>
      <c r="D3249" s="1"/>
      <c r="E3249" s="1"/>
      <c r="F3249" s="1"/>
    </row>
    <row r="3250" spans="3:6">
      <c r="C3250" s="1"/>
      <c r="D3250" s="1"/>
      <c r="E3250" s="1"/>
      <c r="F3250" s="1"/>
    </row>
    <row r="3251" spans="3:6">
      <c r="C3251" s="1"/>
      <c r="D3251" s="1"/>
      <c r="E3251" s="1"/>
      <c r="F3251" s="1"/>
    </row>
    <row r="3252" spans="3:6">
      <c r="C3252" s="1"/>
      <c r="D3252" s="1"/>
      <c r="E3252" s="1"/>
      <c r="F3252" s="1"/>
    </row>
    <row r="3253" spans="3:6">
      <c r="C3253" s="1"/>
      <c r="D3253" s="1"/>
      <c r="E3253" s="1"/>
      <c r="F3253" s="1"/>
    </row>
    <row r="3254" spans="3:6">
      <c r="C3254" s="1"/>
      <c r="D3254" s="1"/>
      <c r="E3254" s="1"/>
      <c r="F3254" s="1"/>
    </row>
    <row r="3255" spans="3:6">
      <c r="C3255" s="1"/>
      <c r="D3255" s="1"/>
      <c r="E3255" s="1"/>
      <c r="F3255" s="1"/>
    </row>
    <row r="3256" spans="3:6">
      <c r="C3256" s="1"/>
      <c r="D3256" s="1"/>
      <c r="E3256" s="1"/>
      <c r="F3256" s="1"/>
    </row>
    <row r="3257" spans="3:6">
      <c r="C3257" s="1"/>
      <c r="D3257" s="1"/>
      <c r="E3257" s="1"/>
      <c r="F3257" s="1"/>
    </row>
    <row r="3258" spans="3:6">
      <c r="C3258" s="1"/>
      <c r="D3258" s="1"/>
      <c r="E3258" s="1"/>
      <c r="F3258" s="1"/>
    </row>
    <row r="3259" spans="3:6">
      <c r="C3259" s="1"/>
      <c r="D3259" s="1"/>
      <c r="E3259" s="1"/>
      <c r="F3259" s="1"/>
    </row>
    <row r="3260" spans="3:6">
      <c r="C3260" s="1"/>
      <c r="D3260" s="1"/>
      <c r="E3260" s="1"/>
      <c r="F3260" s="1"/>
    </row>
    <row r="3261" spans="3:6">
      <c r="C3261" s="1"/>
      <c r="D3261" s="1"/>
      <c r="E3261" s="1"/>
      <c r="F3261" s="1"/>
    </row>
    <row r="3262" spans="3:6">
      <c r="C3262" s="1"/>
      <c r="D3262" s="1"/>
      <c r="E3262" s="1"/>
      <c r="F3262" s="1"/>
    </row>
    <row r="3263" spans="3:6">
      <c r="C3263" s="1"/>
      <c r="D3263" s="1"/>
      <c r="E3263" s="1"/>
      <c r="F3263" s="1"/>
    </row>
    <row r="3264" spans="3:6">
      <c r="C3264" s="1"/>
      <c r="D3264" s="1"/>
      <c r="E3264" s="1"/>
      <c r="F3264" s="1"/>
    </row>
    <row r="3265" spans="3:6">
      <c r="C3265" s="1"/>
      <c r="D3265" s="1"/>
      <c r="E3265" s="1"/>
      <c r="F3265" s="1"/>
    </row>
    <row r="3266" spans="3:6">
      <c r="C3266" s="1"/>
      <c r="D3266" s="1"/>
      <c r="E3266" s="1"/>
      <c r="F3266" s="1"/>
    </row>
    <row r="3267" spans="3:6">
      <c r="C3267" s="1"/>
      <c r="D3267" s="1"/>
      <c r="E3267" s="1"/>
      <c r="F3267" s="1"/>
    </row>
    <row r="3268" spans="3:6">
      <c r="C3268" s="1"/>
      <c r="D3268" s="1"/>
      <c r="E3268" s="1"/>
      <c r="F3268" s="1"/>
    </row>
    <row r="3269" spans="3:6">
      <c r="C3269" s="1"/>
      <c r="D3269" s="1"/>
      <c r="E3269" s="1"/>
      <c r="F3269" s="1"/>
    </row>
    <row r="3270" spans="3:6">
      <c r="C3270" s="1"/>
      <c r="D3270" s="1"/>
      <c r="E3270" s="1"/>
      <c r="F3270" s="1"/>
    </row>
    <row r="3271" spans="3:6">
      <c r="C3271" s="1"/>
      <c r="D3271" s="1"/>
      <c r="E3271" s="1"/>
      <c r="F3271" s="1"/>
    </row>
    <row r="3272" spans="3:6">
      <c r="C3272" s="1"/>
      <c r="D3272" s="1"/>
      <c r="E3272" s="1"/>
      <c r="F3272" s="1"/>
    </row>
    <row r="3273" spans="3:6">
      <c r="C3273" s="1"/>
      <c r="D3273" s="1"/>
      <c r="E3273" s="1"/>
      <c r="F3273" s="1"/>
    </row>
    <row r="3274" spans="3:6">
      <c r="C3274" s="1"/>
      <c r="D3274" s="1"/>
      <c r="E3274" s="1"/>
      <c r="F3274" s="1"/>
    </row>
    <row r="3275" spans="3:6">
      <c r="C3275" s="1"/>
      <c r="D3275" s="1"/>
      <c r="E3275" s="1"/>
      <c r="F3275" s="1"/>
    </row>
    <row r="3276" spans="3:6">
      <c r="C3276" s="1"/>
      <c r="D3276" s="1"/>
      <c r="E3276" s="1"/>
      <c r="F3276" s="1"/>
    </row>
    <row r="3277" spans="3:6">
      <c r="C3277" s="1"/>
      <c r="D3277" s="1"/>
      <c r="E3277" s="1"/>
      <c r="F3277" s="1"/>
    </row>
    <row r="3278" spans="3:6">
      <c r="C3278" s="1"/>
      <c r="D3278" s="1"/>
      <c r="E3278" s="1"/>
      <c r="F3278" s="1"/>
    </row>
    <row r="3279" spans="3:6">
      <c r="C3279" s="1"/>
      <c r="D3279" s="1"/>
      <c r="E3279" s="1"/>
      <c r="F3279" s="1"/>
    </row>
    <row r="3280" spans="3:6">
      <c r="C3280" s="1"/>
      <c r="D3280" s="1"/>
      <c r="E3280" s="1"/>
      <c r="F3280" s="1"/>
    </row>
    <row r="3281" spans="3:6">
      <c r="C3281" s="1"/>
      <c r="D3281" s="1"/>
      <c r="E3281" s="1"/>
      <c r="F3281" s="1"/>
    </row>
    <row r="3282" spans="3:6">
      <c r="C3282" s="1"/>
      <c r="D3282" s="1"/>
      <c r="E3282" s="1"/>
      <c r="F3282" s="1"/>
    </row>
    <row r="3283" spans="3:6">
      <c r="C3283" s="1"/>
      <c r="D3283" s="1"/>
      <c r="E3283" s="1"/>
      <c r="F3283" s="1"/>
    </row>
    <row r="3284" spans="3:6">
      <c r="C3284" s="1"/>
      <c r="D3284" s="1"/>
      <c r="E3284" s="1"/>
      <c r="F3284" s="1"/>
    </row>
    <row r="3285" spans="3:6">
      <c r="C3285" s="1"/>
      <c r="D3285" s="1"/>
      <c r="E3285" s="1"/>
      <c r="F3285" s="1"/>
    </row>
    <row r="3286" spans="3:6">
      <c r="C3286" s="1"/>
      <c r="D3286" s="1"/>
      <c r="E3286" s="1"/>
      <c r="F3286" s="1"/>
    </row>
    <row r="3287" spans="3:6">
      <c r="C3287" s="1"/>
      <c r="D3287" s="1"/>
      <c r="E3287" s="1"/>
      <c r="F3287" s="1"/>
    </row>
    <row r="3288" spans="3:6">
      <c r="C3288" s="1"/>
      <c r="D3288" s="1"/>
      <c r="E3288" s="1"/>
      <c r="F3288" s="1"/>
    </row>
    <row r="3289" spans="3:6">
      <c r="C3289" s="1"/>
      <c r="D3289" s="1"/>
      <c r="E3289" s="1"/>
      <c r="F3289" s="1"/>
    </row>
    <row r="3290" spans="3:6">
      <c r="C3290" s="1"/>
      <c r="D3290" s="1"/>
      <c r="E3290" s="1"/>
      <c r="F3290" s="1"/>
    </row>
    <row r="3291" spans="3:6">
      <c r="C3291" s="1"/>
      <c r="D3291" s="1"/>
      <c r="E3291" s="1"/>
      <c r="F3291" s="1"/>
    </row>
    <row r="3292" spans="3:6">
      <c r="C3292" s="1"/>
      <c r="D3292" s="1"/>
      <c r="E3292" s="1"/>
      <c r="F3292" s="1"/>
    </row>
    <row r="3293" spans="3:6">
      <c r="C3293" s="1"/>
      <c r="D3293" s="1"/>
      <c r="E3293" s="1"/>
      <c r="F3293" s="1"/>
    </row>
    <row r="3294" spans="3:6">
      <c r="C3294" s="1"/>
      <c r="D3294" s="1"/>
      <c r="E3294" s="1"/>
      <c r="F3294" s="1"/>
    </row>
    <row r="3295" spans="3:6">
      <c r="C3295" s="1"/>
      <c r="D3295" s="1"/>
      <c r="E3295" s="1"/>
      <c r="F3295" s="1"/>
    </row>
    <row r="3296" spans="3:6">
      <c r="C3296" s="1"/>
      <c r="D3296" s="1"/>
      <c r="E3296" s="1"/>
      <c r="F3296" s="1"/>
    </row>
    <row r="3297" spans="3:6">
      <c r="C3297" s="1"/>
      <c r="D3297" s="1"/>
      <c r="E3297" s="1"/>
      <c r="F3297" s="1"/>
    </row>
    <row r="3298" spans="3:6">
      <c r="C3298" s="1"/>
      <c r="D3298" s="1"/>
      <c r="E3298" s="1"/>
      <c r="F3298" s="1"/>
    </row>
    <row r="3299" spans="3:6">
      <c r="C3299" s="1"/>
      <c r="D3299" s="1"/>
      <c r="E3299" s="1"/>
      <c r="F3299" s="1"/>
    </row>
    <row r="3300" spans="3:6">
      <c r="C3300" s="1"/>
      <c r="D3300" s="1"/>
      <c r="E3300" s="1"/>
      <c r="F3300" s="1"/>
    </row>
    <row r="3301" spans="3:6">
      <c r="C3301" s="1"/>
      <c r="D3301" s="1"/>
      <c r="E3301" s="1"/>
      <c r="F3301" s="1"/>
    </row>
    <row r="3302" spans="3:6">
      <c r="C3302" s="1"/>
      <c r="D3302" s="1"/>
      <c r="E3302" s="1"/>
      <c r="F3302" s="1"/>
    </row>
    <row r="3303" spans="3:6">
      <c r="C3303" s="1"/>
      <c r="D3303" s="1"/>
      <c r="E3303" s="1"/>
      <c r="F3303" s="1"/>
    </row>
    <row r="3304" spans="3:6">
      <c r="C3304" s="1"/>
      <c r="D3304" s="1"/>
      <c r="E3304" s="1"/>
      <c r="F3304" s="1"/>
    </row>
    <row r="3305" spans="3:6">
      <c r="C3305" s="1"/>
      <c r="D3305" s="1"/>
      <c r="E3305" s="1"/>
      <c r="F3305" s="1"/>
    </row>
    <row r="3306" spans="3:6">
      <c r="C3306" s="1"/>
      <c r="D3306" s="1"/>
      <c r="E3306" s="1"/>
      <c r="F3306" s="1"/>
    </row>
    <row r="3307" spans="3:6">
      <c r="C3307" s="1"/>
      <c r="D3307" s="1"/>
      <c r="E3307" s="1"/>
      <c r="F3307" s="1"/>
    </row>
    <row r="3308" spans="3:6">
      <c r="C3308" s="1"/>
      <c r="D3308" s="1"/>
      <c r="E3308" s="1"/>
      <c r="F3308" s="1"/>
    </row>
    <row r="3309" spans="3:6">
      <c r="C3309" s="1"/>
      <c r="D3309" s="1"/>
      <c r="E3309" s="1"/>
      <c r="F3309" s="1"/>
    </row>
    <row r="3310" spans="3:6">
      <c r="C3310" s="1"/>
      <c r="D3310" s="1"/>
      <c r="E3310" s="1"/>
      <c r="F3310" s="1"/>
    </row>
    <row r="3311" spans="3:6">
      <c r="C3311" s="1"/>
      <c r="D3311" s="1"/>
      <c r="E3311" s="1"/>
      <c r="F3311" s="1"/>
    </row>
    <row r="3312" spans="3:6">
      <c r="C3312" s="1"/>
      <c r="D3312" s="1"/>
      <c r="E3312" s="1"/>
      <c r="F3312" s="1"/>
    </row>
    <row r="3313" spans="3:6">
      <c r="C3313" s="1"/>
      <c r="D3313" s="1"/>
      <c r="E3313" s="1"/>
      <c r="F3313" s="1"/>
    </row>
    <row r="3314" spans="3:6">
      <c r="C3314" s="1"/>
      <c r="D3314" s="1"/>
      <c r="E3314" s="1"/>
      <c r="F3314" s="1"/>
    </row>
    <row r="3315" spans="3:6">
      <c r="C3315" s="1"/>
      <c r="D3315" s="1"/>
      <c r="E3315" s="1"/>
      <c r="F3315" s="1"/>
    </row>
    <row r="3316" spans="3:6">
      <c r="C3316" s="1"/>
      <c r="D3316" s="1"/>
      <c r="E3316" s="1"/>
      <c r="F3316" s="1"/>
    </row>
    <row r="3317" spans="3:6">
      <c r="C3317" s="1"/>
      <c r="D3317" s="1"/>
      <c r="E3317" s="1"/>
      <c r="F3317" s="1"/>
    </row>
    <row r="3318" spans="3:6">
      <c r="C3318" s="1"/>
      <c r="D3318" s="1"/>
      <c r="E3318" s="1"/>
      <c r="F3318" s="1"/>
    </row>
    <row r="3319" spans="3:6">
      <c r="C3319" s="1"/>
      <c r="D3319" s="1"/>
      <c r="E3319" s="1"/>
      <c r="F3319" s="1"/>
    </row>
    <row r="3320" spans="3:6">
      <c r="C3320" s="1"/>
      <c r="D3320" s="1"/>
      <c r="E3320" s="1"/>
      <c r="F3320" s="1"/>
    </row>
    <row r="3321" spans="3:6">
      <c r="C3321" s="1"/>
      <c r="D3321" s="1"/>
      <c r="E3321" s="1"/>
      <c r="F3321" s="1"/>
    </row>
    <row r="3322" spans="3:6">
      <c r="C3322" s="1"/>
      <c r="D3322" s="1"/>
      <c r="E3322" s="1"/>
      <c r="F3322" s="1"/>
    </row>
    <row r="3323" spans="3:6">
      <c r="C3323" s="1"/>
      <c r="D3323" s="1"/>
      <c r="E3323" s="1"/>
      <c r="F3323" s="1"/>
    </row>
    <row r="3324" spans="3:6">
      <c r="C3324" s="1"/>
      <c r="D3324" s="1"/>
      <c r="E3324" s="1"/>
      <c r="F3324" s="1"/>
    </row>
    <row r="3325" spans="3:6">
      <c r="C3325" s="1"/>
      <c r="D3325" s="1"/>
      <c r="E3325" s="1"/>
      <c r="F3325" s="1"/>
    </row>
    <row r="3326" spans="3:6">
      <c r="C3326" s="1"/>
      <c r="D3326" s="1"/>
      <c r="E3326" s="1"/>
      <c r="F3326" s="1"/>
    </row>
    <row r="3327" spans="3:6">
      <c r="C3327" s="1"/>
      <c r="D3327" s="1"/>
      <c r="E3327" s="1"/>
      <c r="F3327" s="1"/>
    </row>
    <row r="3328" spans="3:6">
      <c r="C3328" s="1"/>
      <c r="D3328" s="1"/>
      <c r="E3328" s="1"/>
      <c r="F3328" s="1"/>
    </row>
    <row r="3329" spans="3:6">
      <c r="C3329" s="1"/>
      <c r="D3329" s="1"/>
      <c r="E3329" s="1"/>
      <c r="F3329" s="1"/>
    </row>
    <row r="3330" spans="3:6">
      <c r="C3330" s="1"/>
      <c r="D3330" s="1"/>
      <c r="E3330" s="1"/>
      <c r="F3330" s="1"/>
    </row>
    <row r="3331" spans="3:6">
      <c r="C3331" s="1"/>
      <c r="D3331" s="1"/>
      <c r="E3331" s="1"/>
      <c r="F3331" s="1"/>
    </row>
    <row r="3332" spans="3:6">
      <c r="C3332" s="1"/>
      <c r="D3332" s="1"/>
      <c r="E3332" s="1"/>
      <c r="F3332" s="1"/>
    </row>
    <row r="3333" spans="3:6">
      <c r="C3333" s="1"/>
      <c r="D3333" s="1"/>
      <c r="E3333" s="1"/>
      <c r="F3333" s="1"/>
    </row>
    <row r="3334" spans="3:6">
      <c r="C3334" s="1"/>
      <c r="D3334" s="1"/>
      <c r="E3334" s="1"/>
      <c r="F3334" s="1"/>
    </row>
    <row r="3335" spans="3:6">
      <c r="C3335" s="1"/>
      <c r="D3335" s="1"/>
      <c r="E3335" s="1"/>
      <c r="F3335" s="1"/>
    </row>
    <row r="3336" spans="3:6">
      <c r="C3336" s="1"/>
      <c r="D3336" s="1"/>
      <c r="E3336" s="1"/>
      <c r="F3336" s="1"/>
    </row>
    <row r="3337" spans="3:6">
      <c r="C3337" s="1"/>
      <c r="D3337" s="1"/>
      <c r="E3337" s="1"/>
      <c r="F3337" s="1"/>
    </row>
    <row r="3338" spans="3:6">
      <c r="C3338" s="1"/>
      <c r="D3338" s="1"/>
      <c r="E3338" s="1"/>
      <c r="F3338" s="1"/>
    </row>
    <row r="3339" spans="3:6">
      <c r="C3339" s="1"/>
      <c r="D3339" s="1"/>
      <c r="E3339" s="1"/>
      <c r="F3339" s="1"/>
    </row>
    <row r="3340" spans="3:6">
      <c r="C3340" s="1"/>
      <c r="D3340" s="1"/>
      <c r="E3340" s="1"/>
      <c r="F3340" s="1"/>
    </row>
    <row r="3341" spans="3:6">
      <c r="C3341" s="1"/>
      <c r="D3341" s="1"/>
      <c r="E3341" s="1"/>
      <c r="F3341" s="1"/>
    </row>
    <row r="3342" spans="3:6">
      <c r="C3342" s="1"/>
      <c r="D3342" s="1"/>
      <c r="E3342" s="1"/>
      <c r="F3342" s="1"/>
    </row>
    <row r="3343" spans="3:6">
      <c r="C3343" s="1"/>
      <c r="D3343" s="1"/>
      <c r="E3343" s="1"/>
      <c r="F3343" s="1"/>
    </row>
    <row r="3344" spans="3:6">
      <c r="C3344" s="1"/>
      <c r="D3344" s="1"/>
      <c r="E3344" s="1"/>
      <c r="F3344" s="1"/>
    </row>
    <row r="3345" spans="3:6">
      <c r="C3345" s="1"/>
      <c r="D3345" s="1"/>
      <c r="E3345" s="1"/>
      <c r="F3345" s="1"/>
    </row>
    <row r="3346" spans="3:6">
      <c r="C3346" s="1"/>
      <c r="D3346" s="1"/>
      <c r="E3346" s="1"/>
      <c r="F3346" s="1"/>
    </row>
    <row r="3347" spans="3:6">
      <c r="C3347" s="1"/>
      <c r="D3347" s="1"/>
      <c r="E3347" s="1"/>
      <c r="F3347" s="1"/>
    </row>
    <row r="3348" spans="3:6">
      <c r="C3348" s="1"/>
      <c r="D3348" s="1"/>
      <c r="E3348" s="1"/>
      <c r="F3348" s="1"/>
    </row>
    <row r="3349" spans="3:6">
      <c r="C3349" s="1"/>
      <c r="D3349" s="1"/>
      <c r="E3349" s="1"/>
      <c r="F3349" s="1"/>
    </row>
    <row r="3350" spans="3:6">
      <c r="C3350" s="1"/>
      <c r="D3350" s="1"/>
      <c r="E3350" s="1"/>
      <c r="F3350" s="1"/>
    </row>
    <row r="3351" spans="3:6">
      <c r="C3351" s="1"/>
      <c r="D3351" s="1"/>
      <c r="E3351" s="1"/>
      <c r="F3351" s="1"/>
    </row>
    <row r="3352" spans="3:6">
      <c r="C3352" s="1"/>
      <c r="D3352" s="1"/>
      <c r="E3352" s="1"/>
      <c r="F3352" s="1"/>
    </row>
    <row r="3353" spans="3:6">
      <c r="C3353" s="1"/>
      <c r="D3353" s="1"/>
      <c r="E3353" s="1"/>
      <c r="F3353" s="1"/>
    </row>
    <row r="3354" spans="3:6">
      <c r="C3354" s="1"/>
      <c r="D3354" s="1"/>
      <c r="E3354" s="1"/>
      <c r="F3354" s="1"/>
    </row>
    <row r="3355" spans="3:6">
      <c r="C3355" s="1"/>
      <c r="D3355" s="1"/>
      <c r="E3355" s="1"/>
      <c r="F3355" s="1"/>
    </row>
    <row r="3356" spans="3:6">
      <c r="C3356" s="1"/>
      <c r="D3356" s="1"/>
      <c r="E3356" s="1"/>
      <c r="F3356" s="1"/>
    </row>
    <row r="3357" spans="3:6">
      <c r="C3357" s="1"/>
      <c r="D3357" s="1"/>
      <c r="E3357" s="1"/>
      <c r="F3357" s="1"/>
    </row>
    <row r="3358" spans="3:6">
      <c r="C3358" s="1"/>
      <c r="D3358" s="1"/>
      <c r="E3358" s="1"/>
      <c r="F3358" s="1"/>
    </row>
    <row r="3359" spans="3:6">
      <c r="C3359" s="1"/>
      <c r="D3359" s="1"/>
      <c r="E3359" s="1"/>
      <c r="F3359" s="1"/>
    </row>
    <row r="3360" spans="3:6">
      <c r="C3360" s="1"/>
      <c r="D3360" s="1"/>
      <c r="E3360" s="1"/>
      <c r="F3360" s="1"/>
    </row>
    <row r="3361" spans="3:6">
      <c r="C3361" s="1"/>
      <c r="D3361" s="1"/>
      <c r="E3361" s="1"/>
      <c r="F3361" s="1"/>
    </row>
    <row r="3362" spans="3:6">
      <c r="C3362" s="1"/>
      <c r="D3362" s="1"/>
      <c r="E3362" s="1"/>
      <c r="F3362" s="1"/>
    </row>
    <row r="3363" spans="3:6">
      <c r="C3363" s="1"/>
      <c r="D3363" s="1"/>
      <c r="E3363" s="1"/>
      <c r="F3363" s="1"/>
    </row>
    <row r="3364" spans="3:6">
      <c r="C3364" s="1"/>
      <c r="D3364" s="1"/>
      <c r="E3364" s="1"/>
      <c r="F3364" s="1"/>
    </row>
    <row r="3365" spans="3:6">
      <c r="C3365" s="1"/>
      <c r="D3365" s="1"/>
      <c r="E3365" s="1"/>
      <c r="F3365" s="1"/>
    </row>
    <row r="3366" spans="3:6">
      <c r="C3366" s="1"/>
      <c r="D3366" s="1"/>
      <c r="E3366" s="1"/>
      <c r="F3366" s="1"/>
    </row>
    <row r="3367" spans="3:6">
      <c r="C3367" s="1"/>
      <c r="D3367" s="1"/>
      <c r="E3367" s="1"/>
      <c r="F3367" s="1"/>
    </row>
    <row r="3368" spans="3:6">
      <c r="C3368" s="1"/>
      <c r="D3368" s="1"/>
      <c r="E3368" s="1"/>
      <c r="F3368" s="1"/>
    </row>
    <row r="3369" spans="3:6">
      <c r="C3369" s="1"/>
      <c r="D3369" s="1"/>
      <c r="E3369" s="1"/>
      <c r="F3369" s="1"/>
    </row>
    <row r="3370" spans="3:6">
      <c r="C3370" s="1"/>
      <c r="D3370" s="1"/>
      <c r="E3370" s="1"/>
      <c r="F3370" s="1"/>
    </row>
    <row r="3371" spans="3:6">
      <c r="C3371" s="1"/>
      <c r="D3371" s="1"/>
      <c r="E3371" s="1"/>
      <c r="F3371" s="1"/>
    </row>
    <row r="3372" spans="3:6">
      <c r="C3372" s="1"/>
      <c r="D3372" s="1"/>
      <c r="E3372" s="1"/>
      <c r="F3372" s="1"/>
    </row>
    <row r="3373" spans="3:6">
      <c r="C3373" s="1"/>
      <c r="D3373" s="1"/>
      <c r="E3373" s="1"/>
      <c r="F3373" s="1"/>
    </row>
    <row r="3374" spans="3:6">
      <c r="C3374" s="1"/>
      <c r="D3374" s="1"/>
      <c r="E3374" s="1"/>
      <c r="F3374" s="1"/>
    </row>
    <row r="3375" spans="3:6">
      <c r="C3375" s="1"/>
      <c r="D3375" s="1"/>
      <c r="E3375" s="1"/>
      <c r="F3375" s="1"/>
    </row>
    <row r="3376" spans="3:6">
      <c r="C3376" s="1"/>
      <c r="D3376" s="1"/>
      <c r="E3376" s="1"/>
      <c r="F3376" s="1"/>
    </row>
    <row r="3377" spans="3:6">
      <c r="C3377" s="1"/>
      <c r="D3377" s="1"/>
      <c r="E3377" s="1"/>
      <c r="F3377" s="1"/>
    </row>
    <row r="3378" spans="3:6">
      <c r="C3378" s="1"/>
      <c r="D3378" s="1"/>
      <c r="E3378" s="1"/>
      <c r="F3378" s="1"/>
    </row>
    <row r="3379" spans="3:6">
      <c r="C3379" s="1"/>
      <c r="D3379" s="1"/>
      <c r="E3379" s="1"/>
      <c r="F3379" s="1"/>
    </row>
    <row r="3380" spans="3:6">
      <c r="C3380" s="1"/>
      <c r="D3380" s="1"/>
      <c r="E3380" s="1"/>
      <c r="F3380" s="1"/>
    </row>
    <row r="3381" spans="3:6">
      <c r="C3381" s="1"/>
      <c r="D3381" s="1"/>
      <c r="E3381" s="1"/>
      <c r="F3381" s="1"/>
    </row>
    <row r="3382" spans="3:6">
      <c r="C3382" s="1"/>
      <c r="D3382" s="1"/>
      <c r="E3382" s="1"/>
      <c r="F3382" s="1"/>
    </row>
    <row r="3383" spans="3:6">
      <c r="C3383" s="1"/>
      <c r="D3383" s="1"/>
      <c r="E3383" s="1"/>
      <c r="F3383" s="1"/>
    </row>
    <row r="3384" spans="3:6">
      <c r="C3384" s="1"/>
      <c r="D3384" s="1"/>
      <c r="E3384" s="1"/>
      <c r="F3384" s="1"/>
    </row>
    <row r="3385" spans="3:6">
      <c r="C3385" s="1"/>
      <c r="D3385" s="1"/>
      <c r="E3385" s="1"/>
      <c r="F3385" s="1"/>
    </row>
    <row r="3386" spans="3:6">
      <c r="C3386" s="1"/>
      <c r="D3386" s="1"/>
      <c r="E3386" s="1"/>
      <c r="F3386" s="1"/>
    </row>
    <row r="3387" spans="3:6">
      <c r="C3387" s="1"/>
      <c r="D3387" s="1"/>
      <c r="E3387" s="1"/>
      <c r="F3387" s="1"/>
    </row>
    <row r="3388" spans="3:6">
      <c r="C3388" s="1"/>
      <c r="D3388" s="1"/>
      <c r="E3388" s="1"/>
      <c r="F3388" s="1"/>
    </row>
    <row r="3389" spans="3:6">
      <c r="C3389" s="1"/>
      <c r="D3389" s="1"/>
      <c r="E3389" s="1"/>
      <c r="F3389" s="1"/>
    </row>
    <row r="3390" spans="3:6">
      <c r="C3390" s="1"/>
      <c r="D3390" s="1"/>
      <c r="E3390" s="1"/>
      <c r="F3390" s="1"/>
    </row>
    <row r="3391" spans="3:6">
      <c r="C3391" s="1"/>
      <c r="D3391" s="1"/>
      <c r="E3391" s="1"/>
      <c r="F3391" s="1"/>
    </row>
    <row r="3392" spans="3:6">
      <c r="C3392" s="1"/>
      <c r="D3392" s="1"/>
      <c r="E3392" s="1"/>
      <c r="F3392" s="1"/>
    </row>
    <row r="3393" spans="3:6">
      <c r="C3393" s="1"/>
      <c r="D3393" s="1"/>
      <c r="E3393" s="1"/>
      <c r="F3393" s="1"/>
    </row>
    <row r="3394" spans="3:6">
      <c r="C3394" s="1"/>
      <c r="D3394" s="1"/>
      <c r="E3394" s="1"/>
      <c r="F3394" s="1"/>
    </row>
    <row r="3395" spans="3:6">
      <c r="C3395" s="1"/>
      <c r="D3395" s="1"/>
      <c r="E3395" s="1"/>
      <c r="F3395" s="1"/>
    </row>
    <row r="3396" spans="3:6">
      <c r="C3396" s="1"/>
      <c r="D3396" s="1"/>
      <c r="E3396" s="1"/>
      <c r="F3396" s="1"/>
    </row>
    <row r="3397" spans="3:6">
      <c r="C3397" s="1"/>
      <c r="D3397" s="1"/>
      <c r="E3397" s="1"/>
      <c r="F3397" s="1"/>
    </row>
    <row r="3398" spans="3:6">
      <c r="C3398" s="1"/>
      <c r="D3398" s="1"/>
      <c r="E3398" s="1"/>
      <c r="F3398" s="1"/>
    </row>
    <row r="3399" spans="3:6">
      <c r="C3399" s="1"/>
      <c r="D3399" s="1"/>
      <c r="E3399" s="1"/>
      <c r="F3399" s="1"/>
    </row>
    <row r="3400" spans="3:6">
      <c r="C3400" s="1"/>
      <c r="D3400" s="1"/>
      <c r="E3400" s="1"/>
      <c r="F3400" s="1"/>
    </row>
    <row r="3401" spans="3:6">
      <c r="C3401" s="1"/>
      <c r="D3401" s="1"/>
      <c r="E3401" s="1"/>
      <c r="F3401" s="1"/>
    </row>
    <row r="3402" spans="3:6">
      <c r="C3402" s="1"/>
      <c r="D3402" s="1"/>
      <c r="E3402" s="1"/>
      <c r="F3402" s="1"/>
    </row>
    <row r="3403" spans="3:6">
      <c r="C3403" s="1"/>
      <c r="D3403" s="1"/>
      <c r="E3403" s="1"/>
      <c r="F3403" s="1"/>
    </row>
    <row r="3404" spans="3:6">
      <c r="C3404" s="1"/>
      <c r="D3404" s="1"/>
      <c r="E3404" s="1"/>
      <c r="F3404" s="1"/>
    </row>
    <row r="3405" spans="3:6">
      <c r="C3405" s="1"/>
      <c r="D3405" s="1"/>
      <c r="E3405" s="1"/>
      <c r="F3405" s="1"/>
    </row>
    <row r="3406" spans="3:6">
      <c r="C3406" s="1"/>
      <c r="D3406" s="1"/>
      <c r="E3406" s="1"/>
      <c r="F3406" s="1"/>
    </row>
    <row r="3407" spans="3:6">
      <c r="C3407" s="1"/>
      <c r="D3407" s="1"/>
      <c r="E3407" s="1"/>
      <c r="F3407" s="1"/>
    </row>
    <row r="3408" spans="3:6">
      <c r="C3408" s="1"/>
      <c r="D3408" s="1"/>
      <c r="E3408" s="1"/>
      <c r="F3408" s="1"/>
    </row>
    <row r="3409" spans="3:6">
      <c r="C3409" s="1"/>
      <c r="D3409" s="1"/>
      <c r="E3409" s="1"/>
      <c r="F3409" s="1"/>
    </row>
    <row r="3410" spans="3:6">
      <c r="C3410" s="1"/>
      <c r="D3410" s="1"/>
      <c r="E3410" s="1"/>
      <c r="F3410" s="1"/>
    </row>
    <row r="3411" spans="3:6">
      <c r="C3411" s="1"/>
      <c r="D3411" s="1"/>
      <c r="E3411" s="1"/>
      <c r="F3411" s="1"/>
    </row>
    <row r="3412" spans="3:6">
      <c r="C3412" s="1"/>
      <c r="D3412" s="1"/>
      <c r="E3412" s="1"/>
      <c r="F3412" s="1"/>
    </row>
    <row r="3413" spans="3:6">
      <c r="C3413" s="1"/>
      <c r="D3413" s="1"/>
      <c r="E3413" s="1"/>
      <c r="F3413" s="1"/>
    </row>
    <row r="3414" spans="3:6">
      <c r="C3414" s="1"/>
      <c r="D3414" s="1"/>
      <c r="E3414" s="1"/>
      <c r="F3414" s="1"/>
    </row>
    <row r="3415" spans="3:6">
      <c r="C3415" s="1"/>
      <c r="D3415" s="1"/>
      <c r="E3415" s="1"/>
      <c r="F3415" s="1"/>
    </row>
    <row r="3416" spans="3:6">
      <c r="C3416" s="1"/>
      <c r="D3416" s="1"/>
      <c r="E3416" s="1"/>
      <c r="F3416" s="1"/>
    </row>
    <row r="3417" spans="3:6">
      <c r="C3417" s="1"/>
      <c r="D3417" s="1"/>
      <c r="E3417" s="1"/>
      <c r="F3417" s="1"/>
    </row>
    <row r="3418" spans="3:6">
      <c r="C3418" s="1"/>
      <c r="D3418" s="1"/>
      <c r="E3418" s="1"/>
      <c r="F3418" s="1"/>
    </row>
    <row r="3419" spans="3:6">
      <c r="C3419" s="1"/>
      <c r="D3419" s="1"/>
      <c r="E3419" s="1"/>
      <c r="F3419" s="1"/>
    </row>
    <row r="3420" spans="3:6">
      <c r="C3420" s="1"/>
      <c r="D3420" s="1"/>
      <c r="E3420" s="1"/>
      <c r="F3420" s="1"/>
    </row>
    <row r="3421" spans="3:6">
      <c r="C3421" s="1"/>
      <c r="D3421" s="1"/>
      <c r="E3421" s="1"/>
      <c r="F3421" s="1"/>
    </row>
    <row r="3422" spans="3:6">
      <c r="C3422" s="1"/>
      <c r="D3422" s="1"/>
      <c r="E3422" s="1"/>
      <c r="F3422" s="1"/>
    </row>
    <row r="3423" spans="3:6">
      <c r="C3423" s="1"/>
      <c r="D3423" s="1"/>
      <c r="E3423" s="1"/>
      <c r="F3423" s="1"/>
    </row>
    <row r="3424" spans="3:6">
      <c r="C3424" s="1"/>
      <c r="D3424" s="1"/>
      <c r="E3424" s="1"/>
      <c r="F3424" s="1"/>
    </row>
    <row r="3425" spans="3:6">
      <c r="C3425" s="1"/>
      <c r="D3425" s="1"/>
      <c r="E3425" s="1"/>
      <c r="F3425" s="1"/>
    </row>
    <row r="3426" spans="3:6">
      <c r="C3426" s="1"/>
      <c r="D3426" s="1"/>
      <c r="E3426" s="1"/>
      <c r="F3426" s="1"/>
    </row>
    <row r="3427" spans="3:6">
      <c r="C3427" s="1"/>
      <c r="D3427" s="1"/>
      <c r="E3427" s="1"/>
      <c r="F3427" s="1"/>
    </row>
    <row r="3428" spans="3:6">
      <c r="C3428" s="1"/>
      <c r="D3428" s="1"/>
      <c r="E3428" s="1"/>
      <c r="F3428" s="1"/>
    </row>
    <row r="3429" spans="3:6">
      <c r="C3429" s="1"/>
      <c r="D3429" s="1"/>
      <c r="E3429" s="1"/>
      <c r="F3429" s="1"/>
    </row>
    <row r="3430" spans="3:6">
      <c r="C3430" s="1"/>
      <c r="D3430" s="1"/>
      <c r="E3430" s="1"/>
      <c r="F3430" s="1"/>
    </row>
    <row r="3431" spans="3:6">
      <c r="C3431" s="1"/>
      <c r="D3431" s="1"/>
      <c r="E3431" s="1"/>
      <c r="F3431" s="1"/>
    </row>
    <row r="3432" spans="3:6">
      <c r="C3432" s="1"/>
      <c r="D3432" s="1"/>
      <c r="E3432" s="1"/>
      <c r="F3432" s="1"/>
    </row>
    <row r="3433" spans="3:6">
      <c r="C3433" s="1"/>
      <c r="D3433" s="1"/>
      <c r="E3433" s="1"/>
      <c r="F3433" s="1"/>
    </row>
    <row r="3434" spans="3:6">
      <c r="C3434" s="1"/>
      <c r="D3434" s="1"/>
      <c r="E3434" s="1"/>
      <c r="F3434" s="1"/>
    </row>
    <row r="3435" spans="3:6">
      <c r="C3435" s="1"/>
      <c r="D3435" s="1"/>
      <c r="E3435" s="1"/>
      <c r="F3435" s="1"/>
    </row>
    <row r="3436" spans="3:6">
      <c r="C3436" s="1"/>
      <c r="D3436" s="1"/>
      <c r="E3436" s="1"/>
      <c r="F3436" s="1"/>
    </row>
    <row r="3437" spans="3:6">
      <c r="C3437" s="1"/>
      <c r="D3437" s="1"/>
      <c r="E3437" s="1"/>
      <c r="F3437" s="1"/>
    </row>
    <row r="3438" spans="3:6">
      <c r="C3438" s="1"/>
      <c r="D3438" s="1"/>
      <c r="E3438" s="1"/>
      <c r="F3438" s="1"/>
    </row>
    <row r="3439" spans="3:6">
      <c r="C3439" s="1"/>
      <c r="D3439" s="1"/>
      <c r="E3439" s="1"/>
      <c r="F3439" s="1"/>
    </row>
    <row r="3440" spans="3:6">
      <c r="C3440" s="1"/>
      <c r="D3440" s="1"/>
      <c r="E3440" s="1"/>
      <c r="F3440" s="1"/>
    </row>
    <row r="3441" spans="3:6">
      <c r="C3441" s="1"/>
      <c r="D3441" s="1"/>
      <c r="E3441" s="1"/>
      <c r="F3441" s="1"/>
    </row>
    <row r="3442" spans="3:6">
      <c r="C3442" s="1"/>
      <c r="D3442" s="1"/>
      <c r="E3442" s="1"/>
      <c r="F3442" s="1"/>
    </row>
    <row r="3443" spans="3:6">
      <c r="C3443" s="1"/>
      <c r="D3443" s="1"/>
      <c r="E3443" s="1"/>
      <c r="F3443" s="1"/>
    </row>
    <row r="3444" spans="3:6">
      <c r="C3444" s="1"/>
      <c r="D3444" s="1"/>
      <c r="E3444" s="1"/>
      <c r="F3444" s="1"/>
    </row>
    <row r="3445" spans="3:6">
      <c r="C3445" s="1"/>
      <c r="D3445" s="1"/>
      <c r="E3445" s="1"/>
      <c r="F3445" s="1"/>
    </row>
    <row r="3446" spans="3:6">
      <c r="C3446" s="1"/>
      <c r="D3446" s="1"/>
      <c r="E3446" s="1"/>
      <c r="F3446" s="1"/>
    </row>
    <row r="3447" spans="3:6">
      <c r="C3447" s="1"/>
      <c r="D3447" s="1"/>
      <c r="E3447" s="1"/>
      <c r="F3447" s="1"/>
    </row>
    <row r="3448" spans="3:6">
      <c r="C3448" s="1"/>
      <c r="D3448" s="1"/>
      <c r="E3448" s="1"/>
      <c r="F3448" s="1"/>
    </row>
    <row r="3449" spans="3:6">
      <c r="C3449" s="1"/>
      <c r="D3449" s="1"/>
      <c r="E3449" s="1"/>
      <c r="F3449" s="1"/>
    </row>
    <row r="3450" spans="3:6">
      <c r="C3450" s="1"/>
      <c r="D3450" s="1"/>
      <c r="E3450" s="1"/>
      <c r="F3450" s="1"/>
    </row>
    <row r="3451" spans="3:6">
      <c r="C3451" s="1"/>
      <c r="D3451" s="1"/>
      <c r="E3451" s="1"/>
      <c r="F3451" s="1"/>
    </row>
    <row r="3452" spans="3:6">
      <c r="C3452" s="1"/>
      <c r="D3452" s="1"/>
      <c r="E3452" s="1"/>
      <c r="F3452" s="1"/>
    </row>
    <row r="3453" spans="3:6">
      <c r="C3453" s="1"/>
      <c r="D3453" s="1"/>
      <c r="E3453" s="1"/>
      <c r="F3453" s="1"/>
    </row>
    <row r="3454" spans="3:6">
      <c r="C3454" s="1"/>
      <c r="D3454" s="1"/>
      <c r="E3454" s="1"/>
      <c r="F3454" s="1"/>
    </row>
    <row r="3455" spans="3:6">
      <c r="C3455" s="1"/>
      <c r="D3455" s="1"/>
      <c r="E3455" s="1"/>
      <c r="F3455" s="1"/>
    </row>
    <row r="3456" spans="3:6">
      <c r="C3456" s="1"/>
      <c r="D3456" s="1"/>
      <c r="E3456" s="1"/>
      <c r="F3456" s="1"/>
    </row>
    <row r="3457" spans="3:6">
      <c r="C3457" s="1"/>
      <c r="D3457" s="1"/>
      <c r="E3457" s="1"/>
      <c r="F3457" s="1"/>
    </row>
    <row r="3458" spans="3:6">
      <c r="C3458" s="1"/>
      <c r="D3458" s="1"/>
      <c r="E3458" s="1"/>
      <c r="F3458" s="1"/>
    </row>
    <row r="3459" spans="3:6">
      <c r="C3459" s="1"/>
      <c r="D3459" s="1"/>
      <c r="E3459" s="1"/>
      <c r="F3459" s="1"/>
    </row>
    <row r="3460" spans="3:6">
      <c r="C3460" s="1"/>
      <c r="D3460" s="1"/>
      <c r="E3460" s="1"/>
      <c r="F3460" s="1"/>
    </row>
    <row r="3461" spans="3:6">
      <c r="C3461" s="1"/>
      <c r="D3461" s="1"/>
      <c r="E3461" s="1"/>
      <c r="F3461" s="1"/>
    </row>
    <row r="3462" spans="3:6">
      <c r="C3462" s="1"/>
      <c r="D3462" s="1"/>
      <c r="E3462" s="1"/>
      <c r="F3462" s="1"/>
    </row>
    <row r="3463" spans="3:6">
      <c r="C3463" s="1"/>
      <c r="D3463" s="1"/>
      <c r="E3463" s="1"/>
      <c r="F3463" s="1"/>
    </row>
    <row r="3464" spans="3:6">
      <c r="C3464" s="1"/>
      <c r="D3464" s="1"/>
      <c r="E3464" s="1"/>
      <c r="F3464" s="1"/>
    </row>
    <row r="3465" spans="3:6">
      <c r="C3465" s="1"/>
      <c r="D3465" s="1"/>
      <c r="E3465" s="1"/>
      <c r="F3465" s="1"/>
    </row>
    <row r="3466" spans="3:6">
      <c r="C3466" s="1"/>
      <c r="D3466" s="1"/>
      <c r="E3466" s="1"/>
      <c r="F3466" s="1"/>
    </row>
    <row r="3467" spans="3:6">
      <c r="C3467" s="1"/>
      <c r="D3467" s="1"/>
      <c r="E3467" s="1"/>
      <c r="F3467" s="1"/>
    </row>
    <row r="3468" spans="3:6">
      <c r="C3468" s="1"/>
      <c r="D3468" s="1"/>
      <c r="E3468" s="1"/>
      <c r="F3468" s="1"/>
    </row>
    <row r="3469" spans="3:6">
      <c r="C3469" s="1"/>
      <c r="D3469" s="1"/>
      <c r="E3469" s="1"/>
      <c r="F3469" s="1"/>
    </row>
    <row r="3470" spans="3:6">
      <c r="C3470" s="1"/>
      <c r="D3470" s="1"/>
      <c r="E3470" s="1"/>
      <c r="F3470" s="1"/>
    </row>
    <row r="3471" spans="3:6">
      <c r="C3471" s="1"/>
      <c r="D3471" s="1"/>
      <c r="E3471" s="1"/>
      <c r="F3471" s="1"/>
    </row>
    <row r="3472" spans="3:6">
      <c r="C3472" s="1"/>
      <c r="D3472" s="1"/>
      <c r="E3472" s="1"/>
      <c r="F3472" s="1"/>
    </row>
    <row r="3473" spans="3:6">
      <c r="C3473" s="1"/>
      <c r="D3473" s="1"/>
      <c r="E3473" s="1"/>
      <c r="F3473" s="1"/>
    </row>
    <row r="3474" spans="3:6">
      <c r="C3474" s="1"/>
      <c r="D3474" s="1"/>
      <c r="E3474" s="1"/>
      <c r="F3474" s="1"/>
    </row>
    <row r="3475" spans="3:6">
      <c r="C3475" s="1"/>
      <c r="D3475" s="1"/>
      <c r="E3475" s="1"/>
      <c r="F3475" s="1"/>
    </row>
    <row r="3476" spans="3:6">
      <c r="C3476" s="1"/>
      <c r="D3476" s="1"/>
      <c r="E3476" s="1"/>
      <c r="F3476" s="1"/>
    </row>
    <row r="3477" spans="3:6">
      <c r="C3477" s="1"/>
      <c r="D3477" s="1"/>
      <c r="E3477" s="1"/>
      <c r="F3477" s="1"/>
    </row>
    <row r="3478" spans="3:6">
      <c r="C3478" s="1"/>
      <c r="D3478" s="1"/>
      <c r="E3478" s="1"/>
      <c r="F3478" s="1"/>
    </row>
    <row r="3479" spans="3:6">
      <c r="C3479" s="1"/>
      <c r="D3479" s="1"/>
      <c r="E3479" s="1"/>
      <c r="F3479" s="1"/>
    </row>
    <row r="3480" spans="3:6">
      <c r="C3480" s="1"/>
      <c r="D3480" s="1"/>
      <c r="E3480" s="1"/>
      <c r="F3480" s="1"/>
    </row>
    <row r="3481" spans="3:6">
      <c r="C3481" s="1"/>
      <c r="D3481" s="1"/>
      <c r="E3481" s="1"/>
      <c r="F3481" s="1"/>
    </row>
    <row r="3482" spans="3:6">
      <c r="C3482" s="1"/>
      <c r="D3482" s="1"/>
      <c r="E3482" s="1"/>
      <c r="F3482" s="1"/>
    </row>
    <row r="3483" spans="3:6">
      <c r="C3483" s="1"/>
      <c r="D3483" s="1"/>
      <c r="E3483" s="1"/>
      <c r="F3483" s="1"/>
    </row>
    <row r="3484" spans="3:6">
      <c r="C3484" s="1"/>
      <c r="D3484" s="1"/>
      <c r="E3484" s="1"/>
      <c r="F3484" s="1"/>
    </row>
    <row r="3485" spans="3:6">
      <c r="C3485" s="1"/>
      <c r="D3485" s="1"/>
      <c r="E3485" s="1"/>
      <c r="F3485" s="1"/>
    </row>
    <row r="3486" spans="3:6">
      <c r="C3486" s="1"/>
      <c r="D3486" s="1"/>
      <c r="E3486" s="1"/>
      <c r="F3486" s="1"/>
    </row>
    <row r="3487" spans="3:6">
      <c r="C3487" s="1"/>
      <c r="D3487" s="1"/>
      <c r="E3487" s="1"/>
      <c r="F3487" s="1"/>
    </row>
    <row r="3488" spans="3:6">
      <c r="C3488" s="1"/>
      <c r="D3488" s="1"/>
      <c r="E3488" s="1"/>
      <c r="F3488" s="1"/>
    </row>
    <row r="3489" spans="3:6">
      <c r="C3489" s="1"/>
      <c r="D3489" s="1"/>
      <c r="E3489" s="1"/>
      <c r="F3489" s="1"/>
    </row>
    <row r="3490" spans="3:6">
      <c r="C3490" s="1"/>
      <c r="D3490" s="1"/>
      <c r="E3490" s="1"/>
      <c r="F3490" s="1"/>
    </row>
    <row r="3491" spans="3:6">
      <c r="C3491" s="1"/>
      <c r="D3491" s="1"/>
      <c r="E3491" s="1"/>
      <c r="F3491" s="1"/>
    </row>
    <row r="3492" spans="3:6">
      <c r="C3492" s="1"/>
      <c r="D3492" s="1"/>
      <c r="E3492" s="1"/>
      <c r="F3492" s="1"/>
    </row>
    <row r="3493" spans="3:6">
      <c r="C3493" s="1"/>
      <c r="D3493" s="1"/>
      <c r="E3493" s="1"/>
      <c r="F3493" s="1"/>
    </row>
    <row r="3494" spans="3:6">
      <c r="C3494" s="1"/>
      <c r="D3494" s="1"/>
      <c r="E3494" s="1"/>
      <c r="F3494" s="1"/>
    </row>
    <row r="3495" spans="3:6">
      <c r="C3495" s="1"/>
      <c r="D3495" s="1"/>
      <c r="E3495" s="1"/>
      <c r="F3495" s="1"/>
    </row>
    <row r="3496" spans="3:6">
      <c r="C3496" s="1"/>
      <c r="D3496" s="1"/>
      <c r="E3496" s="1"/>
      <c r="F3496" s="1"/>
    </row>
    <row r="3497" spans="3:6">
      <c r="C3497" s="1"/>
      <c r="D3497" s="1"/>
      <c r="E3497" s="1"/>
      <c r="F3497" s="1"/>
    </row>
    <row r="3498" spans="3:6">
      <c r="C3498" s="1"/>
      <c r="D3498" s="1"/>
      <c r="E3498" s="1"/>
      <c r="F3498" s="1"/>
    </row>
    <row r="3499" spans="3:6">
      <c r="C3499" s="1"/>
      <c r="D3499" s="1"/>
      <c r="E3499" s="1"/>
      <c r="F3499" s="1"/>
    </row>
    <row r="3500" spans="3:6">
      <c r="C3500" s="1"/>
      <c r="D3500" s="1"/>
      <c r="E3500" s="1"/>
      <c r="F3500" s="1"/>
    </row>
    <row r="3501" spans="3:6">
      <c r="C3501" s="1"/>
      <c r="D3501" s="1"/>
      <c r="E3501" s="1"/>
      <c r="F3501" s="1"/>
    </row>
    <row r="3502" spans="3:6">
      <c r="C3502" s="1"/>
      <c r="D3502" s="1"/>
      <c r="E3502" s="1"/>
      <c r="F3502" s="1"/>
    </row>
    <row r="3503" spans="3:6">
      <c r="C3503" s="1"/>
      <c r="D3503" s="1"/>
      <c r="E3503" s="1"/>
      <c r="F3503" s="1"/>
    </row>
    <row r="3504" spans="3:6">
      <c r="C3504" s="1"/>
      <c r="D3504" s="1"/>
      <c r="E3504" s="1"/>
      <c r="F3504" s="1"/>
    </row>
    <row r="3505" spans="3:6">
      <c r="C3505" s="1"/>
      <c r="D3505" s="1"/>
      <c r="E3505" s="1"/>
      <c r="F3505" s="1"/>
    </row>
    <row r="3506" spans="3:6">
      <c r="C3506" s="1"/>
      <c r="D3506" s="1"/>
      <c r="E3506" s="1"/>
      <c r="F3506" s="1"/>
    </row>
    <row r="3507" spans="3:6">
      <c r="C3507" s="1"/>
      <c r="D3507" s="1"/>
      <c r="E3507" s="1"/>
      <c r="F3507" s="1"/>
    </row>
    <row r="3508" spans="3:6">
      <c r="C3508" s="1"/>
      <c r="D3508" s="1"/>
      <c r="E3508" s="1"/>
      <c r="F3508" s="1"/>
    </row>
    <row r="3509" spans="3:6">
      <c r="C3509" s="1"/>
      <c r="D3509" s="1"/>
      <c r="E3509" s="1"/>
      <c r="F3509" s="1"/>
    </row>
    <row r="3510" spans="3:6">
      <c r="C3510" s="1"/>
      <c r="D3510" s="1"/>
      <c r="E3510" s="1"/>
      <c r="F3510" s="1"/>
    </row>
    <row r="3511" spans="3:6">
      <c r="C3511" s="1"/>
      <c r="D3511" s="1"/>
      <c r="E3511" s="1"/>
      <c r="F3511" s="1"/>
    </row>
    <row r="3512" spans="3:6">
      <c r="C3512" s="1"/>
      <c r="D3512" s="1"/>
      <c r="E3512" s="1"/>
      <c r="F3512" s="1"/>
    </row>
    <row r="3513" spans="3:6">
      <c r="C3513" s="1"/>
      <c r="D3513" s="1"/>
      <c r="E3513" s="1"/>
      <c r="F3513" s="1"/>
    </row>
    <row r="3514" spans="3:6">
      <c r="C3514" s="1"/>
      <c r="D3514" s="1"/>
      <c r="E3514" s="1"/>
      <c r="F3514" s="1"/>
    </row>
    <row r="3515" spans="3:6">
      <c r="C3515" s="1"/>
      <c r="D3515" s="1"/>
      <c r="E3515" s="1"/>
      <c r="F3515" s="1"/>
    </row>
    <row r="3516" spans="3:6">
      <c r="C3516" s="1"/>
      <c r="D3516" s="1"/>
      <c r="E3516" s="1"/>
      <c r="F3516" s="1"/>
    </row>
    <row r="3517" spans="3:6">
      <c r="C3517" s="1"/>
      <c r="D3517" s="1"/>
      <c r="E3517" s="1"/>
      <c r="F3517" s="1"/>
    </row>
    <row r="3518" spans="3:6">
      <c r="C3518" s="1"/>
      <c r="D3518" s="1"/>
      <c r="E3518" s="1"/>
      <c r="F3518" s="1"/>
    </row>
    <row r="3519" spans="3:6">
      <c r="C3519" s="1"/>
      <c r="D3519" s="1"/>
      <c r="E3519" s="1"/>
      <c r="F3519" s="1"/>
    </row>
    <row r="3520" spans="3:6">
      <c r="C3520" s="1"/>
      <c r="D3520" s="1"/>
      <c r="E3520" s="1"/>
      <c r="F3520" s="1"/>
    </row>
    <row r="3521" spans="3:6">
      <c r="C3521" s="1"/>
      <c r="D3521" s="1"/>
      <c r="E3521" s="1"/>
      <c r="F3521" s="1"/>
    </row>
    <row r="3522" spans="3:6">
      <c r="C3522" s="1"/>
      <c r="D3522" s="1"/>
      <c r="E3522" s="1"/>
      <c r="F3522" s="1"/>
    </row>
    <row r="3523" spans="3:6">
      <c r="C3523" s="1"/>
      <c r="D3523" s="1"/>
      <c r="E3523" s="1"/>
      <c r="F3523" s="1"/>
    </row>
    <row r="3524" spans="3:6">
      <c r="C3524" s="1"/>
      <c r="D3524" s="1"/>
      <c r="E3524" s="1"/>
      <c r="F3524" s="1"/>
    </row>
    <row r="3525" spans="3:6">
      <c r="C3525" s="1"/>
      <c r="D3525" s="1"/>
      <c r="E3525" s="1"/>
      <c r="F3525" s="1"/>
    </row>
    <row r="3526" spans="3:6">
      <c r="C3526" s="1"/>
      <c r="D3526" s="1"/>
      <c r="E3526" s="1"/>
      <c r="F3526" s="1"/>
    </row>
    <row r="3527" spans="3:6">
      <c r="C3527" s="1"/>
      <c r="D3527" s="1"/>
      <c r="E3527" s="1"/>
      <c r="F3527" s="1"/>
    </row>
    <row r="3528" spans="3:6">
      <c r="C3528" s="1"/>
      <c r="D3528" s="1"/>
      <c r="E3528" s="1"/>
      <c r="F3528" s="1"/>
    </row>
    <row r="3529" spans="3:6">
      <c r="C3529" s="1"/>
      <c r="D3529" s="1"/>
      <c r="E3529" s="1"/>
      <c r="F3529" s="1"/>
    </row>
    <row r="3530" spans="3:6">
      <c r="C3530" s="1"/>
      <c r="D3530" s="1"/>
      <c r="E3530" s="1"/>
      <c r="F3530" s="1"/>
    </row>
    <row r="3531" spans="3:6">
      <c r="C3531" s="1"/>
      <c r="D3531" s="1"/>
      <c r="E3531" s="1"/>
      <c r="F3531" s="1"/>
    </row>
    <row r="3532" spans="3:6">
      <c r="C3532" s="1"/>
      <c r="D3532" s="1"/>
      <c r="E3532" s="1"/>
      <c r="F3532" s="1"/>
    </row>
    <row r="3533" spans="3:6">
      <c r="C3533" s="1"/>
      <c r="D3533" s="1"/>
      <c r="E3533" s="1"/>
      <c r="F3533" s="1"/>
    </row>
    <row r="3534" spans="3:6">
      <c r="C3534" s="1"/>
      <c r="D3534" s="1"/>
      <c r="E3534" s="1"/>
      <c r="F3534" s="1"/>
    </row>
    <row r="3535" spans="3:6">
      <c r="C3535" s="1"/>
      <c r="D3535" s="1"/>
      <c r="E3535" s="1"/>
      <c r="F3535" s="1"/>
    </row>
    <row r="3536" spans="3:6">
      <c r="C3536" s="1"/>
      <c r="D3536" s="1"/>
      <c r="E3536" s="1"/>
      <c r="F3536" s="1"/>
    </row>
    <row r="3537" spans="3:6">
      <c r="C3537" s="1"/>
      <c r="D3537" s="1"/>
      <c r="E3537" s="1"/>
      <c r="F3537" s="1"/>
    </row>
    <row r="3538" spans="3:6">
      <c r="C3538" s="1"/>
      <c r="D3538" s="1"/>
      <c r="E3538" s="1"/>
      <c r="F3538" s="1"/>
    </row>
    <row r="3539" spans="3:6">
      <c r="C3539" s="1"/>
      <c r="D3539" s="1"/>
      <c r="E3539" s="1"/>
      <c r="F3539" s="1"/>
    </row>
    <row r="3540" spans="3:6">
      <c r="C3540" s="1"/>
      <c r="D3540" s="1"/>
      <c r="E3540" s="1"/>
      <c r="F3540" s="1"/>
    </row>
    <row r="3541" spans="3:6">
      <c r="C3541" s="1"/>
      <c r="D3541" s="1"/>
      <c r="E3541" s="1"/>
      <c r="F3541" s="1"/>
    </row>
    <row r="3542" spans="3:6">
      <c r="C3542" s="1"/>
      <c r="D3542" s="1"/>
      <c r="E3542" s="1"/>
      <c r="F3542" s="1"/>
    </row>
    <row r="3543" spans="3:6">
      <c r="C3543" s="1"/>
      <c r="D3543" s="1"/>
      <c r="E3543" s="1"/>
      <c r="F3543" s="1"/>
    </row>
    <row r="3544" spans="3:6">
      <c r="C3544" s="1"/>
      <c r="D3544" s="1"/>
      <c r="E3544" s="1"/>
      <c r="F3544" s="1"/>
    </row>
    <row r="3545" spans="3:6">
      <c r="C3545" s="1"/>
      <c r="D3545" s="1"/>
      <c r="E3545" s="1"/>
      <c r="F3545" s="1"/>
    </row>
    <row r="3546" spans="3:6">
      <c r="C3546" s="1"/>
      <c r="D3546" s="1"/>
      <c r="E3546" s="1"/>
      <c r="F3546" s="1"/>
    </row>
    <row r="3547" spans="3:6">
      <c r="C3547" s="1"/>
      <c r="D3547" s="1"/>
      <c r="E3547" s="1"/>
      <c r="F3547" s="1"/>
    </row>
    <row r="3548" spans="3:6">
      <c r="C3548" s="1"/>
      <c r="D3548" s="1"/>
      <c r="E3548" s="1"/>
      <c r="F3548" s="1"/>
    </row>
    <row r="3549" spans="3:6">
      <c r="C3549" s="1"/>
      <c r="D3549" s="1"/>
      <c r="E3549" s="1"/>
      <c r="F3549" s="1"/>
    </row>
    <row r="3550" spans="3:6">
      <c r="C3550" s="1"/>
      <c r="D3550" s="1"/>
      <c r="E3550" s="1"/>
      <c r="F3550" s="1"/>
    </row>
    <row r="3551" spans="3:6">
      <c r="C3551" s="1"/>
      <c r="D3551" s="1"/>
      <c r="E3551" s="1"/>
      <c r="F3551" s="1"/>
    </row>
    <row r="3552" spans="3:6">
      <c r="C3552" s="1"/>
      <c r="D3552" s="1"/>
      <c r="E3552" s="1"/>
      <c r="F3552" s="1"/>
    </row>
    <row r="3553" spans="3:6">
      <c r="C3553" s="1"/>
      <c r="D3553" s="1"/>
      <c r="E3553" s="1"/>
      <c r="F3553" s="1"/>
    </row>
    <row r="3554" spans="3:6">
      <c r="C3554" s="1"/>
      <c r="D3554" s="1"/>
      <c r="E3554" s="1"/>
      <c r="F3554" s="1"/>
    </row>
    <row r="3555" spans="3:6">
      <c r="C3555" s="1"/>
      <c r="D3555" s="1"/>
      <c r="E3555" s="1"/>
      <c r="F3555" s="1"/>
    </row>
    <row r="3556" spans="3:6">
      <c r="C3556" s="1"/>
      <c r="D3556" s="1"/>
      <c r="E3556" s="1"/>
      <c r="F3556" s="1"/>
    </row>
    <row r="3557" spans="3:6">
      <c r="C3557" s="1"/>
      <c r="D3557" s="1"/>
      <c r="E3557" s="1"/>
      <c r="F3557" s="1"/>
    </row>
    <row r="3558" spans="3:6">
      <c r="C3558" s="1"/>
      <c r="D3558" s="1"/>
      <c r="E3558" s="1"/>
      <c r="F3558" s="1"/>
    </row>
    <row r="3559" spans="3:6">
      <c r="C3559" s="1"/>
      <c r="D3559" s="1"/>
      <c r="E3559" s="1"/>
      <c r="F3559" s="1"/>
    </row>
    <row r="3560" spans="3:6">
      <c r="C3560" s="1"/>
      <c r="D3560" s="1"/>
      <c r="E3560" s="1"/>
      <c r="F3560" s="1"/>
    </row>
    <row r="3561" spans="3:6">
      <c r="C3561" s="1"/>
      <c r="D3561" s="1"/>
      <c r="E3561" s="1"/>
      <c r="F3561" s="1"/>
    </row>
    <row r="3562" spans="3:6">
      <c r="C3562" s="1"/>
      <c r="D3562" s="1"/>
      <c r="E3562" s="1"/>
      <c r="F3562" s="1"/>
    </row>
    <row r="3563" spans="3:6">
      <c r="C3563" s="1"/>
      <c r="D3563" s="1"/>
      <c r="E3563" s="1"/>
      <c r="F3563" s="1"/>
    </row>
    <row r="3564" spans="3:6">
      <c r="C3564" s="1"/>
      <c r="D3564" s="1"/>
      <c r="E3564" s="1"/>
      <c r="F3564" s="1"/>
    </row>
    <row r="3565" spans="3:6">
      <c r="C3565" s="1"/>
      <c r="D3565" s="1"/>
      <c r="E3565" s="1"/>
      <c r="F3565" s="1"/>
    </row>
    <row r="3566" spans="3:6">
      <c r="C3566" s="1"/>
      <c r="D3566" s="1"/>
      <c r="E3566" s="1"/>
      <c r="F3566" s="1"/>
    </row>
    <row r="3567" spans="3:6">
      <c r="C3567" s="1"/>
      <c r="D3567" s="1"/>
      <c r="E3567" s="1"/>
      <c r="F3567" s="1"/>
    </row>
    <row r="3568" spans="3:6">
      <c r="C3568" s="1"/>
      <c r="D3568" s="1"/>
      <c r="E3568" s="1"/>
      <c r="F3568" s="1"/>
    </row>
    <row r="3569" spans="3:6">
      <c r="C3569" s="1"/>
      <c r="D3569" s="1"/>
      <c r="E3569" s="1"/>
      <c r="F3569" s="1"/>
    </row>
    <row r="3570" spans="3:6">
      <c r="C3570" s="1"/>
      <c r="D3570" s="1"/>
      <c r="E3570" s="1"/>
      <c r="F3570" s="1"/>
    </row>
    <row r="3571" spans="3:6">
      <c r="C3571" s="1"/>
      <c r="D3571" s="1"/>
      <c r="E3571" s="1"/>
      <c r="F3571" s="1"/>
    </row>
  </sheetData>
  <autoFilter ref="A4:O82">
    <sortState ref="A5:O82">
      <sortCondition ref="O4:O82"/>
    </sortState>
  </autoFilter>
  <mergeCells count="2">
    <mergeCell ref="A2:H2"/>
    <mergeCell ref="M2:S2"/>
  </mergeCells>
  <conditionalFormatting sqref="L5:L82">
    <cfRule type="dataBar" priority="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{548ABF88-7124-40BB-9E2E-5360F04E76F9}</x14:id>
        </ext>
      </extLst>
    </cfRule>
    <cfRule type="top10" dxfId="0" priority="128" rank="10"/>
  </conditionalFormatting>
  <pageMargins left="0.88" right="0" top="0.39370078740157483" bottom="0.39370078740157483" header="0.39370078740157483" footer="0.39370078740157483"/>
  <pageSetup paperSize="256" scale="70" fitToWidth="0" fitToHeight="0"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8ABF88-7124-40BB-9E2E-5360F04E76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L5:L82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3"/>
  <sheetViews>
    <sheetView topLeftCell="A58" zoomScaleNormal="100" workbookViewId="0">
      <selection activeCell="I72" sqref="I72"/>
    </sheetView>
  </sheetViews>
  <sheetFormatPr defaultRowHeight="14.5"/>
  <cols>
    <col min="1" max="1" width="5" style="1" customWidth="1"/>
    <col min="2" max="2" width="19.453125" style="1" customWidth="1"/>
    <col min="3" max="3" width="30.26953125" style="102" customWidth="1"/>
    <col min="4" max="4" width="5.1796875" style="60" customWidth="1"/>
    <col min="5" max="5" width="16.453125" style="3" customWidth="1"/>
    <col min="6" max="6" width="51.1796875" customWidth="1"/>
  </cols>
  <sheetData>
    <row r="2" spans="1:6">
      <c r="A2" s="614" t="s">
        <v>228</v>
      </c>
      <c r="B2" s="614"/>
      <c r="C2" s="614"/>
      <c r="D2" s="614"/>
      <c r="E2" s="614"/>
      <c r="F2" s="614"/>
    </row>
    <row r="3" spans="1:6">
      <c r="B3" s="47"/>
      <c r="C3" s="54"/>
      <c r="D3" s="61"/>
      <c r="E3" s="48"/>
      <c r="F3" s="49" t="s">
        <v>227</v>
      </c>
    </row>
    <row r="4" spans="1:6" ht="38.25" customHeight="1">
      <c r="A4" s="4" t="s">
        <v>131</v>
      </c>
      <c r="B4" s="88" t="s">
        <v>133</v>
      </c>
      <c r="C4" s="100" t="s">
        <v>132</v>
      </c>
      <c r="D4" s="62" t="s">
        <v>2</v>
      </c>
      <c r="E4" s="4" t="s">
        <v>1</v>
      </c>
      <c r="F4" s="4" t="s">
        <v>0</v>
      </c>
    </row>
    <row r="5" spans="1:6">
      <c r="A5" s="11">
        <v>1</v>
      </c>
      <c r="B5" s="8" t="s">
        <v>25</v>
      </c>
      <c r="C5" s="12" t="s">
        <v>170</v>
      </c>
      <c r="D5" s="85" t="s">
        <v>211</v>
      </c>
      <c r="E5" s="19">
        <v>45200</v>
      </c>
      <c r="F5" s="77" t="s">
        <v>173</v>
      </c>
    </row>
    <row r="6" spans="1:6">
      <c r="A6" s="11">
        <v>2</v>
      </c>
      <c r="B6" s="16" t="s">
        <v>157</v>
      </c>
      <c r="C6" s="12" t="s">
        <v>4</v>
      </c>
      <c r="D6" s="114" t="s">
        <v>211</v>
      </c>
      <c r="E6" s="15">
        <v>45444</v>
      </c>
      <c r="F6" s="51" t="s">
        <v>176</v>
      </c>
    </row>
    <row r="7" spans="1:6">
      <c r="A7" s="5">
        <v>3</v>
      </c>
      <c r="B7" s="14" t="s">
        <v>13</v>
      </c>
      <c r="C7" s="56" t="s">
        <v>3</v>
      </c>
      <c r="D7" s="63" t="s">
        <v>125</v>
      </c>
      <c r="E7" s="15">
        <v>43922</v>
      </c>
      <c r="F7" s="84" t="s">
        <v>221</v>
      </c>
    </row>
    <row r="8" spans="1:6">
      <c r="A8" s="11">
        <v>4</v>
      </c>
      <c r="B8" s="8" t="s">
        <v>22</v>
      </c>
      <c r="C8" s="12" t="s">
        <v>153</v>
      </c>
      <c r="D8" s="64" t="s">
        <v>125</v>
      </c>
      <c r="E8" s="7">
        <v>44105</v>
      </c>
      <c r="F8" s="2" t="s">
        <v>220</v>
      </c>
    </row>
    <row r="9" spans="1:6">
      <c r="A9" s="5">
        <v>5</v>
      </c>
      <c r="B9" s="8" t="s">
        <v>23</v>
      </c>
      <c r="C9" s="12" t="s">
        <v>9</v>
      </c>
      <c r="D9" s="64" t="s">
        <v>125</v>
      </c>
      <c r="E9" s="7">
        <v>44105</v>
      </c>
      <c r="F9" s="2" t="s">
        <v>162</v>
      </c>
    </row>
    <row r="10" spans="1:6">
      <c r="A10" s="5">
        <v>6</v>
      </c>
      <c r="B10" s="17" t="s">
        <v>16</v>
      </c>
      <c r="C10" s="50" t="s">
        <v>5</v>
      </c>
      <c r="D10" s="10" t="s">
        <v>150</v>
      </c>
      <c r="E10" s="18" t="s">
        <v>201</v>
      </c>
      <c r="F10" s="115" t="s">
        <v>224</v>
      </c>
    </row>
    <row r="11" spans="1:6">
      <c r="A11" s="11">
        <v>7</v>
      </c>
      <c r="B11" s="89" t="s">
        <v>55</v>
      </c>
      <c r="C11" s="99" t="s">
        <v>54</v>
      </c>
      <c r="D11" s="31" t="s">
        <v>125</v>
      </c>
      <c r="E11" s="20">
        <v>44652</v>
      </c>
      <c r="F11" s="34" t="s">
        <v>222</v>
      </c>
    </row>
    <row r="12" spans="1:6">
      <c r="A12" s="5">
        <v>8</v>
      </c>
      <c r="B12" s="8" t="s">
        <v>26</v>
      </c>
      <c r="C12" s="12" t="s">
        <v>10</v>
      </c>
      <c r="D12" s="64" t="s">
        <v>48</v>
      </c>
      <c r="E12" s="7">
        <v>39539</v>
      </c>
      <c r="F12" s="76" t="s">
        <v>163</v>
      </c>
    </row>
    <row r="13" spans="1:6">
      <c r="A13" s="5">
        <v>9</v>
      </c>
      <c r="B13" s="90" t="s">
        <v>124</v>
      </c>
      <c r="C13" s="99" t="s">
        <v>138</v>
      </c>
      <c r="D13" s="86" t="s">
        <v>125</v>
      </c>
      <c r="E13" s="20">
        <v>45200</v>
      </c>
      <c r="F13" s="78" t="s">
        <v>223</v>
      </c>
    </row>
    <row r="14" spans="1:6">
      <c r="A14" s="11">
        <v>10</v>
      </c>
      <c r="B14" s="8" t="s">
        <v>28</v>
      </c>
      <c r="C14" s="12" t="s">
        <v>12</v>
      </c>
      <c r="D14" s="64" t="s">
        <v>48</v>
      </c>
      <c r="E14" s="7">
        <v>41000</v>
      </c>
      <c r="F14" s="107" t="s">
        <v>188</v>
      </c>
    </row>
    <row r="15" spans="1:6">
      <c r="A15" s="5">
        <v>11</v>
      </c>
      <c r="B15" s="46" t="s">
        <v>63</v>
      </c>
      <c r="C15" s="99" t="s">
        <v>158</v>
      </c>
      <c r="D15" s="64" t="s">
        <v>48</v>
      </c>
      <c r="E15" s="43">
        <v>41183</v>
      </c>
      <c r="F15" s="107" t="s">
        <v>188</v>
      </c>
    </row>
    <row r="16" spans="1:6">
      <c r="A16" s="5">
        <v>12</v>
      </c>
      <c r="B16" s="8" t="s">
        <v>15</v>
      </c>
      <c r="C16" s="12" t="s">
        <v>143</v>
      </c>
      <c r="D16" s="64" t="s">
        <v>48</v>
      </c>
      <c r="E16" s="7">
        <v>43191</v>
      </c>
      <c r="F16" s="51" t="s">
        <v>178</v>
      </c>
    </row>
    <row r="17" spans="1:6">
      <c r="A17" s="11">
        <v>13</v>
      </c>
      <c r="B17" s="90" t="s">
        <v>47</v>
      </c>
      <c r="C17" s="99" t="s">
        <v>151</v>
      </c>
      <c r="D17" s="86" t="s">
        <v>125</v>
      </c>
      <c r="E17" s="20">
        <v>45200</v>
      </c>
      <c r="F17" s="75" t="s">
        <v>206</v>
      </c>
    </row>
    <row r="18" spans="1:6">
      <c r="A18" s="5">
        <v>14</v>
      </c>
      <c r="B18" s="8" t="s">
        <v>17</v>
      </c>
      <c r="C18" s="12" t="s">
        <v>29</v>
      </c>
      <c r="D18" s="9" t="s">
        <v>135</v>
      </c>
      <c r="E18" s="7">
        <v>43191</v>
      </c>
      <c r="F18" s="67" t="s">
        <v>197</v>
      </c>
    </row>
    <row r="19" spans="1:6">
      <c r="A19" s="5">
        <v>15</v>
      </c>
      <c r="B19" s="26" t="s">
        <v>38</v>
      </c>
      <c r="C19" s="36" t="s">
        <v>121</v>
      </c>
      <c r="D19" s="9" t="s">
        <v>135</v>
      </c>
      <c r="E19" s="20">
        <v>43191</v>
      </c>
      <c r="F19" s="107" t="s">
        <v>192</v>
      </c>
    </row>
    <row r="20" spans="1:6">
      <c r="A20" s="11">
        <v>16</v>
      </c>
      <c r="B20" s="8" t="s">
        <v>20</v>
      </c>
      <c r="C20" s="99" t="s">
        <v>8</v>
      </c>
      <c r="D20" s="10" t="s">
        <v>135</v>
      </c>
      <c r="E20" s="7">
        <v>43739</v>
      </c>
      <c r="F20" s="113" t="s">
        <v>177</v>
      </c>
    </row>
    <row r="21" spans="1:6">
      <c r="A21" s="5">
        <v>17</v>
      </c>
      <c r="B21" s="90" t="s">
        <v>111</v>
      </c>
      <c r="C21" s="99" t="s">
        <v>148</v>
      </c>
      <c r="D21" s="65" t="s">
        <v>48</v>
      </c>
      <c r="E21" s="20">
        <v>43739</v>
      </c>
      <c r="F21" s="34" t="s">
        <v>207</v>
      </c>
    </row>
    <row r="22" spans="1:6">
      <c r="A22" s="5">
        <v>18</v>
      </c>
      <c r="B22" s="89" t="s">
        <v>56</v>
      </c>
      <c r="C22" s="99" t="s">
        <v>149</v>
      </c>
      <c r="D22" s="31" t="s">
        <v>48</v>
      </c>
      <c r="E22" s="20">
        <v>43739</v>
      </c>
      <c r="F22" s="34" t="s">
        <v>205</v>
      </c>
    </row>
    <row r="23" spans="1:6">
      <c r="A23" s="11">
        <v>19</v>
      </c>
      <c r="B23" s="91" t="s">
        <v>118</v>
      </c>
      <c r="C23" s="12" t="s">
        <v>134</v>
      </c>
      <c r="D23" s="64" t="s">
        <v>48</v>
      </c>
      <c r="E23" s="20">
        <v>43739</v>
      </c>
      <c r="F23" s="6" t="s">
        <v>184</v>
      </c>
    </row>
    <row r="24" spans="1:6">
      <c r="A24" s="5">
        <v>20</v>
      </c>
      <c r="B24" s="17" t="s">
        <v>21</v>
      </c>
      <c r="C24" s="50" t="s">
        <v>214</v>
      </c>
      <c r="D24" s="10" t="s">
        <v>150</v>
      </c>
      <c r="E24" s="7">
        <v>45200</v>
      </c>
      <c r="F24" s="45" t="s">
        <v>164</v>
      </c>
    </row>
    <row r="25" spans="1:6">
      <c r="A25" s="5">
        <v>21</v>
      </c>
      <c r="B25" s="22" t="s">
        <v>109</v>
      </c>
      <c r="C25" s="12" t="s">
        <v>85</v>
      </c>
      <c r="D25" s="86" t="s">
        <v>150</v>
      </c>
      <c r="E25" s="20">
        <v>45200</v>
      </c>
      <c r="F25" s="12" t="s">
        <v>165</v>
      </c>
    </row>
    <row r="26" spans="1:6">
      <c r="A26" s="11">
        <v>22</v>
      </c>
      <c r="B26" s="89" t="s">
        <v>58</v>
      </c>
      <c r="C26" s="99" t="s">
        <v>57</v>
      </c>
      <c r="D26" s="31" t="s">
        <v>48</v>
      </c>
      <c r="E26" s="13" t="s">
        <v>171</v>
      </c>
      <c r="F26" s="34" t="s">
        <v>208</v>
      </c>
    </row>
    <row r="27" spans="1:6">
      <c r="A27" s="5">
        <v>23</v>
      </c>
      <c r="B27" s="21" t="s">
        <v>107</v>
      </c>
      <c r="C27" s="12" t="s">
        <v>83</v>
      </c>
      <c r="D27" s="64" t="s">
        <v>48</v>
      </c>
      <c r="E27" s="7">
        <v>44470</v>
      </c>
      <c r="F27" s="6" t="s">
        <v>178</v>
      </c>
    </row>
    <row r="28" spans="1:6">
      <c r="A28" s="5">
        <v>24</v>
      </c>
      <c r="B28" s="23" t="s">
        <v>127</v>
      </c>
      <c r="C28" s="57" t="s">
        <v>68</v>
      </c>
      <c r="D28" s="24" t="s">
        <v>48</v>
      </c>
      <c r="E28" s="7">
        <v>44470</v>
      </c>
      <c r="F28" s="25" t="s">
        <v>181</v>
      </c>
    </row>
    <row r="29" spans="1:6">
      <c r="A29" s="11">
        <v>25</v>
      </c>
      <c r="B29" s="16" t="s">
        <v>14</v>
      </c>
      <c r="C29" s="12" t="s">
        <v>53</v>
      </c>
      <c r="D29" s="24" t="s">
        <v>125</v>
      </c>
      <c r="E29" s="7">
        <v>45200</v>
      </c>
      <c r="F29" s="52" t="s">
        <v>186</v>
      </c>
    </row>
    <row r="30" spans="1:6">
      <c r="A30" s="5">
        <v>26</v>
      </c>
      <c r="B30" s="8" t="s">
        <v>19</v>
      </c>
      <c r="C30" s="12" t="s">
        <v>7</v>
      </c>
      <c r="D30" s="24" t="s">
        <v>48</v>
      </c>
      <c r="E30" s="7">
        <v>44470</v>
      </c>
      <c r="F30" s="68" t="s">
        <v>198</v>
      </c>
    </row>
    <row r="31" spans="1:6">
      <c r="A31" s="5">
        <v>27</v>
      </c>
      <c r="B31" s="8" t="s">
        <v>18</v>
      </c>
      <c r="C31" s="12" t="s">
        <v>6</v>
      </c>
      <c r="D31" s="24" t="s">
        <v>125</v>
      </c>
      <c r="E31" s="7">
        <v>45200</v>
      </c>
      <c r="F31" s="51" t="s">
        <v>184</v>
      </c>
    </row>
    <row r="32" spans="1:6">
      <c r="A32" s="11">
        <v>28</v>
      </c>
      <c r="B32" s="8" t="s">
        <v>115</v>
      </c>
      <c r="C32" s="12" t="s">
        <v>91</v>
      </c>
      <c r="D32" s="71" t="s">
        <v>48</v>
      </c>
      <c r="E32" s="7">
        <v>44652</v>
      </c>
      <c r="F32" s="51" t="s">
        <v>185</v>
      </c>
    </row>
    <row r="33" spans="1:6">
      <c r="A33" s="5">
        <v>29</v>
      </c>
      <c r="B33" s="26" t="s">
        <v>45</v>
      </c>
      <c r="C33" s="36" t="s">
        <v>147</v>
      </c>
      <c r="D33" s="9" t="s">
        <v>48</v>
      </c>
      <c r="E33" s="7">
        <v>44835</v>
      </c>
      <c r="F33" s="27" t="s">
        <v>190</v>
      </c>
    </row>
    <row r="34" spans="1:6">
      <c r="A34" s="5">
        <v>30</v>
      </c>
      <c r="B34" s="26" t="s">
        <v>46</v>
      </c>
      <c r="C34" s="36" t="s">
        <v>154</v>
      </c>
      <c r="D34" s="9" t="s">
        <v>48</v>
      </c>
      <c r="E34" s="7">
        <v>44835</v>
      </c>
      <c r="F34" s="27" t="s">
        <v>187</v>
      </c>
    </row>
    <row r="35" spans="1:6">
      <c r="A35" s="11">
        <v>31</v>
      </c>
      <c r="B35" s="26" t="s">
        <v>128</v>
      </c>
      <c r="C35" s="36" t="s">
        <v>30</v>
      </c>
      <c r="D35" s="9" t="s">
        <v>51</v>
      </c>
      <c r="E35" s="20">
        <v>43191</v>
      </c>
      <c r="F35" s="72" t="s">
        <v>204</v>
      </c>
    </row>
    <row r="36" spans="1:6">
      <c r="A36" s="5">
        <v>32</v>
      </c>
      <c r="B36" s="8" t="s">
        <v>24</v>
      </c>
      <c r="C36" s="12" t="s">
        <v>168</v>
      </c>
      <c r="D36" s="9" t="s">
        <v>51</v>
      </c>
      <c r="E36" s="7">
        <v>43556</v>
      </c>
      <c r="F36" s="51" t="s">
        <v>183</v>
      </c>
    </row>
    <row r="37" spans="1:6">
      <c r="A37" s="5">
        <v>33</v>
      </c>
      <c r="B37" s="29" t="s">
        <v>129</v>
      </c>
      <c r="C37" s="41" t="s">
        <v>145</v>
      </c>
      <c r="D37" s="30" t="s">
        <v>49</v>
      </c>
      <c r="E37" s="20">
        <v>43556</v>
      </c>
      <c r="F37" s="27" t="s">
        <v>182</v>
      </c>
    </row>
    <row r="38" spans="1:6">
      <c r="A38" s="11">
        <v>34</v>
      </c>
      <c r="B38" s="37" t="s">
        <v>39</v>
      </c>
      <c r="C38" s="38" t="s">
        <v>146</v>
      </c>
      <c r="D38" s="10" t="s">
        <v>49</v>
      </c>
      <c r="E38" s="33">
        <v>43556</v>
      </c>
      <c r="F38" s="112" t="s">
        <v>192</v>
      </c>
    </row>
    <row r="39" spans="1:6">
      <c r="A39" s="5">
        <v>35</v>
      </c>
      <c r="B39" s="92" t="s">
        <v>72</v>
      </c>
      <c r="C39" s="99" t="s">
        <v>73</v>
      </c>
      <c r="D39" s="64" t="s">
        <v>49</v>
      </c>
      <c r="E39" s="20">
        <v>43556</v>
      </c>
      <c r="F39" s="68" t="s">
        <v>180</v>
      </c>
    </row>
    <row r="40" spans="1:6">
      <c r="A40" s="5">
        <v>36</v>
      </c>
      <c r="B40" s="26" t="s">
        <v>101</v>
      </c>
      <c r="C40" s="36" t="s">
        <v>69</v>
      </c>
      <c r="D40" s="64" t="s">
        <v>49</v>
      </c>
      <c r="E40" s="20">
        <v>43556</v>
      </c>
      <c r="F40" s="68" t="s">
        <v>181</v>
      </c>
    </row>
    <row r="41" spans="1:6">
      <c r="A41" s="11">
        <v>37</v>
      </c>
      <c r="B41" s="26" t="s">
        <v>167</v>
      </c>
      <c r="C41" s="36" t="s">
        <v>155</v>
      </c>
      <c r="D41" s="28" t="s">
        <v>49</v>
      </c>
      <c r="E41" s="7">
        <v>43739</v>
      </c>
      <c r="F41" s="111" t="s">
        <v>197</v>
      </c>
    </row>
    <row r="42" spans="1:6">
      <c r="A42" s="5">
        <v>38</v>
      </c>
      <c r="B42" s="26" t="s">
        <v>40</v>
      </c>
      <c r="C42" s="36" t="s">
        <v>32</v>
      </c>
      <c r="D42" s="64" t="s">
        <v>141</v>
      </c>
      <c r="E42" s="20">
        <v>43739</v>
      </c>
      <c r="F42" s="72" t="s">
        <v>198</v>
      </c>
    </row>
    <row r="43" spans="1:6">
      <c r="A43" s="5">
        <v>39</v>
      </c>
      <c r="B43" s="93" t="s">
        <v>44</v>
      </c>
      <c r="C43" s="101" t="s">
        <v>36</v>
      </c>
      <c r="D43" s="64" t="s">
        <v>141</v>
      </c>
      <c r="E43" s="20">
        <v>43739</v>
      </c>
      <c r="F43" s="107" t="s">
        <v>217</v>
      </c>
    </row>
    <row r="44" spans="1:6">
      <c r="A44" s="11">
        <v>40</v>
      </c>
      <c r="B44" s="26" t="s">
        <v>37</v>
      </c>
      <c r="C44" s="36" t="s">
        <v>31</v>
      </c>
      <c r="D44" s="9" t="s">
        <v>49</v>
      </c>
      <c r="E44" s="20">
        <v>43739</v>
      </c>
      <c r="F44" s="107" t="s">
        <v>188</v>
      </c>
    </row>
    <row r="45" spans="1:6">
      <c r="A45" s="11">
        <v>41</v>
      </c>
      <c r="B45" s="46" t="s">
        <v>64</v>
      </c>
      <c r="C45" s="58" t="s">
        <v>159</v>
      </c>
      <c r="D45" s="66" t="s">
        <v>49</v>
      </c>
      <c r="E45" s="44" t="s">
        <v>152</v>
      </c>
      <c r="F45" s="107" t="s">
        <v>188</v>
      </c>
    </row>
    <row r="46" spans="1:6">
      <c r="A46" s="5">
        <v>42</v>
      </c>
      <c r="B46" s="8" t="s">
        <v>95</v>
      </c>
      <c r="C46" s="12" t="s">
        <v>66</v>
      </c>
      <c r="D46" s="64" t="s">
        <v>49</v>
      </c>
      <c r="E46" s="7">
        <v>43922</v>
      </c>
      <c r="F46" s="109" t="s">
        <v>188</v>
      </c>
    </row>
    <row r="47" spans="1:6">
      <c r="A47" s="5">
        <v>43</v>
      </c>
      <c r="B47" s="8" t="s">
        <v>96</v>
      </c>
      <c r="C47" s="12" t="s">
        <v>215</v>
      </c>
      <c r="D47" s="64" t="s">
        <v>49</v>
      </c>
      <c r="E47" s="7">
        <v>43922</v>
      </c>
      <c r="F47" s="109" t="s">
        <v>219</v>
      </c>
    </row>
    <row r="48" spans="1:6">
      <c r="A48" s="11">
        <v>44</v>
      </c>
      <c r="B48" s="94" t="s">
        <v>76</v>
      </c>
      <c r="C48" s="116" t="s">
        <v>123</v>
      </c>
      <c r="D48" s="64" t="s">
        <v>49</v>
      </c>
      <c r="E48" s="20">
        <v>43922</v>
      </c>
      <c r="F48" s="69" t="s">
        <v>180</v>
      </c>
    </row>
    <row r="49" spans="1:6">
      <c r="A49" s="11">
        <v>45</v>
      </c>
      <c r="B49" s="8" t="s">
        <v>114</v>
      </c>
      <c r="C49" s="12" t="s">
        <v>126</v>
      </c>
      <c r="D49" s="64" t="s">
        <v>49</v>
      </c>
      <c r="E49" s="13" t="s">
        <v>161</v>
      </c>
      <c r="F49" s="69" t="s">
        <v>187</v>
      </c>
    </row>
    <row r="50" spans="1:6">
      <c r="A50" s="5">
        <v>46</v>
      </c>
      <c r="B50" s="91" t="s">
        <v>156</v>
      </c>
      <c r="C50" s="99" t="s">
        <v>35</v>
      </c>
      <c r="D50" s="64" t="s">
        <v>141</v>
      </c>
      <c r="E50" s="13">
        <v>44105</v>
      </c>
      <c r="F50" s="103" t="s">
        <v>184</v>
      </c>
    </row>
    <row r="51" spans="1:6">
      <c r="A51" s="5">
        <v>47</v>
      </c>
      <c r="B51" s="91" t="s">
        <v>119</v>
      </c>
      <c r="C51" s="12" t="s">
        <v>93</v>
      </c>
      <c r="D51" s="64" t="s">
        <v>49</v>
      </c>
      <c r="E51" s="7">
        <v>44287</v>
      </c>
      <c r="F51" s="106" t="s">
        <v>186</v>
      </c>
    </row>
    <row r="52" spans="1:6">
      <c r="A52" s="11">
        <v>48</v>
      </c>
      <c r="B52" s="26" t="s">
        <v>100</v>
      </c>
      <c r="C52" s="36" t="s">
        <v>169</v>
      </c>
      <c r="D52" s="64" t="s">
        <v>49</v>
      </c>
      <c r="E52" s="7">
        <v>44287</v>
      </c>
      <c r="F52" s="27" t="s">
        <v>181</v>
      </c>
    </row>
    <row r="53" spans="1:6">
      <c r="A53" s="11">
        <v>49</v>
      </c>
      <c r="B53" s="8" t="s">
        <v>120</v>
      </c>
      <c r="C53" s="12" t="s">
        <v>94</v>
      </c>
      <c r="D53" s="64" t="s">
        <v>49</v>
      </c>
      <c r="E53" s="7">
        <v>44287</v>
      </c>
      <c r="F53" s="107" t="s">
        <v>218</v>
      </c>
    </row>
    <row r="54" spans="1:6">
      <c r="A54" s="11">
        <v>50</v>
      </c>
      <c r="B54" s="91" t="s">
        <v>112</v>
      </c>
      <c r="C54" s="99" t="s">
        <v>89</v>
      </c>
      <c r="D54" s="64" t="s">
        <v>49</v>
      </c>
      <c r="E54" s="7">
        <v>44287</v>
      </c>
      <c r="F54" s="107" t="s">
        <v>186</v>
      </c>
    </row>
    <row r="55" spans="1:6">
      <c r="A55" s="5">
        <v>51</v>
      </c>
      <c r="B55" s="26" t="s">
        <v>41</v>
      </c>
      <c r="C55" s="36" t="s">
        <v>33</v>
      </c>
      <c r="D55" s="64" t="s">
        <v>49</v>
      </c>
      <c r="E55" s="20">
        <v>44287</v>
      </c>
      <c r="F55" s="72" t="s">
        <v>180</v>
      </c>
    </row>
    <row r="56" spans="1:6">
      <c r="A56" s="5">
        <v>52</v>
      </c>
      <c r="B56" s="93" t="s">
        <v>71</v>
      </c>
      <c r="C56" s="105" t="s">
        <v>34</v>
      </c>
      <c r="D56" s="64" t="s">
        <v>49</v>
      </c>
      <c r="E56" s="20">
        <v>44287</v>
      </c>
      <c r="F56" s="72" t="s">
        <v>217</v>
      </c>
    </row>
    <row r="57" spans="1:6">
      <c r="A57" s="11">
        <v>53</v>
      </c>
      <c r="B57" s="8" t="s">
        <v>82</v>
      </c>
      <c r="C57" s="34" t="s">
        <v>79</v>
      </c>
      <c r="D57" s="64" t="s">
        <v>49</v>
      </c>
      <c r="E57" s="20">
        <v>44287</v>
      </c>
      <c r="F57" s="107" t="s">
        <v>189</v>
      </c>
    </row>
    <row r="58" spans="1:6">
      <c r="A58" s="11">
        <v>54</v>
      </c>
      <c r="B58" s="8" t="s">
        <v>130</v>
      </c>
      <c r="C58" s="34" t="s">
        <v>226</v>
      </c>
      <c r="D58" s="64" t="s">
        <v>49</v>
      </c>
      <c r="E58" s="20">
        <v>44287</v>
      </c>
      <c r="F58" s="107" t="s">
        <v>189</v>
      </c>
    </row>
    <row r="59" spans="1:6">
      <c r="A59" s="11">
        <v>55</v>
      </c>
      <c r="B59" s="93" t="s">
        <v>70</v>
      </c>
      <c r="C59" s="119" t="s">
        <v>225</v>
      </c>
      <c r="D59" s="64" t="s">
        <v>49</v>
      </c>
      <c r="E59" s="20">
        <v>44287</v>
      </c>
      <c r="F59" s="72" t="s">
        <v>203</v>
      </c>
    </row>
    <row r="60" spans="1:6">
      <c r="A60" s="5">
        <v>56</v>
      </c>
      <c r="B60" s="8" t="s">
        <v>106</v>
      </c>
      <c r="C60" s="34" t="s">
        <v>80</v>
      </c>
      <c r="D60" s="64" t="s">
        <v>49</v>
      </c>
      <c r="E60" s="20">
        <v>44287</v>
      </c>
      <c r="F60" s="107" t="s">
        <v>191</v>
      </c>
    </row>
    <row r="61" spans="1:6">
      <c r="A61" s="5">
        <v>57</v>
      </c>
      <c r="B61" s="89" t="s">
        <v>62</v>
      </c>
      <c r="C61" s="99" t="s">
        <v>61</v>
      </c>
      <c r="D61" s="31" t="s">
        <v>49</v>
      </c>
      <c r="E61" s="13" t="s">
        <v>171</v>
      </c>
      <c r="F61" s="68" t="s">
        <v>200</v>
      </c>
    </row>
    <row r="62" spans="1:6">
      <c r="A62" s="11">
        <v>58</v>
      </c>
      <c r="B62" s="90" t="s">
        <v>110</v>
      </c>
      <c r="C62" s="120" t="s">
        <v>88</v>
      </c>
      <c r="D62" s="64" t="s">
        <v>49</v>
      </c>
      <c r="E62" s="7">
        <v>44470</v>
      </c>
      <c r="F62" s="75" t="s">
        <v>174</v>
      </c>
    </row>
    <row r="63" spans="1:6">
      <c r="A63" s="11">
        <v>59</v>
      </c>
      <c r="B63" s="89" t="s">
        <v>60</v>
      </c>
      <c r="C63" s="117" t="s">
        <v>59</v>
      </c>
      <c r="D63" s="64" t="s">
        <v>49</v>
      </c>
      <c r="E63" s="7">
        <v>44470</v>
      </c>
      <c r="F63" s="32" t="s">
        <v>209</v>
      </c>
    </row>
    <row r="64" spans="1:6">
      <c r="A64" s="11">
        <v>60</v>
      </c>
      <c r="B64" s="39" t="s">
        <v>81</v>
      </c>
      <c r="C64" s="12" t="s">
        <v>202</v>
      </c>
      <c r="D64" s="64" t="s">
        <v>49</v>
      </c>
      <c r="E64" s="7">
        <v>44470</v>
      </c>
      <c r="F64" s="6" t="s">
        <v>197</v>
      </c>
    </row>
    <row r="65" spans="1:6">
      <c r="A65" s="5">
        <v>61</v>
      </c>
      <c r="B65" s="29" t="s">
        <v>99</v>
      </c>
      <c r="C65" s="41" t="s">
        <v>122</v>
      </c>
      <c r="D65" s="64" t="s">
        <v>49</v>
      </c>
      <c r="E65" s="7">
        <v>44470</v>
      </c>
      <c r="F65" s="27" t="s">
        <v>192</v>
      </c>
    </row>
    <row r="66" spans="1:6" ht="14.5" customHeight="1" thickBot="1">
      <c r="A66" s="5">
        <v>62</v>
      </c>
      <c r="B66" s="95" t="s">
        <v>196</v>
      </c>
      <c r="C66" s="41" t="s">
        <v>194</v>
      </c>
      <c r="D66" s="64" t="s">
        <v>49</v>
      </c>
      <c r="E66" s="7" t="s">
        <v>172</v>
      </c>
      <c r="F66" s="27" t="s">
        <v>195</v>
      </c>
    </row>
    <row r="67" spans="1:6">
      <c r="A67" s="11">
        <v>63</v>
      </c>
      <c r="B67" s="90" t="s">
        <v>87</v>
      </c>
      <c r="C67" s="99" t="s">
        <v>139</v>
      </c>
      <c r="D67" s="65" t="s">
        <v>49</v>
      </c>
      <c r="E67" s="7" t="s">
        <v>172</v>
      </c>
      <c r="F67" s="75" t="s">
        <v>166</v>
      </c>
    </row>
    <row r="68" spans="1:6">
      <c r="A68" s="11">
        <v>64</v>
      </c>
      <c r="B68" s="8" t="s">
        <v>105</v>
      </c>
      <c r="C68" s="34" t="s">
        <v>142</v>
      </c>
      <c r="D68" s="65" t="s">
        <v>49</v>
      </c>
      <c r="E68" s="7" t="s">
        <v>172</v>
      </c>
      <c r="F68" s="27" t="s">
        <v>182</v>
      </c>
    </row>
    <row r="69" spans="1:6">
      <c r="A69" s="11">
        <v>65</v>
      </c>
      <c r="B69" s="104" t="s">
        <v>86</v>
      </c>
      <c r="C69" s="120" t="s">
        <v>140</v>
      </c>
      <c r="D69" s="65" t="s">
        <v>49</v>
      </c>
      <c r="E69" s="20">
        <v>40817</v>
      </c>
      <c r="F69" s="75" t="s">
        <v>175</v>
      </c>
    </row>
    <row r="70" spans="1:6">
      <c r="A70" s="5">
        <v>66</v>
      </c>
      <c r="B70" s="8" t="s">
        <v>98</v>
      </c>
      <c r="C70" s="12" t="s">
        <v>67</v>
      </c>
      <c r="D70" s="70" t="s">
        <v>49</v>
      </c>
      <c r="E70" s="20">
        <v>44835</v>
      </c>
      <c r="F70" s="107" t="s">
        <v>198</v>
      </c>
    </row>
    <row r="71" spans="1:6">
      <c r="A71" s="5">
        <v>67</v>
      </c>
      <c r="B71" s="96" t="s">
        <v>102</v>
      </c>
      <c r="C71" s="120" t="s">
        <v>77</v>
      </c>
      <c r="D71" s="65" t="s">
        <v>49</v>
      </c>
      <c r="E71" s="20">
        <v>44652</v>
      </c>
      <c r="F71" s="110" t="s">
        <v>216</v>
      </c>
    </row>
    <row r="72" spans="1:6">
      <c r="A72" s="11">
        <v>68</v>
      </c>
      <c r="B72" s="94" t="s">
        <v>74</v>
      </c>
      <c r="C72" s="99" t="s">
        <v>75</v>
      </c>
      <c r="D72" s="64" t="s">
        <v>49</v>
      </c>
      <c r="E72" s="20">
        <v>44652</v>
      </c>
      <c r="F72" s="68" t="s">
        <v>180</v>
      </c>
    </row>
    <row r="73" spans="1:6">
      <c r="A73" s="11">
        <v>69</v>
      </c>
      <c r="B73" s="8" t="s">
        <v>113</v>
      </c>
      <c r="C73" s="118" t="s">
        <v>90</v>
      </c>
      <c r="D73" s="64" t="s">
        <v>49</v>
      </c>
      <c r="E73" s="20">
        <v>44652</v>
      </c>
      <c r="F73" s="107" t="s">
        <v>186</v>
      </c>
    </row>
    <row r="74" spans="1:6">
      <c r="A74" s="11">
        <v>70</v>
      </c>
      <c r="B74" s="8" t="s">
        <v>97</v>
      </c>
      <c r="C74" s="12" t="s">
        <v>137</v>
      </c>
      <c r="D74" s="73" t="s">
        <v>49</v>
      </c>
      <c r="E74" s="7">
        <v>45017</v>
      </c>
      <c r="F74" s="53" t="s">
        <v>192</v>
      </c>
    </row>
    <row r="75" spans="1:6">
      <c r="A75" s="5">
        <v>71</v>
      </c>
      <c r="B75" s="97" t="s">
        <v>116</v>
      </c>
      <c r="C75" s="50" t="s">
        <v>212</v>
      </c>
      <c r="D75" s="87" t="s">
        <v>49</v>
      </c>
      <c r="E75" s="33">
        <v>45200</v>
      </c>
      <c r="F75" s="79" t="s">
        <v>210</v>
      </c>
    </row>
    <row r="76" spans="1:6">
      <c r="A76" s="5">
        <v>72</v>
      </c>
      <c r="B76" s="8" t="s">
        <v>104</v>
      </c>
      <c r="C76" s="34" t="s">
        <v>213</v>
      </c>
      <c r="D76" s="86" t="s">
        <v>49</v>
      </c>
      <c r="E76" s="7">
        <v>45200</v>
      </c>
      <c r="F76" s="109" t="s">
        <v>191</v>
      </c>
    </row>
    <row r="77" spans="1:6">
      <c r="A77" s="11">
        <v>73</v>
      </c>
      <c r="B77" s="91" t="s">
        <v>43</v>
      </c>
      <c r="C77" s="99" t="s">
        <v>160</v>
      </c>
      <c r="D77" s="64" t="s">
        <v>50</v>
      </c>
      <c r="E77" s="20">
        <v>41913</v>
      </c>
      <c r="F77" s="74" t="s">
        <v>193</v>
      </c>
    </row>
    <row r="78" spans="1:6">
      <c r="A78" s="11">
        <v>74</v>
      </c>
      <c r="B78" s="98" t="s">
        <v>65</v>
      </c>
      <c r="C78" s="59" t="s">
        <v>199</v>
      </c>
      <c r="D78" s="66" t="s">
        <v>50</v>
      </c>
      <c r="E78" s="42" t="s">
        <v>136</v>
      </c>
      <c r="F78" s="68" t="s">
        <v>182</v>
      </c>
    </row>
    <row r="79" spans="1:6">
      <c r="A79" s="11">
        <v>75</v>
      </c>
      <c r="B79" s="91" t="s">
        <v>117</v>
      </c>
      <c r="C79" s="12" t="s">
        <v>92</v>
      </c>
      <c r="D79" s="64" t="s">
        <v>50</v>
      </c>
      <c r="E79" s="20">
        <v>42644</v>
      </c>
      <c r="F79" s="107" t="s">
        <v>191</v>
      </c>
    </row>
    <row r="80" spans="1:6">
      <c r="A80" s="5">
        <v>76</v>
      </c>
      <c r="B80" s="17" t="s">
        <v>27</v>
      </c>
      <c r="C80" s="50" t="s">
        <v>11</v>
      </c>
      <c r="D80" s="10" t="s">
        <v>52</v>
      </c>
      <c r="E80" s="18">
        <v>43191</v>
      </c>
      <c r="F80" s="108" t="s">
        <v>184</v>
      </c>
    </row>
    <row r="81" spans="1:6">
      <c r="A81" s="5">
        <v>77</v>
      </c>
      <c r="B81" s="40" t="s">
        <v>42</v>
      </c>
      <c r="C81" s="36" t="s">
        <v>144</v>
      </c>
      <c r="D81" s="64" t="s">
        <v>50</v>
      </c>
      <c r="E81" s="20">
        <v>43374</v>
      </c>
      <c r="F81" s="107" t="s">
        <v>183</v>
      </c>
    </row>
    <row r="82" spans="1:6">
      <c r="A82" s="11">
        <v>78</v>
      </c>
      <c r="B82" s="92" t="s">
        <v>103</v>
      </c>
      <c r="C82" s="120" t="s">
        <v>78</v>
      </c>
      <c r="D82" s="64" t="s">
        <v>50</v>
      </c>
      <c r="E82" s="20">
        <v>43922</v>
      </c>
      <c r="F82" s="72" t="s">
        <v>187</v>
      </c>
    </row>
    <row r="83" spans="1:6">
      <c r="A83" s="35">
        <v>79</v>
      </c>
      <c r="B83" s="80" t="s">
        <v>108</v>
      </c>
      <c r="C83" s="55" t="s">
        <v>84</v>
      </c>
      <c r="D83" s="81" t="s">
        <v>50</v>
      </c>
      <c r="E83" s="82">
        <v>44105</v>
      </c>
      <c r="F83" s="83" t="s">
        <v>179</v>
      </c>
    </row>
  </sheetData>
  <mergeCells count="1">
    <mergeCell ref="A2:F2"/>
  </mergeCells>
  <pageMargins left="0.88" right="0" top="0.39370078740157483" bottom="0.39370078740157483" header="0.39370078740157483" footer="0.39370078740157483"/>
  <pageSetup paperSize="256" scale="70" fitToWidth="0" fitToHeight="0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1"/>
  <sheetViews>
    <sheetView topLeftCell="A16" workbookViewId="0">
      <selection activeCell="H17" sqref="H17"/>
    </sheetView>
  </sheetViews>
  <sheetFormatPr defaultRowHeight="14.5"/>
  <cols>
    <col min="1" max="1" width="27.1796875" customWidth="1"/>
    <col min="2" max="2" width="18.81640625" customWidth="1"/>
    <col min="3" max="3" width="19.81640625" customWidth="1"/>
    <col min="4" max="4" width="18.54296875" customWidth="1"/>
    <col min="5" max="5" width="8.54296875" customWidth="1"/>
    <col min="6" max="6" width="17.1796875" customWidth="1"/>
    <col min="7" max="7" width="24" customWidth="1"/>
    <col min="8" max="8" width="75.26953125" customWidth="1"/>
  </cols>
  <sheetData>
    <row r="2" spans="1:8" s="121" customFormat="1" ht="50.5">
      <c r="A2" s="122" t="s">
        <v>307</v>
      </c>
      <c r="B2" s="122" t="s">
        <v>133</v>
      </c>
      <c r="C2" s="123" t="s">
        <v>308</v>
      </c>
      <c r="D2" s="123" t="s">
        <v>309</v>
      </c>
      <c r="E2" s="122" t="s">
        <v>310</v>
      </c>
      <c r="F2" s="122" t="s">
        <v>311</v>
      </c>
      <c r="G2" s="122" t="s">
        <v>312</v>
      </c>
      <c r="H2" s="124" t="s">
        <v>313</v>
      </c>
    </row>
    <row r="3" spans="1:8">
      <c r="A3" s="132" t="s">
        <v>278</v>
      </c>
      <c r="B3" s="129" t="s">
        <v>112</v>
      </c>
      <c r="C3" s="125" t="s">
        <v>375</v>
      </c>
      <c r="D3" s="125" t="s">
        <v>376</v>
      </c>
      <c r="E3" s="125" t="s">
        <v>316</v>
      </c>
      <c r="F3" s="126">
        <v>45474</v>
      </c>
      <c r="G3" s="125" t="s">
        <v>377</v>
      </c>
      <c r="H3" s="127" t="s">
        <v>394</v>
      </c>
    </row>
    <row r="4" spans="1:8">
      <c r="A4" s="132" t="s">
        <v>286</v>
      </c>
      <c r="B4" s="129" t="s">
        <v>110</v>
      </c>
      <c r="C4" s="125" t="s">
        <v>433</v>
      </c>
      <c r="D4" s="125" t="s">
        <v>434</v>
      </c>
      <c r="E4" s="125" t="s">
        <v>323</v>
      </c>
      <c r="F4" s="126">
        <v>45469</v>
      </c>
      <c r="G4" s="125" t="s">
        <v>435</v>
      </c>
      <c r="H4" s="127" t="s">
        <v>436</v>
      </c>
    </row>
    <row r="5" spans="1:8">
      <c r="A5" s="132" t="s">
        <v>255</v>
      </c>
      <c r="B5" s="129" t="s">
        <v>18</v>
      </c>
      <c r="C5" s="125" t="s">
        <v>425</v>
      </c>
      <c r="D5" s="125" t="s">
        <v>426</v>
      </c>
      <c r="E5" s="125" t="s">
        <v>316</v>
      </c>
      <c r="F5" s="126">
        <v>44197</v>
      </c>
      <c r="G5" s="125" t="s">
        <v>427</v>
      </c>
      <c r="H5" s="127" t="s">
        <v>428</v>
      </c>
    </row>
    <row r="6" spans="1:8">
      <c r="A6" s="133" t="s">
        <v>254</v>
      </c>
      <c r="B6" s="133"/>
      <c r="C6" s="134"/>
      <c r="D6" s="134"/>
      <c r="E6" s="134"/>
      <c r="F6" s="134"/>
      <c r="G6" s="134"/>
      <c r="H6" s="134"/>
    </row>
    <row r="7" spans="1:8">
      <c r="A7" s="132" t="s">
        <v>248</v>
      </c>
      <c r="B7" s="129" t="s">
        <v>21</v>
      </c>
      <c r="C7" s="128" t="s">
        <v>491</v>
      </c>
      <c r="D7" s="125" t="s">
        <v>492</v>
      </c>
      <c r="E7" s="125" t="s">
        <v>323</v>
      </c>
      <c r="F7" s="126">
        <v>45124</v>
      </c>
      <c r="G7" s="125" t="s">
        <v>493</v>
      </c>
      <c r="H7" s="127" t="s">
        <v>494</v>
      </c>
    </row>
    <row r="8" spans="1:8">
      <c r="A8" s="132" t="s">
        <v>258</v>
      </c>
      <c r="B8" s="129" t="s">
        <v>553</v>
      </c>
      <c r="C8" s="125" t="s">
        <v>554</v>
      </c>
      <c r="D8" s="125" t="s">
        <v>555</v>
      </c>
      <c r="E8" s="125" t="s">
        <v>316</v>
      </c>
      <c r="F8" s="126">
        <v>42430</v>
      </c>
      <c r="G8" s="125" t="s">
        <v>556</v>
      </c>
      <c r="H8" s="127" t="s">
        <v>557</v>
      </c>
    </row>
    <row r="9" spans="1:8">
      <c r="A9" s="132" t="s">
        <v>598</v>
      </c>
      <c r="B9" s="129" t="s">
        <v>27</v>
      </c>
      <c r="C9" s="125" t="s">
        <v>474</v>
      </c>
      <c r="D9" s="125" t="s">
        <v>475</v>
      </c>
      <c r="E9" s="125" t="s">
        <v>316</v>
      </c>
      <c r="F9" s="126">
        <v>45474</v>
      </c>
      <c r="G9" s="125" t="s">
        <v>476</v>
      </c>
      <c r="H9" s="127" t="s">
        <v>477</v>
      </c>
    </row>
    <row r="10" spans="1:8">
      <c r="A10" s="133" t="s">
        <v>289</v>
      </c>
      <c r="B10" s="133"/>
      <c r="C10" s="134"/>
      <c r="D10" s="134"/>
      <c r="E10" s="134"/>
      <c r="F10" s="134"/>
      <c r="G10" s="134"/>
      <c r="H10" s="134"/>
    </row>
    <row r="11" spans="1:8">
      <c r="A11" s="133" t="s">
        <v>261</v>
      </c>
      <c r="B11" s="133"/>
      <c r="C11" s="134"/>
      <c r="D11" s="134"/>
      <c r="E11" s="134"/>
      <c r="F11" s="134"/>
      <c r="G11" s="134"/>
      <c r="H11" s="134"/>
    </row>
    <row r="12" spans="1:8">
      <c r="A12" s="132" t="s">
        <v>273</v>
      </c>
      <c r="B12" s="129" t="s">
        <v>114</v>
      </c>
      <c r="C12" s="125" t="s">
        <v>449</v>
      </c>
      <c r="D12" s="125" t="s">
        <v>450</v>
      </c>
      <c r="E12" s="125" t="s">
        <v>316</v>
      </c>
      <c r="F12" s="126">
        <v>44868</v>
      </c>
      <c r="G12" s="125" t="s">
        <v>451</v>
      </c>
      <c r="H12" s="127" t="s">
        <v>452</v>
      </c>
    </row>
    <row r="13" spans="1:8">
      <c r="A13" s="132" t="s">
        <v>264</v>
      </c>
      <c r="B13" s="129" t="s">
        <v>101</v>
      </c>
      <c r="C13" s="125" t="s">
        <v>411</v>
      </c>
      <c r="D13" s="125" t="s">
        <v>412</v>
      </c>
      <c r="E13" s="125" t="s">
        <v>316</v>
      </c>
      <c r="F13" s="126">
        <v>44868</v>
      </c>
      <c r="G13" s="125" t="s">
        <v>413</v>
      </c>
      <c r="H13" s="127" t="s">
        <v>414</v>
      </c>
    </row>
    <row r="14" spans="1:8">
      <c r="A14" s="132" t="s">
        <v>275</v>
      </c>
      <c r="B14" s="129" t="s">
        <v>119</v>
      </c>
      <c r="C14" s="125" t="s">
        <v>399</v>
      </c>
      <c r="D14" s="125" t="s">
        <v>400</v>
      </c>
      <c r="E14" s="125" t="s">
        <v>316</v>
      </c>
      <c r="F14" s="126">
        <v>44470</v>
      </c>
      <c r="G14" s="125" t="s">
        <v>401</v>
      </c>
      <c r="H14" s="127" t="s">
        <v>402</v>
      </c>
    </row>
    <row r="15" spans="1:8">
      <c r="A15" s="132" t="s">
        <v>267</v>
      </c>
      <c r="B15" s="129" t="s">
        <v>44</v>
      </c>
      <c r="C15" s="125" t="s">
        <v>545</v>
      </c>
      <c r="D15" s="125" t="s">
        <v>546</v>
      </c>
      <c r="E15" s="125" t="s">
        <v>316</v>
      </c>
      <c r="F15" s="126">
        <v>45474</v>
      </c>
      <c r="G15" s="125" t="s">
        <v>547</v>
      </c>
      <c r="H15" s="127" t="s">
        <v>548</v>
      </c>
    </row>
    <row r="16" spans="1:8">
      <c r="A16" s="132" t="s">
        <v>304</v>
      </c>
      <c r="B16" s="129" t="s">
        <v>42</v>
      </c>
      <c r="C16" s="125" t="s">
        <v>429</v>
      </c>
      <c r="D16" s="125" t="s">
        <v>430</v>
      </c>
      <c r="E16" s="125" t="s">
        <v>316</v>
      </c>
      <c r="F16" s="126">
        <v>45474</v>
      </c>
      <c r="G16" s="125" t="s">
        <v>431</v>
      </c>
      <c r="H16" s="127" t="s">
        <v>432</v>
      </c>
    </row>
    <row r="17" spans="1:8">
      <c r="A17" s="132" t="s">
        <v>270</v>
      </c>
      <c r="B17" s="129" t="s">
        <v>95</v>
      </c>
      <c r="C17" s="125" t="s">
        <v>378</v>
      </c>
      <c r="D17" s="125" t="s">
        <v>379</v>
      </c>
      <c r="E17" s="125" t="s">
        <v>316</v>
      </c>
      <c r="F17" s="126">
        <v>45474</v>
      </c>
      <c r="G17" s="125" t="s">
        <v>380</v>
      </c>
      <c r="H17" s="127" t="s">
        <v>381</v>
      </c>
    </row>
    <row r="18" spans="1:8">
      <c r="A18" s="132" t="s">
        <v>597</v>
      </c>
      <c r="B18" s="129" t="s">
        <v>74</v>
      </c>
      <c r="C18" s="125" t="s">
        <v>362</v>
      </c>
      <c r="D18" s="125" t="s">
        <v>363</v>
      </c>
      <c r="E18" s="125" t="s">
        <v>316</v>
      </c>
      <c r="F18" s="126">
        <v>44823</v>
      </c>
      <c r="G18" s="125" t="s">
        <v>364</v>
      </c>
      <c r="H18" s="127" t="s">
        <v>365</v>
      </c>
    </row>
    <row r="19" spans="1:8">
      <c r="A19" s="132" t="s">
        <v>285</v>
      </c>
      <c r="B19" s="129" t="s">
        <v>62</v>
      </c>
      <c r="C19" s="125" t="s">
        <v>371</v>
      </c>
      <c r="D19" s="125" t="s">
        <v>372</v>
      </c>
      <c r="E19" s="125" t="s">
        <v>323</v>
      </c>
      <c r="F19" s="126">
        <v>44868</v>
      </c>
      <c r="G19" s="125" t="s">
        <v>373</v>
      </c>
      <c r="H19" s="127" t="s">
        <v>374</v>
      </c>
    </row>
    <row r="20" spans="1:8">
      <c r="A20" s="132" t="s">
        <v>279</v>
      </c>
      <c r="B20" s="129" t="s">
        <v>41</v>
      </c>
      <c r="C20" s="128" t="s">
        <v>483</v>
      </c>
      <c r="D20" s="128" t="s">
        <v>484</v>
      </c>
      <c r="E20" s="125" t="s">
        <v>316</v>
      </c>
      <c r="F20" s="126">
        <v>45108</v>
      </c>
      <c r="G20" s="125" t="s">
        <v>485</v>
      </c>
      <c r="H20" s="127" t="s">
        <v>486</v>
      </c>
    </row>
    <row r="21" spans="1:8">
      <c r="A21" s="132" t="s">
        <v>277</v>
      </c>
      <c r="B21" s="129" t="s">
        <v>120</v>
      </c>
      <c r="C21" s="125" t="s">
        <v>541</v>
      </c>
      <c r="D21" s="125" t="s">
        <v>542</v>
      </c>
      <c r="E21" s="125" t="s">
        <v>316</v>
      </c>
      <c r="F21" s="126">
        <v>45444</v>
      </c>
      <c r="G21" s="125" t="s">
        <v>543</v>
      </c>
      <c r="H21" s="127" t="s">
        <v>544</v>
      </c>
    </row>
    <row r="22" spans="1:8">
      <c r="A22" s="132" t="s">
        <v>263</v>
      </c>
      <c r="B22" s="129" t="s">
        <v>72</v>
      </c>
      <c r="C22" s="125" t="s">
        <v>421</v>
      </c>
      <c r="D22" s="125" t="s">
        <v>422</v>
      </c>
      <c r="E22" s="125" t="s">
        <v>316</v>
      </c>
      <c r="F22" s="126">
        <v>44868</v>
      </c>
      <c r="G22" s="125" t="s">
        <v>423</v>
      </c>
      <c r="H22" s="127" t="s">
        <v>424</v>
      </c>
    </row>
    <row r="23" spans="1:8">
      <c r="A23" s="132" t="s">
        <v>293</v>
      </c>
      <c r="B23" s="129" t="s">
        <v>86</v>
      </c>
      <c r="C23" s="125" t="s">
        <v>470</v>
      </c>
      <c r="D23" s="125" t="s">
        <v>471</v>
      </c>
      <c r="E23" s="125" t="s">
        <v>323</v>
      </c>
      <c r="F23" s="126">
        <v>43174</v>
      </c>
      <c r="G23" s="125" t="s">
        <v>472</v>
      </c>
      <c r="H23" s="127" t="s">
        <v>473</v>
      </c>
    </row>
    <row r="24" spans="1:8">
      <c r="A24" s="132" t="s">
        <v>300</v>
      </c>
      <c r="B24" s="129" t="s">
        <v>104</v>
      </c>
      <c r="C24" s="125" t="s">
        <v>558</v>
      </c>
      <c r="D24" s="125" t="s">
        <v>559</v>
      </c>
      <c r="E24" s="125" t="s">
        <v>316</v>
      </c>
      <c r="F24" s="126">
        <v>45474</v>
      </c>
      <c r="G24" s="125" t="s">
        <v>560</v>
      </c>
      <c r="H24" s="127" t="s">
        <v>561</v>
      </c>
    </row>
    <row r="25" spans="1:8">
      <c r="A25" s="132" t="s">
        <v>295</v>
      </c>
      <c r="B25" s="129" t="s">
        <v>102</v>
      </c>
      <c r="C25" s="125" t="s">
        <v>462</v>
      </c>
      <c r="D25" s="125" t="s">
        <v>463</v>
      </c>
      <c r="E25" s="125" t="s">
        <v>418</v>
      </c>
      <c r="F25" s="126">
        <v>45474</v>
      </c>
      <c r="G25" s="125" t="s">
        <v>464</v>
      </c>
      <c r="H25" s="127" t="s">
        <v>465</v>
      </c>
    </row>
    <row r="26" spans="1:8">
      <c r="A26" s="133" t="s">
        <v>292</v>
      </c>
      <c r="B26" s="133"/>
      <c r="C26" s="134"/>
      <c r="D26" s="134"/>
      <c r="E26" s="134"/>
      <c r="F26" s="134"/>
      <c r="G26" s="134"/>
      <c r="H26" s="134"/>
    </row>
    <row r="27" spans="1:8">
      <c r="A27" s="132" t="s">
        <v>291</v>
      </c>
      <c r="B27" s="129" t="s">
        <v>87</v>
      </c>
      <c r="C27" s="125" t="s">
        <v>403</v>
      </c>
      <c r="D27" s="125" t="s">
        <v>404</v>
      </c>
      <c r="E27" s="125" t="s">
        <v>368</v>
      </c>
      <c r="F27" s="126">
        <v>45124</v>
      </c>
      <c r="G27" s="125" t="s">
        <v>405</v>
      </c>
      <c r="H27" s="127" t="s">
        <v>406</v>
      </c>
    </row>
    <row r="28" spans="1:8">
      <c r="A28" s="132" t="s">
        <v>301</v>
      </c>
      <c r="B28" s="129" t="s">
        <v>43</v>
      </c>
      <c r="C28" s="125" t="s">
        <v>529</v>
      </c>
      <c r="D28" s="125" t="s">
        <v>530</v>
      </c>
      <c r="E28" s="125" t="s">
        <v>316</v>
      </c>
      <c r="F28" s="126">
        <v>44868</v>
      </c>
      <c r="G28" s="125" t="s">
        <v>531</v>
      </c>
      <c r="H28" s="127" t="s">
        <v>532</v>
      </c>
    </row>
    <row r="29" spans="1:8">
      <c r="A29" s="132" t="s">
        <v>266</v>
      </c>
      <c r="B29" s="129" t="s">
        <v>40</v>
      </c>
      <c r="C29" s="125" t="s">
        <v>592</v>
      </c>
      <c r="D29" s="125" t="s">
        <v>593</v>
      </c>
      <c r="E29" s="125" t="s">
        <v>316</v>
      </c>
      <c r="F29" s="126">
        <v>45078</v>
      </c>
      <c r="G29" s="125" t="s">
        <v>594</v>
      </c>
      <c r="H29" s="127" t="s">
        <v>595</v>
      </c>
    </row>
    <row r="30" spans="1:8">
      <c r="A30" s="132" t="s">
        <v>280</v>
      </c>
      <c r="B30" s="129" t="s">
        <v>71</v>
      </c>
      <c r="C30" s="125" t="s">
        <v>533</v>
      </c>
      <c r="D30" s="125" t="s">
        <v>534</v>
      </c>
      <c r="E30" s="125" t="s">
        <v>316</v>
      </c>
      <c r="F30" s="126">
        <v>45474</v>
      </c>
      <c r="G30" s="125" t="s">
        <v>535</v>
      </c>
      <c r="H30" s="127" t="s">
        <v>536</v>
      </c>
    </row>
    <row r="31" spans="1:8">
      <c r="A31" s="132" t="s">
        <v>246</v>
      </c>
      <c r="B31" s="129" t="s">
        <v>415</v>
      </c>
      <c r="C31" s="125" t="s">
        <v>416</v>
      </c>
      <c r="D31" s="125" t="s">
        <v>417</v>
      </c>
      <c r="E31" s="125" t="s">
        <v>418</v>
      </c>
      <c r="F31" s="126">
        <v>45071</v>
      </c>
      <c r="G31" s="125" t="s">
        <v>419</v>
      </c>
      <c r="H31" s="127" t="s">
        <v>420</v>
      </c>
    </row>
    <row r="32" spans="1:8">
      <c r="A32" s="132" t="s">
        <v>283</v>
      </c>
      <c r="B32" s="129" t="s">
        <v>70</v>
      </c>
      <c r="C32" s="125" t="s">
        <v>332</v>
      </c>
      <c r="D32" s="125" t="s">
        <v>333</v>
      </c>
      <c r="E32" s="125" t="s">
        <v>316</v>
      </c>
      <c r="F32" s="126">
        <v>45078</v>
      </c>
      <c r="G32" s="125" t="s">
        <v>334</v>
      </c>
      <c r="H32" s="127" t="s">
        <v>335</v>
      </c>
    </row>
    <row r="33" spans="1:8">
      <c r="A33" s="132" t="s">
        <v>243</v>
      </c>
      <c r="B33" s="129" t="s">
        <v>38</v>
      </c>
      <c r="C33" s="125" t="s">
        <v>587</v>
      </c>
      <c r="D33" s="125" t="s">
        <v>588</v>
      </c>
      <c r="E33" s="125" t="s">
        <v>316</v>
      </c>
      <c r="F33" s="126">
        <v>45474</v>
      </c>
      <c r="G33" s="125" t="s">
        <v>589</v>
      </c>
      <c r="H33" s="127" t="s">
        <v>590</v>
      </c>
    </row>
    <row r="34" spans="1:8">
      <c r="A34" s="132" t="s">
        <v>306</v>
      </c>
      <c r="B34" s="129" t="s">
        <v>108</v>
      </c>
      <c r="C34" s="125" t="s">
        <v>354</v>
      </c>
      <c r="D34" s="125" t="s">
        <v>355</v>
      </c>
      <c r="E34" s="125" t="s">
        <v>316</v>
      </c>
      <c r="F34" s="126">
        <v>45078</v>
      </c>
      <c r="G34" s="125" t="s">
        <v>356</v>
      </c>
      <c r="H34" s="127" t="s">
        <v>357</v>
      </c>
    </row>
    <row r="35" spans="1:8">
      <c r="A35" s="133" t="s">
        <v>262</v>
      </c>
      <c r="B35" s="129"/>
      <c r="C35" s="125"/>
      <c r="D35" s="125"/>
      <c r="E35" s="125"/>
      <c r="F35" s="126"/>
      <c r="G35" s="125"/>
      <c r="H35" s="127"/>
    </row>
    <row r="36" spans="1:8">
      <c r="A36" s="132" t="s">
        <v>290</v>
      </c>
      <c r="B36" s="129" t="s">
        <v>196</v>
      </c>
      <c r="C36" s="125">
        <v>1400223574564730</v>
      </c>
      <c r="D36" s="125" t="s">
        <v>499</v>
      </c>
      <c r="E36" s="125" t="s">
        <v>323</v>
      </c>
      <c r="F36" s="126">
        <v>43185</v>
      </c>
      <c r="G36" s="125" t="s">
        <v>500</v>
      </c>
      <c r="H36" s="127" t="s">
        <v>501</v>
      </c>
    </row>
    <row r="37" spans="1:8">
      <c r="A37" s="132" t="s">
        <v>239</v>
      </c>
      <c r="B37" s="129" t="s">
        <v>63</v>
      </c>
      <c r="C37" s="128" t="s">
        <v>407</v>
      </c>
      <c r="D37" s="125" t="s">
        <v>408</v>
      </c>
      <c r="E37" s="125" t="s">
        <v>316</v>
      </c>
      <c r="F37" s="126">
        <v>45474</v>
      </c>
      <c r="G37" s="125" t="s">
        <v>409</v>
      </c>
      <c r="H37" s="127" t="s">
        <v>410</v>
      </c>
    </row>
    <row r="38" spans="1:8">
      <c r="A38" s="132" t="s">
        <v>256</v>
      </c>
      <c r="B38" s="129" t="s">
        <v>115</v>
      </c>
      <c r="C38" s="125" t="s">
        <v>576</v>
      </c>
      <c r="D38" s="125" t="s">
        <v>577</v>
      </c>
      <c r="E38" s="125" t="s">
        <v>316</v>
      </c>
      <c r="F38" s="126">
        <v>44652</v>
      </c>
      <c r="G38" s="125" t="s">
        <v>578</v>
      </c>
      <c r="H38" s="127" t="s">
        <v>579</v>
      </c>
    </row>
    <row r="39" spans="1:8">
      <c r="A39" s="132" t="s">
        <v>282</v>
      </c>
      <c r="B39" s="129" t="s">
        <v>130</v>
      </c>
      <c r="C39" s="125" t="s">
        <v>329</v>
      </c>
      <c r="D39" s="125" t="s">
        <v>330</v>
      </c>
      <c r="E39" s="125" t="s">
        <v>316</v>
      </c>
      <c r="F39" s="126">
        <v>45474</v>
      </c>
      <c r="G39" s="125" t="s">
        <v>331</v>
      </c>
      <c r="H39" s="127" t="s">
        <v>482</v>
      </c>
    </row>
    <row r="40" spans="1:8">
      <c r="A40" s="132" t="s">
        <v>230</v>
      </c>
      <c r="B40" s="129" t="s">
        <v>157</v>
      </c>
      <c r="C40" s="125" t="s">
        <v>318</v>
      </c>
      <c r="D40" s="125" t="s">
        <v>319</v>
      </c>
      <c r="E40" s="125" t="s">
        <v>316</v>
      </c>
      <c r="F40" s="126">
        <v>44193</v>
      </c>
      <c r="G40" s="125" t="s">
        <v>320</v>
      </c>
      <c r="H40" s="127" t="s">
        <v>566</v>
      </c>
    </row>
    <row r="41" spans="1:8">
      <c r="A41" s="133" t="s">
        <v>237</v>
      </c>
      <c r="B41" s="133"/>
      <c r="C41" s="134"/>
      <c r="D41" s="134"/>
      <c r="E41" s="134"/>
      <c r="F41" s="134"/>
      <c r="G41" s="134"/>
      <c r="H41" s="134"/>
    </row>
    <row r="42" spans="1:8">
      <c r="A42" s="132" t="s">
        <v>252</v>
      </c>
      <c r="B42" s="129" t="s">
        <v>127</v>
      </c>
      <c r="C42" s="128" t="s">
        <v>487</v>
      </c>
      <c r="D42" s="125" t="s">
        <v>488</v>
      </c>
      <c r="E42" s="125" t="s">
        <v>316</v>
      </c>
      <c r="F42" s="126">
        <v>42430</v>
      </c>
      <c r="G42" s="125" t="s">
        <v>489</v>
      </c>
      <c r="H42" s="127" t="s">
        <v>490</v>
      </c>
    </row>
    <row r="43" spans="1:8">
      <c r="A43" s="132" t="s">
        <v>284</v>
      </c>
      <c r="B43" s="129" t="s">
        <v>106</v>
      </c>
      <c r="C43" s="125">
        <v>8053758660200020</v>
      </c>
      <c r="D43" s="125" t="s">
        <v>506</v>
      </c>
      <c r="E43" s="125" t="s">
        <v>316</v>
      </c>
      <c r="F43" s="126">
        <v>44868</v>
      </c>
      <c r="G43" s="125" t="s">
        <v>507</v>
      </c>
      <c r="H43" s="127" t="s">
        <v>508</v>
      </c>
    </row>
    <row r="44" spans="1:8">
      <c r="A44" s="132" t="s">
        <v>232</v>
      </c>
      <c r="B44" s="129" t="s">
        <v>22</v>
      </c>
      <c r="C44" s="128" t="s">
        <v>345</v>
      </c>
      <c r="D44" s="128" t="s">
        <v>346</v>
      </c>
      <c r="E44" s="125" t="s">
        <v>347</v>
      </c>
      <c r="F44" s="126">
        <v>40603</v>
      </c>
      <c r="G44" s="125" t="s">
        <v>348</v>
      </c>
      <c r="H44" s="127" t="s">
        <v>349</v>
      </c>
    </row>
    <row r="45" spans="1:8">
      <c r="A45" s="132" t="s">
        <v>242</v>
      </c>
      <c r="B45" s="129" t="s">
        <v>17</v>
      </c>
      <c r="C45" s="125" t="s">
        <v>358</v>
      </c>
      <c r="D45" s="125" t="s">
        <v>359</v>
      </c>
      <c r="E45" s="125" t="s">
        <v>316</v>
      </c>
      <c r="F45" s="126">
        <v>44868</v>
      </c>
      <c r="G45" s="125" t="s">
        <v>360</v>
      </c>
      <c r="H45" s="127" t="s">
        <v>361</v>
      </c>
    </row>
    <row r="46" spans="1:8">
      <c r="A46" s="132" t="s">
        <v>245</v>
      </c>
      <c r="B46" s="129" t="s">
        <v>111</v>
      </c>
      <c r="C46" s="128" t="s">
        <v>445</v>
      </c>
      <c r="D46" s="125" t="s">
        <v>446</v>
      </c>
      <c r="E46" s="125" t="s">
        <v>368</v>
      </c>
      <c r="F46" s="126">
        <v>45071</v>
      </c>
      <c r="G46" s="125" t="s">
        <v>447</v>
      </c>
      <c r="H46" s="127" t="s">
        <v>448</v>
      </c>
    </row>
    <row r="47" spans="1:8">
      <c r="A47" s="132" t="s">
        <v>259</v>
      </c>
      <c r="B47" s="129" t="s">
        <v>128</v>
      </c>
      <c r="C47" s="125" t="s">
        <v>562</v>
      </c>
      <c r="D47" s="125" t="s">
        <v>563</v>
      </c>
      <c r="E47" s="125" t="s">
        <v>316</v>
      </c>
      <c r="F47" s="126">
        <v>45080</v>
      </c>
      <c r="G47" s="125" t="s">
        <v>564</v>
      </c>
      <c r="H47" s="127" t="s">
        <v>565</v>
      </c>
    </row>
    <row r="48" spans="1:8">
      <c r="A48" s="132" t="s">
        <v>268</v>
      </c>
      <c r="B48" s="129" t="s">
        <v>37</v>
      </c>
      <c r="C48" s="125" t="s">
        <v>325</v>
      </c>
      <c r="D48" s="125" t="s">
        <v>326</v>
      </c>
      <c r="E48" s="125" t="s">
        <v>316</v>
      </c>
      <c r="F48" s="126">
        <v>45474</v>
      </c>
      <c r="G48" s="125" t="s">
        <v>327</v>
      </c>
      <c r="H48" s="127" t="s">
        <v>328</v>
      </c>
    </row>
    <row r="49" spans="1:8">
      <c r="A49" s="132" t="s">
        <v>303</v>
      </c>
      <c r="B49" s="129" t="s">
        <v>117</v>
      </c>
      <c r="C49" s="125" t="s">
        <v>572</v>
      </c>
      <c r="D49" s="125" t="s">
        <v>573</v>
      </c>
      <c r="E49" s="125" t="s">
        <v>316</v>
      </c>
      <c r="F49" s="126">
        <v>45474</v>
      </c>
      <c r="G49" s="125" t="s">
        <v>574</v>
      </c>
      <c r="H49" s="127" t="s">
        <v>575</v>
      </c>
    </row>
    <row r="50" spans="1:8">
      <c r="A50" s="132" t="s">
        <v>235</v>
      </c>
      <c r="B50" s="129" t="s">
        <v>55</v>
      </c>
      <c r="C50" s="125" t="s">
        <v>350</v>
      </c>
      <c r="D50" s="125" t="s">
        <v>351</v>
      </c>
      <c r="E50" s="125" t="s">
        <v>323</v>
      </c>
      <c r="F50" s="126">
        <v>44986</v>
      </c>
      <c r="G50" s="125" t="s">
        <v>352</v>
      </c>
      <c r="H50" s="127" t="s">
        <v>353</v>
      </c>
    </row>
    <row r="51" spans="1:8">
      <c r="A51" s="132" t="s">
        <v>241</v>
      </c>
      <c r="B51" s="129" t="s">
        <v>47</v>
      </c>
      <c r="C51" s="125" t="s">
        <v>382</v>
      </c>
      <c r="D51" s="125" t="s">
        <v>383</v>
      </c>
      <c r="E51" s="125" t="s">
        <v>368</v>
      </c>
      <c r="F51" s="126">
        <v>45078</v>
      </c>
      <c r="G51" s="125" t="s">
        <v>384</v>
      </c>
      <c r="H51" s="127" t="s">
        <v>385</v>
      </c>
    </row>
    <row r="52" spans="1:8">
      <c r="A52" s="132" t="s">
        <v>297</v>
      </c>
      <c r="B52" s="129" t="s">
        <v>113</v>
      </c>
      <c r="C52" s="125" t="s">
        <v>517</v>
      </c>
      <c r="D52" s="125" t="s">
        <v>518</v>
      </c>
      <c r="E52" s="125" t="s">
        <v>316</v>
      </c>
      <c r="F52" s="126">
        <v>45474</v>
      </c>
      <c r="G52" s="125" t="s">
        <v>519</v>
      </c>
      <c r="H52" s="127" t="s">
        <v>520</v>
      </c>
    </row>
    <row r="53" spans="1:8">
      <c r="A53" s="132" t="s">
        <v>305</v>
      </c>
      <c r="B53" s="129" t="s">
        <v>103</v>
      </c>
      <c r="C53" s="125" t="s">
        <v>509</v>
      </c>
      <c r="D53" s="125" t="s">
        <v>510</v>
      </c>
      <c r="E53" s="125" t="s">
        <v>316</v>
      </c>
      <c r="F53" s="126">
        <v>45078</v>
      </c>
      <c r="G53" s="125" t="s">
        <v>511</v>
      </c>
      <c r="H53" s="127" t="s">
        <v>591</v>
      </c>
    </row>
    <row r="54" spans="1:8">
      <c r="A54" s="132" t="s">
        <v>272</v>
      </c>
      <c r="B54" s="130" t="s">
        <v>76</v>
      </c>
      <c r="C54" s="128" t="s">
        <v>537</v>
      </c>
      <c r="D54" s="128" t="s">
        <v>538</v>
      </c>
      <c r="E54" s="125" t="s">
        <v>316</v>
      </c>
      <c r="F54" s="126">
        <v>44868</v>
      </c>
      <c r="G54" s="125" t="s">
        <v>539</v>
      </c>
      <c r="H54" s="127" t="s">
        <v>540</v>
      </c>
    </row>
    <row r="55" spans="1:8">
      <c r="A55" s="132" t="s">
        <v>302</v>
      </c>
      <c r="B55" s="129" t="s">
        <v>65</v>
      </c>
      <c r="C55" s="125" t="s">
        <v>525</v>
      </c>
      <c r="D55" s="125" t="s">
        <v>526</v>
      </c>
      <c r="E55" s="125" t="s">
        <v>316</v>
      </c>
      <c r="F55" s="126">
        <v>44868</v>
      </c>
      <c r="G55" s="125" t="s">
        <v>527</v>
      </c>
      <c r="H55" s="127" t="s">
        <v>528</v>
      </c>
    </row>
    <row r="56" spans="1:8">
      <c r="A56" s="133" t="s">
        <v>287</v>
      </c>
      <c r="B56" s="133"/>
      <c r="C56" s="134"/>
      <c r="D56" s="134"/>
      <c r="E56" s="134"/>
      <c r="F56" s="134"/>
      <c r="G56" s="134"/>
      <c r="H56" s="134"/>
    </row>
    <row r="57" spans="1:8">
      <c r="A57" s="133" t="s">
        <v>238</v>
      </c>
      <c r="B57" s="133"/>
      <c r="C57" s="134"/>
      <c r="D57" s="134"/>
      <c r="E57" s="134"/>
      <c r="F57" s="134"/>
      <c r="G57" s="134"/>
      <c r="H57" s="134"/>
    </row>
    <row r="58" spans="1:8">
      <c r="A58" s="133" t="s">
        <v>269</v>
      </c>
      <c r="B58" s="133"/>
      <c r="C58" s="134"/>
      <c r="D58" s="134"/>
      <c r="E58" s="134"/>
      <c r="F58" s="134"/>
      <c r="G58" s="134"/>
      <c r="H58" s="134"/>
    </row>
    <row r="59" spans="1:8">
      <c r="A59" s="132" t="s">
        <v>249</v>
      </c>
      <c r="B59" s="129" t="s">
        <v>109</v>
      </c>
      <c r="C59" s="125" t="s">
        <v>321</v>
      </c>
      <c r="D59" s="125" t="s">
        <v>322</v>
      </c>
      <c r="E59" s="125" t="s">
        <v>323</v>
      </c>
      <c r="F59" s="126">
        <v>44193</v>
      </c>
      <c r="G59" s="125" t="s">
        <v>324</v>
      </c>
      <c r="H59" s="127" t="s">
        <v>567</v>
      </c>
    </row>
    <row r="60" spans="1:8">
      <c r="A60" s="133" t="s">
        <v>271</v>
      </c>
      <c r="B60" s="133"/>
      <c r="C60" s="134"/>
      <c r="D60" s="134"/>
      <c r="E60" s="134"/>
      <c r="F60" s="134"/>
      <c r="G60" s="134"/>
      <c r="H60" s="134"/>
    </row>
    <row r="61" spans="1:8">
      <c r="A61" s="132" t="s">
        <v>288</v>
      </c>
      <c r="B61" s="129" t="s">
        <v>81</v>
      </c>
      <c r="C61" s="125" t="s">
        <v>521</v>
      </c>
      <c r="D61" s="125" t="s">
        <v>522</v>
      </c>
      <c r="E61" s="125" t="s">
        <v>316</v>
      </c>
      <c r="F61" s="126">
        <v>45474</v>
      </c>
      <c r="G61" s="125" t="s">
        <v>523</v>
      </c>
      <c r="H61" s="127" t="s">
        <v>524</v>
      </c>
    </row>
    <row r="62" spans="1:8">
      <c r="A62" s="132" t="s">
        <v>244</v>
      </c>
      <c r="B62" s="129" t="s">
        <v>20</v>
      </c>
      <c r="C62" s="125" t="s">
        <v>336</v>
      </c>
      <c r="D62" s="125" t="s">
        <v>337</v>
      </c>
      <c r="E62" s="125" t="s">
        <v>316</v>
      </c>
      <c r="F62" s="126">
        <v>45474</v>
      </c>
      <c r="G62" s="125" t="s">
        <v>338</v>
      </c>
      <c r="H62" s="127" t="s">
        <v>339</v>
      </c>
    </row>
    <row r="63" spans="1:8">
      <c r="A63" s="132" t="s">
        <v>233</v>
      </c>
      <c r="B63" s="129" t="s">
        <v>23</v>
      </c>
      <c r="C63" s="125" t="s">
        <v>583</v>
      </c>
      <c r="D63" s="125" t="s">
        <v>584</v>
      </c>
      <c r="E63" s="125" t="s">
        <v>347</v>
      </c>
      <c r="F63" s="126">
        <v>45071</v>
      </c>
      <c r="G63" s="125" t="s">
        <v>585</v>
      </c>
      <c r="H63" s="127" t="s">
        <v>586</v>
      </c>
    </row>
    <row r="64" spans="1:8">
      <c r="A64" s="132" t="s">
        <v>231</v>
      </c>
      <c r="B64" s="129" t="s">
        <v>13</v>
      </c>
      <c r="C64" s="128" t="s">
        <v>580</v>
      </c>
      <c r="D64" s="125" t="s">
        <v>581</v>
      </c>
      <c r="E64" s="125" t="s">
        <v>323</v>
      </c>
      <c r="F64" s="126">
        <v>45474</v>
      </c>
      <c r="G64" s="125" t="s">
        <v>582</v>
      </c>
      <c r="H64" s="127" t="s">
        <v>596</v>
      </c>
    </row>
    <row r="65" spans="1:8">
      <c r="A65" s="132" t="s">
        <v>251</v>
      </c>
      <c r="B65" s="129" t="s">
        <v>107</v>
      </c>
      <c r="C65" s="125" t="s">
        <v>466</v>
      </c>
      <c r="D65" s="125" t="s">
        <v>467</v>
      </c>
      <c r="E65" s="125" t="s">
        <v>316</v>
      </c>
      <c r="F65" s="126">
        <v>44868</v>
      </c>
      <c r="G65" s="125" t="s">
        <v>468</v>
      </c>
      <c r="H65" s="127" t="s">
        <v>469</v>
      </c>
    </row>
    <row r="66" spans="1:8">
      <c r="A66" s="132" t="s">
        <v>276</v>
      </c>
      <c r="B66" s="129" t="s">
        <v>100</v>
      </c>
      <c r="C66" s="125" t="s">
        <v>437</v>
      </c>
      <c r="D66" s="125" t="s">
        <v>438</v>
      </c>
      <c r="E66" s="125" t="s">
        <v>316</v>
      </c>
      <c r="F66" s="126">
        <v>44675</v>
      </c>
      <c r="G66" s="125" t="s">
        <v>439</v>
      </c>
      <c r="H66" s="127" t="s">
        <v>440</v>
      </c>
    </row>
    <row r="67" spans="1:8">
      <c r="A67" s="132" t="s">
        <v>229</v>
      </c>
      <c r="B67" s="129" t="s">
        <v>25</v>
      </c>
      <c r="C67" s="125" t="s">
        <v>390</v>
      </c>
      <c r="D67" s="125" t="s">
        <v>391</v>
      </c>
      <c r="E67" s="125" t="s">
        <v>347</v>
      </c>
      <c r="F67" s="126">
        <v>44095</v>
      </c>
      <c r="G67" s="125" t="s">
        <v>392</v>
      </c>
      <c r="H67" s="127" t="s">
        <v>393</v>
      </c>
    </row>
    <row r="68" spans="1:8">
      <c r="A68" s="132" t="s">
        <v>253</v>
      </c>
      <c r="B68" s="129" t="s">
        <v>14</v>
      </c>
      <c r="C68" s="125" t="s">
        <v>386</v>
      </c>
      <c r="D68" s="125" t="s">
        <v>387</v>
      </c>
      <c r="E68" s="125" t="s">
        <v>316</v>
      </c>
      <c r="F68" s="126">
        <v>44197</v>
      </c>
      <c r="G68" s="125" t="s">
        <v>388</v>
      </c>
      <c r="H68" s="127" t="s">
        <v>389</v>
      </c>
    </row>
    <row r="69" spans="1:8">
      <c r="A69" s="132" t="s">
        <v>257</v>
      </c>
      <c r="B69" s="129" t="s">
        <v>45</v>
      </c>
      <c r="C69" s="125" t="s">
        <v>549</v>
      </c>
      <c r="D69" s="125" t="s">
        <v>550</v>
      </c>
      <c r="E69" s="125" t="s">
        <v>316</v>
      </c>
      <c r="F69" s="126">
        <v>44536</v>
      </c>
      <c r="G69" s="125" t="s">
        <v>551</v>
      </c>
      <c r="H69" s="127" t="s">
        <v>552</v>
      </c>
    </row>
    <row r="70" spans="1:8">
      <c r="A70" s="132" t="s">
        <v>236</v>
      </c>
      <c r="B70" s="129" t="s">
        <v>26</v>
      </c>
      <c r="C70" s="125" t="s">
        <v>478</v>
      </c>
      <c r="D70" s="125" t="s">
        <v>479</v>
      </c>
      <c r="E70" s="125" t="s">
        <v>347</v>
      </c>
      <c r="F70" s="126">
        <v>41001</v>
      </c>
      <c r="G70" s="125" t="s">
        <v>480</v>
      </c>
      <c r="H70" s="127" t="s">
        <v>481</v>
      </c>
    </row>
    <row r="71" spans="1:8">
      <c r="A71" s="132" t="s">
        <v>234</v>
      </c>
      <c r="B71" s="130" t="s">
        <v>16</v>
      </c>
      <c r="C71" s="128" t="s">
        <v>458</v>
      </c>
      <c r="D71" s="128" t="s">
        <v>459</v>
      </c>
      <c r="E71" s="125" t="s">
        <v>316</v>
      </c>
      <c r="F71" s="126">
        <v>45474</v>
      </c>
      <c r="G71" s="127" t="s">
        <v>460</v>
      </c>
      <c r="H71" s="127" t="s">
        <v>461</v>
      </c>
    </row>
    <row r="72" spans="1:8">
      <c r="A72" s="132" t="s">
        <v>250</v>
      </c>
      <c r="B72" s="129" t="s">
        <v>58</v>
      </c>
      <c r="C72" s="125" t="s">
        <v>366</v>
      </c>
      <c r="D72" s="125" t="s">
        <v>367</v>
      </c>
      <c r="E72" s="125" t="s">
        <v>368</v>
      </c>
      <c r="F72" s="126">
        <v>45071</v>
      </c>
      <c r="G72" s="125" t="s">
        <v>369</v>
      </c>
      <c r="H72" s="127" t="s">
        <v>370</v>
      </c>
    </row>
    <row r="73" spans="1:8">
      <c r="A73" s="131" t="s">
        <v>299</v>
      </c>
      <c r="B73" s="125" t="s">
        <v>116</v>
      </c>
      <c r="C73" s="125" t="s">
        <v>502</v>
      </c>
      <c r="D73" s="125" t="s">
        <v>503</v>
      </c>
      <c r="E73" s="125" t="s">
        <v>323</v>
      </c>
      <c r="F73" s="126">
        <v>45124</v>
      </c>
      <c r="G73" s="125" t="s">
        <v>504</v>
      </c>
      <c r="H73" s="127" t="s">
        <v>505</v>
      </c>
    </row>
    <row r="74" spans="1:8">
      <c r="A74" s="131" t="s">
        <v>265</v>
      </c>
      <c r="B74" s="125" t="s">
        <v>453</v>
      </c>
      <c r="C74" s="125" t="s">
        <v>454</v>
      </c>
      <c r="D74" s="125" t="s">
        <v>455</v>
      </c>
      <c r="E74" s="125" t="s">
        <v>316</v>
      </c>
      <c r="F74" s="126">
        <v>45499</v>
      </c>
      <c r="G74" s="125" t="s">
        <v>456</v>
      </c>
      <c r="H74" s="127" t="s">
        <v>457</v>
      </c>
    </row>
    <row r="75" spans="1:8">
      <c r="A75" s="131" t="s">
        <v>599</v>
      </c>
      <c r="B75" s="125" t="s">
        <v>24</v>
      </c>
      <c r="C75" s="125" t="s">
        <v>495</v>
      </c>
      <c r="D75" s="125" t="s">
        <v>496</v>
      </c>
      <c r="E75" s="125" t="s">
        <v>316</v>
      </c>
      <c r="F75" s="126">
        <v>44536</v>
      </c>
      <c r="G75" s="125" t="s">
        <v>497</v>
      </c>
      <c r="H75" s="127" t="s">
        <v>498</v>
      </c>
    </row>
    <row r="76" spans="1:8">
      <c r="A76" s="131" t="s">
        <v>274</v>
      </c>
      <c r="B76" s="125" t="s">
        <v>156</v>
      </c>
      <c r="C76" s="125" t="s">
        <v>441</v>
      </c>
      <c r="D76" s="125" t="s">
        <v>442</v>
      </c>
      <c r="E76" s="125" t="s">
        <v>316</v>
      </c>
      <c r="F76" s="126">
        <v>44868</v>
      </c>
      <c r="G76" s="125" t="s">
        <v>443</v>
      </c>
      <c r="H76" s="127" t="s">
        <v>444</v>
      </c>
    </row>
    <row r="77" spans="1:8">
      <c r="A77" s="131" t="s">
        <v>298</v>
      </c>
      <c r="B77" s="125" t="s">
        <v>97</v>
      </c>
      <c r="C77" s="128" t="s">
        <v>395</v>
      </c>
      <c r="D77" s="128" t="s">
        <v>396</v>
      </c>
      <c r="E77" s="125" t="s">
        <v>316</v>
      </c>
      <c r="F77" s="126">
        <v>42430</v>
      </c>
      <c r="G77" s="125" t="s">
        <v>397</v>
      </c>
      <c r="H77" s="127" t="s">
        <v>398</v>
      </c>
    </row>
    <row r="78" spans="1:8">
      <c r="A78" s="131" t="s">
        <v>294</v>
      </c>
      <c r="B78" s="125" t="s">
        <v>512</v>
      </c>
      <c r="C78" s="125" t="s">
        <v>513</v>
      </c>
      <c r="D78" s="125" t="s">
        <v>514</v>
      </c>
      <c r="E78" s="125" t="s">
        <v>316</v>
      </c>
      <c r="F78" s="126">
        <v>45474</v>
      </c>
      <c r="G78" s="125" t="s">
        <v>515</v>
      </c>
      <c r="H78" s="127" t="s">
        <v>516</v>
      </c>
    </row>
    <row r="79" spans="1:8">
      <c r="A79" s="131" t="s">
        <v>240</v>
      </c>
      <c r="B79" s="125" t="s">
        <v>15</v>
      </c>
      <c r="C79" s="125" t="s">
        <v>340</v>
      </c>
      <c r="D79" s="125" t="s">
        <v>341</v>
      </c>
      <c r="E79" s="125" t="s">
        <v>316</v>
      </c>
      <c r="F79" s="126">
        <v>44197</v>
      </c>
      <c r="G79" s="125" t="s">
        <v>342</v>
      </c>
      <c r="H79" s="127" t="s">
        <v>343</v>
      </c>
    </row>
    <row r="80" spans="1:8">
      <c r="A80" s="131" t="s">
        <v>281</v>
      </c>
      <c r="B80" s="125" t="s">
        <v>82</v>
      </c>
      <c r="C80" s="125" t="s">
        <v>314</v>
      </c>
      <c r="D80" s="125" t="s">
        <v>315</v>
      </c>
      <c r="E80" s="125" t="s">
        <v>316</v>
      </c>
      <c r="F80" s="126">
        <v>45474</v>
      </c>
      <c r="G80" s="125" t="s">
        <v>317</v>
      </c>
      <c r="H80" s="127" t="s">
        <v>344</v>
      </c>
    </row>
    <row r="81" spans="1:8">
      <c r="A81" s="131" t="s">
        <v>247</v>
      </c>
      <c r="B81" s="125" t="s">
        <v>118</v>
      </c>
      <c r="C81" s="125" t="s">
        <v>568</v>
      </c>
      <c r="D81" s="125" t="s">
        <v>569</v>
      </c>
      <c r="E81" s="125" t="s">
        <v>316</v>
      </c>
      <c r="F81" s="126">
        <v>44986</v>
      </c>
      <c r="G81" s="125" t="s">
        <v>570</v>
      </c>
      <c r="H81" s="127" t="s">
        <v>571</v>
      </c>
    </row>
  </sheetData>
  <autoFilter ref="A2:H72">
    <sortState ref="A3:H84">
      <sortCondition ref="A2:A74"/>
    </sortState>
  </autoFilter>
  <hyperlinks>
    <hyperlink ref="H48" r:id="rId1"/>
    <hyperlink ref="H32" r:id="rId2"/>
    <hyperlink ref="H62" r:id="rId3"/>
    <hyperlink ref="H79" r:id="rId4"/>
    <hyperlink ref="H80" r:id="rId5"/>
    <hyperlink ref="H44" r:id="rId6"/>
    <hyperlink ref="H50" r:id="rId7"/>
    <hyperlink ref="H34" r:id="rId8"/>
    <hyperlink ref="H45" r:id="rId9"/>
    <hyperlink ref="H18" r:id="rId10"/>
    <hyperlink ref="H72" r:id="rId11"/>
    <hyperlink ref="H19" r:id="rId12"/>
    <hyperlink ref="H17" r:id="rId13"/>
    <hyperlink ref="H51" r:id="rId14"/>
    <hyperlink ref="H68" r:id="rId15"/>
    <hyperlink ref="H67" r:id="rId16"/>
    <hyperlink ref="H3" r:id="rId17"/>
    <hyperlink ref="H77" r:id="rId18"/>
    <hyperlink ref="H14" r:id="rId19"/>
    <hyperlink ref="H27" r:id="rId20"/>
    <hyperlink ref="H37" r:id="rId21"/>
    <hyperlink ref="H13" r:id="rId22"/>
    <hyperlink ref="H31" r:id="rId23"/>
    <hyperlink ref="H22" r:id="rId24"/>
    <hyperlink ref="H5" r:id="rId25"/>
    <hyperlink ref="H16" r:id="rId26"/>
    <hyperlink ref="H4" r:id="rId27"/>
    <hyperlink ref="H46" r:id="rId28"/>
    <hyperlink ref="H12" r:id="rId29"/>
    <hyperlink ref="H74" r:id="rId30"/>
    <hyperlink ref="H25" r:id="rId31"/>
    <hyperlink ref="H71" r:id="rId32"/>
    <hyperlink ref="H65" r:id="rId33"/>
    <hyperlink ref="H23" r:id="rId34"/>
    <hyperlink ref="H9" r:id="rId35"/>
    <hyperlink ref="H70" r:id="rId36"/>
    <hyperlink ref="H39" r:id="rId37"/>
    <hyperlink ref="H20" r:id="rId38"/>
    <hyperlink ref="H42" r:id="rId39"/>
    <hyperlink ref="H7" r:id="rId40"/>
    <hyperlink ref="H75" r:id="rId41"/>
    <hyperlink ref="H36" r:id="rId42"/>
    <hyperlink ref="H73" r:id="rId43"/>
    <hyperlink ref="H43" r:id="rId44"/>
    <hyperlink ref="H78" r:id="rId45"/>
    <hyperlink ref="H52" r:id="rId46"/>
    <hyperlink ref="H61" r:id="rId47"/>
    <hyperlink ref="H55" r:id="rId48"/>
    <hyperlink ref="H28" r:id="rId49"/>
    <hyperlink ref="H30" r:id="rId50"/>
    <hyperlink ref="H54" r:id="rId51"/>
    <hyperlink ref="H21" r:id="rId52"/>
    <hyperlink ref="H15" r:id="rId53"/>
    <hyperlink ref="H69" r:id="rId54"/>
    <hyperlink ref="H8" r:id="rId55"/>
    <hyperlink ref="H24" r:id="rId56"/>
    <hyperlink ref="H47" r:id="rId57"/>
    <hyperlink ref="H40" r:id="rId58"/>
    <hyperlink ref="H59" r:id="rId59"/>
    <hyperlink ref="H81" r:id="rId60"/>
    <hyperlink ref="H49" r:id="rId61"/>
    <hyperlink ref="H38" r:id="rId62"/>
    <hyperlink ref="H63" r:id="rId63"/>
    <hyperlink ref="H33" r:id="rId64"/>
    <hyperlink ref="H53" r:id="rId65"/>
    <hyperlink ref="H29" r:id="rId66"/>
    <hyperlink ref="H64" r:id="rId67"/>
    <hyperlink ref="G71" r:id="rId68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7"/>
  <sheetViews>
    <sheetView workbookViewId="0">
      <selection activeCell="F7" sqref="F7"/>
    </sheetView>
  </sheetViews>
  <sheetFormatPr defaultRowHeight="14.5"/>
  <sheetData>
    <row r="2" spans="2:2">
      <c r="B2" t="s">
        <v>5130</v>
      </c>
    </row>
    <row r="3" spans="2:2">
      <c r="B3" t="s">
        <v>5129</v>
      </c>
    </row>
    <row r="4" spans="2:2">
      <c r="B4" t="s">
        <v>5128</v>
      </c>
    </row>
    <row r="5" spans="2:2">
      <c r="B5" t="s">
        <v>5113</v>
      </c>
    </row>
    <row r="6" spans="2:2">
      <c r="B6" t="s">
        <v>5113</v>
      </c>
    </row>
    <row r="7" spans="2:2">
      <c r="B7" t="s">
        <v>5101</v>
      </c>
    </row>
    <row r="8" spans="2:2">
      <c r="B8" t="s">
        <v>5099</v>
      </c>
    </row>
    <row r="9" spans="2:2">
      <c r="B9" t="s">
        <v>5105</v>
      </c>
    </row>
    <row r="10" spans="2:2">
      <c r="B10" t="s">
        <v>5098</v>
      </c>
    </row>
    <row r="11" spans="2:2">
      <c r="B11" t="s">
        <v>5095</v>
      </c>
    </row>
    <row r="12" spans="2:2">
      <c r="B12" t="s">
        <v>5088</v>
      </c>
    </row>
    <row r="13" spans="2:2">
      <c r="B13" t="s">
        <v>5095</v>
      </c>
    </row>
    <row r="14" spans="2:2">
      <c r="B14" t="s">
        <v>5090</v>
      </c>
    </row>
    <row r="15" spans="2:2">
      <c r="B15" t="s">
        <v>5096</v>
      </c>
    </row>
    <row r="16" spans="2:2">
      <c r="B16" t="s">
        <v>5091</v>
      </c>
    </row>
    <row r="17" spans="2:2">
      <c r="B17" t="s">
        <v>5092</v>
      </c>
    </row>
    <row r="18" spans="2:2">
      <c r="B18" t="s">
        <v>5086</v>
      </c>
    </row>
    <row r="19" spans="2:2">
      <c r="B19" t="s">
        <v>5094</v>
      </c>
    </row>
    <row r="20" spans="2:2">
      <c r="B20" t="s">
        <v>5093</v>
      </c>
    </row>
    <row r="21" spans="2:2">
      <c r="B21" t="s">
        <v>5104</v>
      </c>
    </row>
    <row r="22" spans="2:2">
      <c r="B22" t="s">
        <v>5089</v>
      </c>
    </row>
    <row r="23" spans="2:2">
      <c r="B23" t="s">
        <v>5100</v>
      </c>
    </row>
    <row r="24" spans="2:2">
      <c r="B24" t="s">
        <v>5085</v>
      </c>
    </row>
    <row r="25" spans="2:2">
      <c r="B25" t="s">
        <v>5087</v>
      </c>
    </row>
    <row r="26" spans="2:2">
      <c r="B26" t="s">
        <v>4318</v>
      </c>
    </row>
    <row r="27" spans="2:2">
      <c r="B27" t="s">
        <v>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PETA-KAB_PROB</vt:lpstr>
      <vt:lpstr>RA DATA</vt:lpstr>
      <vt:lpstr>MI DATA</vt:lpstr>
      <vt:lpstr>MTs DATA</vt:lpstr>
      <vt:lpstr>MA DATA</vt:lpstr>
      <vt:lpstr>Data Pengawas RA-MI</vt:lpstr>
      <vt:lpstr>Data Pengawas MTS-MA</vt:lpstr>
      <vt:lpstr>PETA-PENGAWAS</vt:lpstr>
      <vt:lpstr>PETA_WAS_RA-MI</vt:lpstr>
      <vt:lpstr>PETA-WAS_MTs-MA</vt:lpstr>
      <vt:lpstr>Data Pengawas Madrasah</vt:lpstr>
      <vt:lpstr>Pengawas Madrasah</vt:lpstr>
      <vt:lpstr>Sheet2 (2)</vt:lpstr>
      <vt:lpstr>Sheet3</vt:lpstr>
      <vt:lpstr>'PETA_WAS_RA-MI'!Print_Area</vt:lpstr>
      <vt:lpstr>'PETA-WAS_MTs-MA'!Print_Area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Wahid Ilham</cp:lastModifiedBy>
  <cp:lastPrinted>2025-01-31T02:43:09Z</cp:lastPrinted>
  <dcterms:created xsi:type="dcterms:W3CDTF">2014-02-26T05:53:13Z</dcterms:created>
  <dcterms:modified xsi:type="dcterms:W3CDTF">2025-01-31T02:43:32Z</dcterms:modified>
</cp:coreProperties>
</file>